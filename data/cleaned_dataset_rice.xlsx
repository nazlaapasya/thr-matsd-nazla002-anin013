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tk sains data\p12 thr\"/>
    </mc:Choice>
  </mc:AlternateContent>
  <xr:revisionPtr revIDLastSave="0" documentId="8_{8246252C-1330-4F3C-8DD8-B6E3674E2290}" xr6:coauthVersionLast="47" xr6:coauthVersionMax="47" xr10:uidLastSave="{00000000-0000-0000-0000-000000000000}"/>
  <bookViews>
    <workbookView xWindow="-110" yWindow="-110" windowWidth="19420" windowHeight="10300" xr2:uid="{F98D5B89-3D95-4608-83B7-F28202D559B1}"/>
  </bookViews>
  <sheets>
    <sheet name="yield_join_rainfall" sheetId="1" r:id="rId1"/>
    <sheet name="cleaned_dataset" sheetId="2" r:id="rId2"/>
  </sheets>
  <calcPr calcId="0"/>
</workbook>
</file>

<file path=xl/calcChain.xml><?xml version="1.0" encoding="utf-8"?>
<calcChain xmlns="http://schemas.openxmlformats.org/spreadsheetml/2006/main">
  <c r="J8" i="2" l="1"/>
  <c r="J7" i="2"/>
  <c r="J6" i="2"/>
  <c r="J5" i="2"/>
  <c r="J4" i="2"/>
  <c r="J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0" i="2"/>
  <c r="C21" i="2"/>
  <c r="C22" i="2"/>
  <c r="C23" i="2"/>
  <c r="C24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" i="2"/>
  <c r="J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" i="2"/>
  <c r="J1" i="2"/>
</calcChain>
</file>

<file path=xl/sharedStrings.xml><?xml version="1.0" encoding="utf-8"?>
<sst xmlns="http://schemas.openxmlformats.org/spreadsheetml/2006/main" count="20210" uniqueCount="3017">
  <si>
    <t>kunci</t>
  </si>
  <si>
    <t>Domain_Code</t>
  </si>
  <si>
    <t>Domain</t>
  </si>
  <si>
    <t>Area_Code</t>
  </si>
  <si>
    <t>Area</t>
  </si>
  <si>
    <t>Element_Code</t>
  </si>
  <si>
    <t>Element</t>
  </si>
  <si>
    <t>Item_Code</t>
  </si>
  <si>
    <t>Item</t>
  </si>
  <si>
    <t>Year_Code</t>
  </si>
  <si>
    <t>Year</t>
  </si>
  <si>
    <t>Unit</t>
  </si>
  <si>
    <t>Value</t>
  </si>
  <si>
    <t>curah_hujan</t>
  </si>
  <si>
    <t>Afghanistan_1985</t>
  </si>
  <si>
    <t>QC</t>
  </si>
  <si>
    <t>Crops</t>
  </si>
  <si>
    <t>Afghanistan</t>
  </si>
  <si>
    <t>Yield</t>
  </si>
  <si>
    <t>Rice, paddy</t>
  </si>
  <si>
    <t>hg/ha</t>
  </si>
  <si>
    <t>Afghanistan_1986</t>
  </si>
  <si>
    <t>Afghanistan_1987</t>
  </si>
  <si>
    <t>Afghanistan_1989</t>
  </si>
  <si>
    <t>Afghanistan_1990</t>
  </si>
  <si>
    <t>Afghanistan_1991</t>
  </si>
  <si>
    <t>Afghanistan_1992</t>
  </si>
  <si>
    <t>Afghanistan_1993</t>
  </si>
  <si>
    <t>Afghanistan_1994</t>
  </si>
  <si>
    <t>Afghanistan_1995</t>
  </si>
  <si>
    <t>Afghanistan_1996</t>
  </si>
  <si>
    <t>Afghanistan_1997</t>
  </si>
  <si>
    <t>Afghanistan_1998</t>
  </si>
  <si>
    <t>Afghanistan_1999</t>
  </si>
  <si>
    <t>Afghanistan_2000</t>
  </si>
  <si>
    <t>Afghanistan_2001</t>
  </si>
  <si>
    <t>Afghanistan_2002</t>
  </si>
  <si>
    <t>Afghanistan_2004</t>
  </si>
  <si>
    <t>Afghanistan_2005</t>
  </si>
  <si>
    <t>Afghanistan_2006</t>
  </si>
  <si>
    <t>Afghanistan_2007</t>
  </si>
  <si>
    <t>Afghanistan_2008</t>
  </si>
  <si>
    <t>Afghanistan_2009</t>
  </si>
  <si>
    <t>Afghanistan_2010</t>
  </si>
  <si>
    <t>Afghanistan_2011</t>
  </si>
  <si>
    <t>Afghanistan_2012</t>
  </si>
  <si>
    <t>Afghanistan_2013</t>
  </si>
  <si>
    <t>Afghanistan_2014</t>
  </si>
  <si>
    <t>Afghanistan_2015</t>
  </si>
  <si>
    <t>Afghanistan_2016</t>
  </si>
  <si>
    <t>Albania_1985</t>
  </si>
  <si>
    <t>Albania</t>
  </si>
  <si>
    <t>Albania_1986</t>
  </si>
  <si>
    <t>Albania_1987</t>
  </si>
  <si>
    <t>Albania_1989</t>
  </si>
  <si>
    <t>Albania_1990</t>
  </si>
  <si>
    <t>Albania_1991</t>
  </si>
  <si>
    <t>Albania_1992</t>
  </si>
  <si>
    <t>Albania_1993</t>
  </si>
  <si>
    <t>Algeria_1985</t>
  </si>
  <si>
    <t>Algeria</t>
  </si>
  <si>
    <t>Algeria_1986</t>
  </si>
  <si>
    <t>Algeria_1987</t>
  </si>
  <si>
    <t>Algeria_1989</t>
  </si>
  <si>
    <t>Algeria_1990</t>
  </si>
  <si>
    <t>Algeria_1991</t>
  </si>
  <si>
    <t>Algeria_1992</t>
  </si>
  <si>
    <t>Algeria_1993</t>
  </si>
  <si>
    <t>Algeria_1994</t>
  </si>
  <si>
    <t>Algeria_1995</t>
  </si>
  <si>
    <t>Algeria_1996</t>
  </si>
  <si>
    <t>Algeria_1997</t>
  </si>
  <si>
    <t>Algeria_1998</t>
  </si>
  <si>
    <t>Algeria_1999</t>
  </si>
  <si>
    <t>Algeria_2000</t>
  </si>
  <si>
    <t>Algeria_2001</t>
  </si>
  <si>
    <t>Algeria_2002</t>
  </si>
  <si>
    <t>Algeria_2004</t>
  </si>
  <si>
    <t>Algeria_2005</t>
  </si>
  <si>
    <t>Algeria_2006</t>
  </si>
  <si>
    <t>Algeria_2007</t>
  </si>
  <si>
    <t>Algeria_2008</t>
  </si>
  <si>
    <t>Algeria_2009</t>
  </si>
  <si>
    <t>Algeria_2010</t>
  </si>
  <si>
    <t>Algeria_2011</t>
  </si>
  <si>
    <t>Algeria_2012</t>
  </si>
  <si>
    <t>Algeria_2013</t>
  </si>
  <si>
    <t>Algeria_2014</t>
  </si>
  <si>
    <t>Algeria_2015</t>
  </si>
  <si>
    <t>Algeria_2016</t>
  </si>
  <si>
    <t>Angola_1985</t>
  </si>
  <si>
    <t>Angola</t>
  </si>
  <si>
    <t>Angola_1986</t>
  </si>
  <si>
    <t>Angola_1987</t>
  </si>
  <si>
    <t>Angola_1989</t>
  </si>
  <si>
    <t>Angola_1990</t>
  </si>
  <si>
    <t>Angola_1991</t>
  </si>
  <si>
    <t>Angola_1992</t>
  </si>
  <si>
    <t>Angola_1993</t>
  </si>
  <si>
    <t>Angola_1994</t>
  </si>
  <si>
    <t>Angola_1995</t>
  </si>
  <si>
    <t>Angola_1996</t>
  </si>
  <si>
    <t>Angola_1997</t>
  </si>
  <si>
    <t>Angola_1998</t>
  </si>
  <si>
    <t>Angola_1999</t>
  </si>
  <si>
    <t>Angola_2000</t>
  </si>
  <si>
    <t>Angola_2001</t>
  </si>
  <si>
    <t>Angola_2002</t>
  </si>
  <si>
    <t>Angola_2004</t>
  </si>
  <si>
    <t>Angola_2005</t>
  </si>
  <si>
    <t>Angola_2006</t>
  </si>
  <si>
    <t>Angola_2007</t>
  </si>
  <si>
    <t>Angola_2008</t>
  </si>
  <si>
    <t>Angola_2009</t>
  </si>
  <si>
    <t>Angola_2010</t>
  </si>
  <si>
    <t>Angola_2011</t>
  </si>
  <si>
    <t>Angola_2012</t>
  </si>
  <si>
    <t>Angola_2013</t>
  </si>
  <si>
    <t>Angola_2014</t>
  </si>
  <si>
    <t>Angola_2015</t>
  </si>
  <si>
    <t>Angola_2016</t>
  </si>
  <si>
    <t>Argentina_1985</t>
  </si>
  <si>
    <t>Argentina</t>
  </si>
  <si>
    <t>Argentina_1986</t>
  </si>
  <si>
    <t>Argentina_1987</t>
  </si>
  <si>
    <t>Argentina_1989</t>
  </si>
  <si>
    <t>Argentina_1990</t>
  </si>
  <si>
    <t>Argentina_1991</t>
  </si>
  <si>
    <t>Argentina_1992</t>
  </si>
  <si>
    <t>Argentina_1993</t>
  </si>
  <si>
    <t>Argentina_1994</t>
  </si>
  <si>
    <t>Argentina_1995</t>
  </si>
  <si>
    <t>Argentina_1996</t>
  </si>
  <si>
    <t>Argentina_1997</t>
  </si>
  <si>
    <t>Argentina_1998</t>
  </si>
  <si>
    <t>Argentina_1999</t>
  </si>
  <si>
    <t>Argentina_2000</t>
  </si>
  <si>
    <t>Argentina_2001</t>
  </si>
  <si>
    <t>Argentina_2002</t>
  </si>
  <si>
    <t>Argentina_2004</t>
  </si>
  <si>
    <t>Argentina_2005</t>
  </si>
  <si>
    <t>Argentina_2006</t>
  </si>
  <si>
    <t>Argentina_2007</t>
  </si>
  <si>
    <t>Argentina_2008</t>
  </si>
  <si>
    <t>Argentina_2009</t>
  </si>
  <si>
    <t>Argentina_2010</t>
  </si>
  <si>
    <t>Argentina_2011</t>
  </si>
  <si>
    <t>Argentina_2012</t>
  </si>
  <si>
    <t>Argentina_2013</t>
  </si>
  <si>
    <t>Argentina_2014</t>
  </si>
  <si>
    <t>Argentina_2015</t>
  </si>
  <si>
    <t>Argentina_2016</t>
  </si>
  <si>
    <t>Australia_1985</t>
  </si>
  <si>
    <t>Australia</t>
  </si>
  <si>
    <t>Australia_1986</t>
  </si>
  <si>
    <t>Australia_1987</t>
  </si>
  <si>
    <t>Australia_1989</t>
  </si>
  <si>
    <t>Australia_1990</t>
  </si>
  <si>
    <t>Australia_1991</t>
  </si>
  <si>
    <t>Australia_1992</t>
  </si>
  <si>
    <t>Australia_1993</t>
  </si>
  <si>
    <t>Australia_1994</t>
  </si>
  <si>
    <t>Australia_1995</t>
  </si>
  <si>
    <t>Australia_1996</t>
  </si>
  <si>
    <t>Australia_1997</t>
  </si>
  <si>
    <t>Australia_1998</t>
  </si>
  <si>
    <t>Australia_1999</t>
  </si>
  <si>
    <t>Australia_2000</t>
  </si>
  <si>
    <t>Australia_2001</t>
  </si>
  <si>
    <t>Australia_2002</t>
  </si>
  <si>
    <t>Australia_2004</t>
  </si>
  <si>
    <t>Australia_2005</t>
  </si>
  <si>
    <t>Australia_2006</t>
  </si>
  <si>
    <t>Australia_2007</t>
  </si>
  <si>
    <t>Australia_2008</t>
  </si>
  <si>
    <t>Australia_2009</t>
  </si>
  <si>
    <t>Australia_2010</t>
  </si>
  <si>
    <t>Australia_2011</t>
  </si>
  <si>
    <t>Australia_2012</t>
  </si>
  <si>
    <t>Australia_2013</t>
  </si>
  <si>
    <t>Australia_2014</t>
  </si>
  <si>
    <t>Australia_2015</t>
  </si>
  <si>
    <t>Australia_2016</t>
  </si>
  <si>
    <t>Azerbaijan_1992</t>
  </si>
  <si>
    <t>Azerbaijan</t>
  </si>
  <si>
    <t>Azerbaijan_1993</t>
  </si>
  <si>
    <t>Azerbaijan_1994</t>
  </si>
  <si>
    <t>Azerbaijan_1995</t>
  </si>
  <si>
    <t>Azerbaijan_1996</t>
  </si>
  <si>
    <t>Azerbaijan_1997</t>
  </si>
  <si>
    <t>Azerbaijan_1998</t>
  </si>
  <si>
    <t>Azerbaijan_1999</t>
  </si>
  <si>
    <t>Azerbaijan_2000</t>
  </si>
  <si>
    <t>Azerbaijan_2001</t>
  </si>
  <si>
    <t>Azerbaijan_2002</t>
  </si>
  <si>
    <t>Azerbaijan_2004</t>
  </si>
  <si>
    <t>Azerbaijan_2005</t>
  </si>
  <si>
    <t>Azerbaijan_2006</t>
  </si>
  <si>
    <t>Azerbaijan_2007</t>
  </si>
  <si>
    <t>Azerbaijan_2008</t>
  </si>
  <si>
    <t>Azerbaijan_2009</t>
  </si>
  <si>
    <t>Azerbaijan_2010</t>
  </si>
  <si>
    <t>Azerbaijan_2011</t>
  </si>
  <si>
    <t>Azerbaijan_2012</t>
  </si>
  <si>
    <t>Azerbaijan_2013</t>
  </si>
  <si>
    <t>Azerbaijan_2014</t>
  </si>
  <si>
    <t>Azerbaijan_2015</t>
  </si>
  <si>
    <t>Azerbaijan_2016</t>
  </si>
  <si>
    <t>Bangladesh_1985</t>
  </si>
  <si>
    <t>Bangladesh</t>
  </si>
  <si>
    <t>Bangladesh_1986</t>
  </si>
  <si>
    <t>Bangladesh_1987</t>
  </si>
  <si>
    <t>Bangladesh_1989</t>
  </si>
  <si>
    <t>Bangladesh_1990</t>
  </si>
  <si>
    <t>Bangladesh_1991</t>
  </si>
  <si>
    <t>Bangladesh_1992</t>
  </si>
  <si>
    <t>Bangladesh_1993</t>
  </si>
  <si>
    <t>Bangladesh_1994</t>
  </si>
  <si>
    <t>Bangladesh_1995</t>
  </si>
  <si>
    <t>Bangladesh_1996</t>
  </si>
  <si>
    <t>Bangladesh_1997</t>
  </si>
  <si>
    <t>Bangladesh_1998</t>
  </si>
  <si>
    <t>Bangladesh_1999</t>
  </si>
  <si>
    <t>Bangladesh_2000</t>
  </si>
  <si>
    <t>Bangladesh_2001</t>
  </si>
  <si>
    <t>Bangladesh_2002</t>
  </si>
  <si>
    <t>Bangladesh_2004</t>
  </si>
  <si>
    <t>Bangladesh_2005</t>
  </si>
  <si>
    <t>Bangladesh_2006</t>
  </si>
  <si>
    <t>Bangladesh_2007</t>
  </si>
  <si>
    <t>Bangladesh_2008</t>
  </si>
  <si>
    <t>Bangladesh_2009</t>
  </si>
  <si>
    <t>Bangladesh_2010</t>
  </si>
  <si>
    <t>Bangladesh_2011</t>
  </si>
  <si>
    <t>Bangladesh_2012</t>
  </si>
  <si>
    <t>Bangladesh_2013</t>
  </si>
  <si>
    <t>Bangladesh_2014</t>
  </si>
  <si>
    <t>Bangladesh_2015</t>
  </si>
  <si>
    <t>Bangladesh_2016</t>
  </si>
  <si>
    <t>Belize_1985</t>
  </si>
  <si>
    <t>Belize</t>
  </si>
  <si>
    <t>Belize_1986</t>
  </si>
  <si>
    <t>Belize_1987</t>
  </si>
  <si>
    <t>Belize_1989</t>
  </si>
  <si>
    <t>Belize_1990</t>
  </si>
  <si>
    <t>Belize_1991</t>
  </si>
  <si>
    <t>Belize_1992</t>
  </si>
  <si>
    <t>Belize_1993</t>
  </si>
  <si>
    <t>Belize_1994</t>
  </si>
  <si>
    <t>Belize_1995</t>
  </si>
  <si>
    <t>Belize_1996</t>
  </si>
  <si>
    <t>Belize_1997</t>
  </si>
  <si>
    <t>Belize_1998</t>
  </si>
  <si>
    <t>Belize_1999</t>
  </si>
  <si>
    <t>Belize_2000</t>
  </si>
  <si>
    <t>Belize_2001</t>
  </si>
  <si>
    <t>Belize_2002</t>
  </si>
  <si>
    <t>Belize_2004</t>
  </si>
  <si>
    <t>Belize_2005</t>
  </si>
  <si>
    <t>Belize_2006</t>
  </si>
  <si>
    <t>Belize_2007</t>
  </si>
  <si>
    <t>Belize_2008</t>
  </si>
  <si>
    <t>Belize_2009</t>
  </si>
  <si>
    <t>Belize_2010</t>
  </si>
  <si>
    <t>Belize_2011</t>
  </si>
  <si>
    <t>Belize_2012</t>
  </si>
  <si>
    <t>Belize_2013</t>
  </si>
  <si>
    <t>Belize_2014</t>
  </si>
  <si>
    <t>Belize_2015</t>
  </si>
  <si>
    <t>Belize_2016</t>
  </si>
  <si>
    <t>Benin_1985</t>
  </si>
  <si>
    <t>Benin</t>
  </si>
  <si>
    <t>Benin_1986</t>
  </si>
  <si>
    <t>Benin_1987</t>
  </si>
  <si>
    <t>Benin_1989</t>
  </si>
  <si>
    <t>Benin_1990</t>
  </si>
  <si>
    <t>Benin_1991</t>
  </si>
  <si>
    <t>Benin_1992</t>
  </si>
  <si>
    <t>Benin_1993</t>
  </si>
  <si>
    <t>Benin_1994</t>
  </si>
  <si>
    <t>Benin_1995</t>
  </si>
  <si>
    <t>Benin_1996</t>
  </si>
  <si>
    <t>Benin_1997</t>
  </si>
  <si>
    <t>Benin_1998</t>
  </si>
  <si>
    <t>Benin_1999</t>
  </si>
  <si>
    <t>Benin_2000</t>
  </si>
  <si>
    <t>Benin_2001</t>
  </si>
  <si>
    <t>Benin_2002</t>
  </si>
  <si>
    <t>Benin_2004</t>
  </si>
  <si>
    <t>Benin_2005</t>
  </si>
  <si>
    <t>Benin_2006</t>
  </si>
  <si>
    <t>Benin_2007</t>
  </si>
  <si>
    <t>Benin_2008</t>
  </si>
  <si>
    <t>Benin_2009</t>
  </si>
  <si>
    <t>Benin_2010</t>
  </si>
  <si>
    <t>Benin_2011</t>
  </si>
  <si>
    <t>Benin_2012</t>
  </si>
  <si>
    <t>Benin_2013</t>
  </si>
  <si>
    <t>Benin_2014</t>
  </si>
  <si>
    <t>Benin_2015</t>
  </si>
  <si>
    <t>Benin_2016</t>
  </si>
  <si>
    <t>Bhutan_1985</t>
  </si>
  <si>
    <t>Bhutan</t>
  </si>
  <si>
    <t>Bhutan_1986</t>
  </si>
  <si>
    <t>Bhutan_1987</t>
  </si>
  <si>
    <t>Bhutan_1989</t>
  </si>
  <si>
    <t>Bhutan_1990</t>
  </si>
  <si>
    <t>Bhutan_1991</t>
  </si>
  <si>
    <t>Bhutan_1992</t>
  </si>
  <si>
    <t>Bhutan_1993</t>
  </si>
  <si>
    <t>Bhutan_1994</t>
  </si>
  <si>
    <t>Bhutan_1995</t>
  </si>
  <si>
    <t>Bhutan_1996</t>
  </si>
  <si>
    <t>Bhutan_1997</t>
  </si>
  <si>
    <t>Bhutan_1998</t>
  </si>
  <si>
    <t>Bhutan_1999</t>
  </si>
  <si>
    <t>Bhutan_2000</t>
  </si>
  <si>
    <t>Bhutan_2001</t>
  </si>
  <si>
    <t>Bhutan_2002</t>
  </si>
  <si>
    <t>Bhutan_2004</t>
  </si>
  <si>
    <t>Bhutan_2005</t>
  </si>
  <si>
    <t>Bhutan_2006</t>
  </si>
  <si>
    <t>Bhutan_2007</t>
  </si>
  <si>
    <t>Bhutan_2008</t>
  </si>
  <si>
    <t>Bhutan_2009</t>
  </si>
  <si>
    <t>Bhutan_2010</t>
  </si>
  <si>
    <t>Bhutan_2011</t>
  </si>
  <si>
    <t>Bhutan_2012</t>
  </si>
  <si>
    <t>Bhutan_2013</t>
  </si>
  <si>
    <t>Bhutan_2014</t>
  </si>
  <si>
    <t>Bhutan_2015</t>
  </si>
  <si>
    <t>Bhutan_2016</t>
  </si>
  <si>
    <t>Brazil_1985</t>
  </si>
  <si>
    <t>Brazil</t>
  </si>
  <si>
    <t>Brazil_1986</t>
  </si>
  <si>
    <t>Brazil_1987</t>
  </si>
  <si>
    <t>Brazil_1989</t>
  </si>
  <si>
    <t>Brazil_1990</t>
  </si>
  <si>
    <t>Brazil_1991</t>
  </si>
  <si>
    <t>Brazil_1992</t>
  </si>
  <si>
    <t>Brazil_1993</t>
  </si>
  <si>
    <t>Brazil_1994</t>
  </si>
  <si>
    <t>Brazil_1995</t>
  </si>
  <si>
    <t>Brazil_1996</t>
  </si>
  <si>
    <t>Brazil_1997</t>
  </si>
  <si>
    <t>Brazil_1998</t>
  </si>
  <si>
    <t>Brazil_1999</t>
  </si>
  <si>
    <t>Brazil_2000</t>
  </si>
  <si>
    <t>Brazil_2001</t>
  </si>
  <si>
    <t>Brazil_2002</t>
  </si>
  <si>
    <t>Brazil_2004</t>
  </si>
  <si>
    <t>Brazil_2005</t>
  </si>
  <si>
    <t>Brazil_2006</t>
  </si>
  <si>
    <t>Brazil_2007</t>
  </si>
  <si>
    <t>Brazil_2008</t>
  </si>
  <si>
    <t>Brazil_2009</t>
  </si>
  <si>
    <t>Brazil_2010</t>
  </si>
  <si>
    <t>Brazil_2011</t>
  </si>
  <si>
    <t>Brazil_2012</t>
  </si>
  <si>
    <t>Brazil_2013</t>
  </si>
  <si>
    <t>Brazil_2014</t>
  </si>
  <si>
    <t>Brazil_2015</t>
  </si>
  <si>
    <t>Brazil_2016</t>
  </si>
  <si>
    <t>Brunei Darussalam_1985</t>
  </si>
  <si>
    <t>Brunei Darussalam</t>
  </si>
  <si>
    <t>Brunei Darussalam_1986</t>
  </si>
  <si>
    <t>Brunei Darussalam_1987</t>
  </si>
  <si>
    <t>Brunei Darussalam_1989</t>
  </si>
  <si>
    <t>Brunei Darussalam_1990</t>
  </si>
  <si>
    <t>Brunei Darussalam_1991</t>
  </si>
  <si>
    <t>Brunei Darussalam_1992</t>
  </si>
  <si>
    <t>Brunei Darussalam_1993</t>
  </si>
  <si>
    <t>Brunei Darussalam_1994</t>
  </si>
  <si>
    <t>Brunei Darussalam_1995</t>
  </si>
  <si>
    <t>Brunei Darussalam_1996</t>
  </si>
  <si>
    <t>Brunei Darussalam_1997</t>
  </si>
  <si>
    <t>Brunei Darussalam_1998</t>
  </si>
  <si>
    <t>Brunei Darussalam_1999</t>
  </si>
  <si>
    <t>Brunei Darussalam_2000</t>
  </si>
  <si>
    <t>Brunei Darussalam_2001</t>
  </si>
  <si>
    <t>Brunei Darussalam_2002</t>
  </si>
  <si>
    <t>Brunei Darussalam_2004</t>
  </si>
  <si>
    <t>Brunei Darussalam_2005</t>
  </si>
  <si>
    <t>Brunei Darussalam_2006</t>
  </si>
  <si>
    <t>Brunei Darussalam_2007</t>
  </si>
  <si>
    <t>Brunei Darussalam_2008</t>
  </si>
  <si>
    <t>Brunei Darussalam_2009</t>
  </si>
  <si>
    <t>Brunei Darussalam_2010</t>
  </si>
  <si>
    <t>Brunei Darussalam_2011</t>
  </si>
  <si>
    <t>Brunei Darussalam_2012</t>
  </si>
  <si>
    <t>Brunei Darussalam_2013</t>
  </si>
  <si>
    <t>Brunei Darussalam_2014</t>
  </si>
  <si>
    <t>Brunei Darussalam_2015</t>
  </si>
  <si>
    <t>Brunei Darussalam_2016</t>
  </si>
  <si>
    <t>Bulgaria_1985</t>
  </si>
  <si>
    <t>Bulgaria</t>
  </si>
  <si>
    <t>Bulgaria_1986</t>
  </si>
  <si>
    <t>Bulgaria_1987</t>
  </si>
  <si>
    <t>Bulgaria_1989</t>
  </si>
  <si>
    <t>Bulgaria_1990</t>
  </si>
  <si>
    <t>Bulgaria_1991</t>
  </si>
  <si>
    <t>Bulgaria_1992</t>
  </si>
  <si>
    <t>Bulgaria_1993</t>
  </si>
  <si>
    <t>Bulgaria_1994</t>
  </si>
  <si>
    <t>Bulgaria_1995</t>
  </si>
  <si>
    <t>Bulgaria_1996</t>
  </si>
  <si>
    <t>Bulgaria_1997</t>
  </si>
  <si>
    <t>Bulgaria_1998</t>
  </si>
  <si>
    <t>Bulgaria_1999</t>
  </si>
  <si>
    <t>Bulgaria_2000</t>
  </si>
  <si>
    <t>Bulgaria_2001</t>
  </si>
  <si>
    <t>Bulgaria_2002</t>
  </si>
  <si>
    <t>Bulgaria_2004</t>
  </si>
  <si>
    <t>Bulgaria_2005</t>
  </si>
  <si>
    <t>Bulgaria_2006</t>
  </si>
  <si>
    <t>Bulgaria_2007</t>
  </si>
  <si>
    <t>Bulgaria_2008</t>
  </si>
  <si>
    <t>Bulgaria_2009</t>
  </si>
  <si>
    <t>Bulgaria_2010</t>
  </si>
  <si>
    <t>Bulgaria_2011</t>
  </si>
  <si>
    <t>Bulgaria_2012</t>
  </si>
  <si>
    <t>Bulgaria_2013</t>
  </si>
  <si>
    <t>Bulgaria_2014</t>
  </si>
  <si>
    <t>Bulgaria_2015</t>
  </si>
  <si>
    <t>Bulgaria_2016</t>
  </si>
  <si>
    <t>Burkina Faso_1985</t>
  </si>
  <si>
    <t>Burkina Faso</t>
  </si>
  <si>
    <t>Burkina Faso_1986</t>
  </si>
  <si>
    <t>Burkina Faso_1987</t>
  </si>
  <si>
    <t>Burkina Faso_1989</t>
  </si>
  <si>
    <t>Burkina Faso_1990</t>
  </si>
  <si>
    <t>Burkina Faso_1991</t>
  </si>
  <si>
    <t>Burkina Faso_1992</t>
  </si>
  <si>
    <t>Burkina Faso_1993</t>
  </si>
  <si>
    <t>Burkina Faso_1994</t>
  </si>
  <si>
    <t>Burkina Faso_1995</t>
  </si>
  <si>
    <t>Burkina Faso_1996</t>
  </si>
  <si>
    <t>Burkina Faso_1997</t>
  </si>
  <si>
    <t>Burkina Faso_1998</t>
  </si>
  <si>
    <t>Burkina Faso_1999</t>
  </si>
  <si>
    <t>Burkina Faso_2000</t>
  </si>
  <si>
    <t>Burkina Faso_2001</t>
  </si>
  <si>
    <t>Burkina Faso_2002</t>
  </si>
  <si>
    <t>Burkina Faso_2004</t>
  </si>
  <si>
    <t>Burkina Faso_2005</t>
  </si>
  <si>
    <t>Burkina Faso_2006</t>
  </si>
  <si>
    <t>Burkina Faso_2007</t>
  </si>
  <si>
    <t>Burkina Faso_2008</t>
  </si>
  <si>
    <t>Burkina Faso_2009</t>
  </si>
  <si>
    <t>Burkina Faso_2010</t>
  </si>
  <si>
    <t>Burkina Faso_2011</t>
  </si>
  <si>
    <t>Burkina Faso_2012</t>
  </si>
  <si>
    <t>Burkina Faso_2013</t>
  </si>
  <si>
    <t>Burkina Faso_2014</t>
  </si>
  <si>
    <t>Burkina Faso_2015</t>
  </si>
  <si>
    <t>Burkina Faso_2016</t>
  </si>
  <si>
    <t>Burundi_1985</t>
  </si>
  <si>
    <t>Burundi</t>
  </si>
  <si>
    <t>Burundi_1986</t>
  </si>
  <si>
    <t>Burundi_1987</t>
  </si>
  <si>
    <t>Burundi_1989</t>
  </si>
  <si>
    <t>Burundi_1990</t>
  </si>
  <si>
    <t>Burundi_1991</t>
  </si>
  <si>
    <t>Burundi_1992</t>
  </si>
  <si>
    <t>Burundi_1993</t>
  </si>
  <si>
    <t>Burundi_1994</t>
  </si>
  <si>
    <t>Burundi_1995</t>
  </si>
  <si>
    <t>Burundi_1996</t>
  </si>
  <si>
    <t>Burundi_1997</t>
  </si>
  <si>
    <t>Burundi_1998</t>
  </si>
  <si>
    <t>Burundi_1999</t>
  </si>
  <si>
    <t>Burundi_2000</t>
  </si>
  <si>
    <t>Burundi_2001</t>
  </si>
  <si>
    <t>Burundi_2002</t>
  </si>
  <si>
    <t>Burundi_2004</t>
  </si>
  <si>
    <t>Burundi_2005</t>
  </si>
  <si>
    <t>Burundi_2006</t>
  </si>
  <si>
    <t>Burundi_2007</t>
  </si>
  <si>
    <t>Burundi_2008</t>
  </si>
  <si>
    <t>Burundi_2009</t>
  </si>
  <si>
    <t>Burundi_2010</t>
  </si>
  <si>
    <t>Burundi_2011</t>
  </si>
  <si>
    <t>Burundi_2012</t>
  </si>
  <si>
    <t>Burundi_2013</t>
  </si>
  <si>
    <t>Burundi_2014</t>
  </si>
  <si>
    <t>Burundi_2015</t>
  </si>
  <si>
    <t>Burundi_2016</t>
  </si>
  <si>
    <t>Cambodia_1985</t>
  </si>
  <si>
    <t>Cambodia</t>
  </si>
  <si>
    <t>Cambodia_1986</t>
  </si>
  <si>
    <t>Cambodia_1987</t>
  </si>
  <si>
    <t>Cambodia_1989</t>
  </si>
  <si>
    <t>Cambodia_1990</t>
  </si>
  <si>
    <t>Cambodia_1991</t>
  </si>
  <si>
    <t>Cambodia_1992</t>
  </si>
  <si>
    <t>Cambodia_1993</t>
  </si>
  <si>
    <t>Cambodia_1994</t>
  </si>
  <si>
    <t>Cambodia_1995</t>
  </si>
  <si>
    <t>Cambodia_1996</t>
  </si>
  <si>
    <t>Cambodia_1997</t>
  </si>
  <si>
    <t>Cambodia_1998</t>
  </si>
  <si>
    <t>Cambodia_1999</t>
  </si>
  <si>
    <t>Cambodia_2000</t>
  </si>
  <si>
    <t>Cambodia_2001</t>
  </si>
  <si>
    <t>Cambodia_2002</t>
  </si>
  <si>
    <t>Cambodia_2004</t>
  </si>
  <si>
    <t>Cambodia_2005</t>
  </si>
  <si>
    <t>Cambodia_2006</t>
  </si>
  <si>
    <t>Cambodia_2007</t>
  </si>
  <si>
    <t>Cambodia_2008</t>
  </si>
  <si>
    <t>Cambodia_2009</t>
  </si>
  <si>
    <t>Cambodia_2010</t>
  </si>
  <si>
    <t>Cambodia_2011</t>
  </si>
  <si>
    <t>Cambodia_2012</t>
  </si>
  <si>
    <t>Cambodia_2013</t>
  </si>
  <si>
    <t>Cambodia_2014</t>
  </si>
  <si>
    <t>Cambodia_2015</t>
  </si>
  <si>
    <t>Cambodia_2016</t>
  </si>
  <si>
    <t>Cameroon_1985</t>
  </si>
  <si>
    <t>Cameroon</t>
  </si>
  <si>
    <t>Cameroon_1986</t>
  </si>
  <si>
    <t>Cameroon_1987</t>
  </si>
  <si>
    <t>Cameroon_1989</t>
  </si>
  <si>
    <t>Cameroon_1990</t>
  </si>
  <si>
    <t>Cameroon_1991</t>
  </si>
  <si>
    <t>Cameroon_1992</t>
  </si>
  <si>
    <t>Cameroon_1993</t>
  </si>
  <si>
    <t>Cameroon_1994</t>
  </si>
  <si>
    <t>Cameroon_1995</t>
  </si>
  <si>
    <t>Cameroon_1996</t>
  </si>
  <si>
    <t>Cameroon_1997</t>
  </si>
  <si>
    <t>Cameroon_1998</t>
  </si>
  <si>
    <t>Cameroon_1999</t>
  </si>
  <si>
    <t>Cameroon_2000</t>
  </si>
  <si>
    <t>Cameroon_2001</t>
  </si>
  <si>
    <t>Cameroon_2002</t>
  </si>
  <si>
    <t>Cameroon_2004</t>
  </si>
  <si>
    <t>Cameroon_2005</t>
  </si>
  <si>
    <t>Cameroon_2006</t>
  </si>
  <si>
    <t>Cameroon_2007</t>
  </si>
  <si>
    <t>Cameroon_2008</t>
  </si>
  <si>
    <t>Cameroon_2009</t>
  </si>
  <si>
    <t>Cameroon_2010</t>
  </si>
  <si>
    <t>Cameroon_2011</t>
  </si>
  <si>
    <t>Cameroon_2012</t>
  </si>
  <si>
    <t>Cameroon_2013</t>
  </si>
  <si>
    <t>Cameroon_2014</t>
  </si>
  <si>
    <t>Cameroon_2015</t>
  </si>
  <si>
    <t>Cameroon_2016</t>
  </si>
  <si>
    <t>Central African Republic_1985</t>
  </si>
  <si>
    <t>Central African Republic</t>
  </si>
  <si>
    <t>Central African Republic_1986</t>
  </si>
  <si>
    <t>Central African Republic_1987</t>
  </si>
  <si>
    <t>Central African Republic_1989</t>
  </si>
  <si>
    <t>Central African Republic_1990</t>
  </si>
  <si>
    <t>Central African Republic_1991</t>
  </si>
  <si>
    <t>Central African Republic_1992</t>
  </si>
  <si>
    <t>Central African Republic_1993</t>
  </si>
  <si>
    <t>Central African Republic_1994</t>
  </si>
  <si>
    <t>Central African Republic_1995</t>
  </si>
  <si>
    <t>Central African Republic_1996</t>
  </si>
  <si>
    <t>Central African Republic_1997</t>
  </si>
  <si>
    <t>Central African Republic_1998</t>
  </si>
  <si>
    <t>Central African Republic_1999</t>
  </si>
  <si>
    <t>Central African Republic_2000</t>
  </si>
  <si>
    <t>Central African Republic_2001</t>
  </si>
  <si>
    <t>Central African Republic_2002</t>
  </si>
  <si>
    <t>Central African Republic_2004</t>
  </si>
  <si>
    <t>Central African Republic_2005</t>
  </si>
  <si>
    <t>Central African Republic_2006</t>
  </si>
  <si>
    <t>Central African Republic_2007</t>
  </si>
  <si>
    <t>Central African Republic_2008</t>
  </si>
  <si>
    <t>Central African Republic_2009</t>
  </si>
  <si>
    <t>Central African Republic_2010</t>
  </si>
  <si>
    <t>Central African Republic_2011</t>
  </si>
  <si>
    <t>Central African Republic_2012</t>
  </si>
  <si>
    <t>Central African Republic_2013</t>
  </si>
  <si>
    <t>Central African Republic_2014</t>
  </si>
  <si>
    <t>Central African Republic_2015</t>
  </si>
  <si>
    <t>Central African Republic_2016</t>
  </si>
  <si>
    <t>Chad_1985</t>
  </si>
  <si>
    <t>Chad</t>
  </si>
  <si>
    <t>Chad_1986</t>
  </si>
  <si>
    <t>Chad_1987</t>
  </si>
  <si>
    <t>Chad_1989</t>
  </si>
  <si>
    <t>Chad_1990</t>
  </si>
  <si>
    <t>Chad_1991</t>
  </si>
  <si>
    <t>Chad_1992</t>
  </si>
  <si>
    <t>Chad_1993</t>
  </si>
  <si>
    <t>Chad_1994</t>
  </si>
  <si>
    <t>Chad_1995</t>
  </si>
  <si>
    <t>Chad_1996</t>
  </si>
  <si>
    <t>Chad_1997</t>
  </si>
  <si>
    <t>Chad_1998</t>
  </si>
  <si>
    <t>Chad_1999</t>
  </si>
  <si>
    <t>Chad_2000</t>
  </si>
  <si>
    <t>Chad_2001</t>
  </si>
  <si>
    <t>Chad_2002</t>
  </si>
  <si>
    <t>Chad_2004</t>
  </si>
  <si>
    <t>Chad_2005</t>
  </si>
  <si>
    <t>Chad_2006</t>
  </si>
  <si>
    <t>Chad_2007</t>
  </si>
  <si>
    <t>Chad_2008</t>
  </si>
  <si>
    <t>Chad_2009</t>
  </si>
  <si>
    <t>Chad_2010</t>
  </si>
  <si>
    <t>Chad_2011</t>
  </si>
  <si>
    <t>Chad_2012</t>
  </si>
  <si>
    <t>Chad_2013</t>
  </si>
  <si>
    <t>Chad_2014</t>
  </si>
  <si>
    <t>Chad_2015</t>
  </si>
  <si>
    <t>Chad_2016</t>
  </si>
  <si>
    <t>Chile_1985</t>
  </si>
  <si>
    <t>Chile</t>
  </si>
  <si>
    <t>Chile_1986</t>
  </si>
  <si>
    <t>Chile_1987</t>
  </si>
  <si>
    <t>Chile_1989</t>
  </si>
  <si>
    <t>Chile_1990</t>
  </si>
  <si>
    <t>Chile_1991</t>
  </si>
  <si>
    <t>Chile_1992</t>
  </si>
  <si>
    <t>Chile_1993</t>
  </si>
  <si>
    <t>Chile_1994</t>
  </si>
  <si>
    <t>Chile_1995</t>
  </si>
  <si>
    <t>Chile_1996</t>
  </si>
  <si>
    <t>Chile_1997</t>
  </si>
  <si>
    <t>Chile_1998</t>
  </si>
  <si>
    <t>Chile_1999</t>
  </si>
  <si>
    <t>Chile_2000</t>
  </si>
  <si>
    <t>Chile_2001</t>
  </si>
  <si>
    <t>Chile_2002</t>
  </si>
  <si>
    <t>Chile_2004</t>
  </si>
  <si>
    <t>Chile_2005</t>
  </si>
  <si>
    <t>Chile_2006</t>
  </si>
  <si>
    <t>Chile_2007</t>
  </si>
  <si>
    <t>Chile_2008</t>
  </si>
  <si>
    <t>Chile_2009</t>
  </si>
  <si>
    <t>Chile_2010</t>
  </si>
  <si>
    <t>Chile_2011</t>
  </si>
  <si>
    <t>Chile_2012</t>
  </si>
  <si>
    <t>Chile_2013</t>
  </si>
  <si>
    <t>Chile_2014</t>
  </si>
  <si>
    <t>Chile_2015</t>
  </si>
  <si>
    <t>Chile_2016</t>
  </si>
  <si>
    <t>China_1985</t>
  </si>
  <si>
    <t>China</t>
  </si>
  <si>
    <t>China_1986</t>
  </si>
  <si>
    <t>China_1987</t>
  </si>
  <si>
    <t>China_1989</t>
  </si>
  <si>
    <t>China_1990</t>
  </si>
  <si>
    <t>China_1991</t>
  </si>
  <si>
    <t>China_1992</t>
  </si>
  <si>
    <t>China_1993</t>
  </si>
  <si>
    <t>China_1994</t>
  </si>
  <si>
    <t>China_1995</t>
  </si>
  <si>
    <t>China_1996</t>
  </si>
  <si>
    <t>China_1997</t>
  </si>
  <si>
    <t>China_1998</t>
  </si>
  <si>
    <t>China_1999</t>
  </si>
  <si>
    <t>China_2000</t>
  </si>
  <si>
    <t>China_2001</t>
  </si>
  <si>
    <t>China_2002</t>
  </si>
  <si>
    <t>China_2004</t>
  </si>
  <si>
    <t>China_2005</t>
  </si>
  <si>
    <t>China_2006</t>
  </si>
  <si>
    <t>China_2007</t>
  </si>
  <si>
    <t>China_2008</t>
  </si>
  <si>
    <t>China_2009</t>
  </si>
  <si>
    <t>China_2010</t>
  </si>
  <si>
    <t>China_2011</t>
  </si>
  <si>
    <t>China_2012</t>
  </si>
  <si>
    <t>China_2013</t>
  </si>
  <si>
    <t>China_2014</t>
  </si>
  <si>
    <t>China_2015</t>
  </si>
  <si>
    <t>China_2016</t>
  </si>
  <si>
    <t>Colombia_1985</t>
  </si>
  <si>
    <t>Colombia</t>
  </si>
  <si>
    <t>Colombia_1986</t>
  </si>
  <si>
    <t>Colombia_1987</t>
  </si>
  <si>
    <t>Colombia_1989</t>
  </si>
  <si>
    <t>Colombia_1990</t>
  </si>
  <si>
    <t>Colombia_1991</t>
  </si>
  <si>
    <t>Colombia_1992</t>
  </si>
  <si>
    <t>Colombia_1993</t>
  </si>
  <si>
    <t>Colombia_1994</t>
  </si>
  <si>
    <t>Colombia_1995</t>
  </si>
  <si>
    <t>Colombia_1996</t>
  </si>
  <si>
    <t>Colombia_1997</t>
  </si>
  <si>
    <t>Colombia_1998</t>
  </si>
  <si>
    <t>Colombia_1999</t>
  </si>
  <si>
    <t>Colombia_2000</t>
  </si>
  <si>
    <t>Colombia_2001</t>
  </si>
  <si>
    <t>Colombia_2002</t>
  </si>
  <si>
    <t>Colombia_2004</t>
  </si>
  <si>
    <t>Colombia_2005</t>
  </si>
  <si>
    <t>Colombia_2006</t>
  </si>
  <si>
    <t>Colombia_2007</t>
  </si>
  <si>
    <t>Colombia_2008</t>
  </si>
  <si>
    <t>Colombia_2009</t>
  </si>
  <si>
    <t>Colombia_2010</t>
  </si>
  <si>
    <t>Colombia_2011</t>
  </si>
  <si>
    <t>Colombia_2012</t>
  </si>
  <si>
    <t>Colombia_2013</t>
  </si>
  <si>
    <t>Colombia_2014</t>
  </si>
  <si>
    <t>Colombia_2015</t>
  </si>
  <si>
    <t>Colombia_2016</t>
  </si>
  <si>
    <t>Comoros_1985</t>
  </si>
  <si>
    <t>Comoros</t>
  </si>
  <si>
    <t>Comoros_1986</t>
  </si>
  <si>
    <t>Comoros_1987</t>
  </si>
  <si>
    <t>Comoros_1989</t>
  </si>
  <si>
    <t>Comoros_1990</t>
  </si>
  <si>
    <t>Comoros_1991</t>
  </si>
  <si>
    <t>Comoros_1992</t>
  </si>
  <si>
    <t>Comoros_1993</t>
  </si>
  <si>
    <t>Comoros_1994</t>
  </si>
  <si>
    <t>Comoros_1995</t>
  </si>
  <si>
    <t>Comoros_1996</t>
  </si>
  <si>
    <t>Comoros_1997</t>
  </si>
  <si>
    <t>Comoros_1998</t>
  </si>
  <si>
    <t>Comoros_1999</t>
  </si>
  <si>
    <t>Comoros_2000</t>
  </si>
  <si>
    <t>Comoros_2001</t>
  </si>
  <si>
    <t>Comoros_2002</t>
  </si>
  <si>
    <t>Comoros_2004</t>
  </si>
  <si>
    <t>Comoros_2005</t>
  </si>
  <si>
    <t>Comoros_2006</t>
  </si>
  <si>
    <t>Comoros_2007</t>
  </si>
  <si>
    <t>Comoros_2008</t>
  </si>
  <si>
    <t>Comoros_2009</t>
  </si>
  <si>
    <t>Comoros_2010</t>
  </si>
  <si>
    <t>Comoros_2011</t>
  </si>
  <si>
    <t>Comoros_2012</t>
  </si>
  <si>
    <t>Comoros_2013</t>
  </si>
  <si>
    <t>Comoros_2014</t>
  </si>
  <si>
    <t>Comoros_2015</t>
  </si>
  <si>
    <t>Comoros_2016</t>
  </si>
  <si>
    <t>Costa Rica_1985</t>
  </si>
  <si>
    <t>Costa Rica</t>
  </si>
  <si>
    <t>Costa Rica_1986</t>
  </si>
  <si>
    <t>Costa Rica_1987</t>
  </si>
  <si>
    <t>Costa Rica_1989</t>
  </si>
  <si>
    <t>Costa Rica_1990</t>
  </si>
  <si>
    <t>Costa Rica_1991</t>
  </si>
  <si>
    <t>Costa Rica_1992</t>
  </si>
  <si>
    <t>Costa Rica_1993</t>
  </si>
  <si>
    <t>Costa Rica_1994</t>
  </si>
  <si>
    <t>Costa Rica_1995</t>
  </si>
  <si>
    <t>Costa Rica_1996</t>
  </si>
  <si>
    <t>Costa Rica_1997</t>
  </si>
  <si>
    <t>Costa Rica_1998</t>
  </si>
  <si>
    <t>Costa Rica_1999</t>
  </si>
  <si>
    <t>Costa Rica_2000</t>
  </si>
  <si>
    <t>Costa Rica_2001</t>
  </si>
  <si>
    <t>Costa Rica_2002</t>
  </si>
  <si>
    <t>Costa Rica_2004</t>
  </si>
  <si>
    <t>Costa Rica_2005</t>
  </si>
  <si>
    <t>Costa Rica_2006</t>
  </si>
  <si>
    <t>Costa Rica_2007</t>
  </si>
  <si>
    <t>Costa Rica_2008</t>
  </si>
  <si>
    <t>Costa Rica_2009</t>
  </si>
  <si>
    <t>Costa Rica_2010</t>
  </si>
  <si>
    <t>Costa Rica_2011</t>
  </si>
  <si>
    <t>Costa Rica_2012</t>
  </si>
  <si>
    <t>Costa Rica_2013</t>
  </si>
  <si>
    <t>Costa Rica_2014</t>
  </si>
  <si>
    <t>Costa Rica_2015</t>
  </si>
  <si>
    <t>Costa Rica_2016</t>
  </si>
  <si>
    <t>Cuba_1985</t>
  </si>
  <si>
    <t>Cuba</t>
  </si>
  <si>
    <t>Cuba_1986</t>
  </si>
  <si>
    <t>Cuba_1987</t>
  </si>
  <si>
    <t>Cuba_1989</t>
  </si>
  <si>
    <t>Cuba_1990</t>
  </si>
  <si>
    <t>Cuba_1991</t>
  </si>
  <si>
    <t>Cuba_1992</t>
  </si>
  <si>
    <t>Cuba_1993</t>
  </si>
  <si>
    <t>Cuba_1994</t>
  </si>
  <si>
    <t>Cuba_1995</t>
  </si>
  <si>
    <t>Cuba_1996</t>
  </si>
  <si>
    <t>Cuba_1997</t>
  </si>
  <si>
    <t>Cuba_1998</t>
  </si>
  <si>
    <t>Cuba_1999</t>
  </si>
  <si>
    <t>Cuba_2000</t>
  </si>
  <si>
    <t>Cuba_2001</t>
  </si>
  <si>
    <t>Cuba_2002</t>
  </si>
  <si>
    <t>Cuba_2004</t>
  </si>
  <si>
    <t>Cuba_2005</t>
  </si>
  <si>
    <t>Cuba_2006</t>
  </si>
  <si>
    <t>Cuba_2007</t>
  </si>
  <si>
    <t>Cuba_2008</t>
  </si>
  <si>
    <t>Cuba_2009</t>
  </si>
  <si>
    <t>Cuba_2010</t>
  </si>
  <si>
    <t>Cuba_2011</t>
  </si>
  <si>
    <t>Cuba_2012</t>
  </si>
  <si>
    <t>Cuba_2013</t>
  </si>
  <si>
    <t>Cuba_2014</t>
  </si>
  <si>
    <t>Cuba_2015</t>
  </si>
  <si>
    <t>Cuba_2016</t>
  </si>
  <si>
    <t>Dominican Republic_1985</t>
  </si>
  <si>
    <t>Dominican Republic</t>
  </si>
  <si>
    <t>Dominican Republic_1986</t>
  </si>
  <si>
    <t>Dominican Republic_1987</t>
  </si>
  <si>
    <t>Dominican Republic_1989</t>
  </si>
  <si>
    <t>Dominican Republic_1990</t>
  </si>
  <si>
    <t>Dominican Republic_1991</t>
  </si>
  <si>
    <t>Dominican Republic_1992</t>
  </si>
  <si>
    <t>Dominican Republic_1993</t>
  </si>
  <si>
    <t>Dominican Republic_1994</t>
  </si>
  <si>
    <t>Dominican Republic_1995</t>
  </si>
  <si>
    <t>Dominican Republic_1996</t>
  </si>
  <si>
    <t>Dominican Republic_1997</t>
  </si>
  <si>
    <t>Dominican Republic_1998</t>
  </si>
  <si>
    <t>Dominican Republic_1999</t>
  </si>
  <si>
    <t>Dominican Republic_2000</t>
  </si>
  <si>
    <t>Dominican Republic_2001</t>
  </si>
  <si>
    <t>Dominican Republic_2002</t>
  </si>
  <si>
    <t>Dominican Republic_2004</t>
  </si>
  <si>
    <t>Dominican Republic_2005</t>
  </si>
  <si>
    <t>Dominican Republic_2006</t>
  </si>
  <si>
    <t>Dominican Republic_2007</t>
  </si>
  <si>
    <t>Dominican Republic_2008</t>
  </si>
  <si>
    <t>Dominican Republic_2009</t>
  </si>
  <si>
    <t>Dominican Republic_2010</t>
  </si>
  <si>
    <t>Dominican Republic_2011</t>
  </si>
  <si>
    <t>Dominican Republic_2012</t>
  </si>
  <si>
    <t>Dominican Republic_2013</t>
  </si>
  <si>
    <t>Dominican Republic_2014</t>
  </si>
  <si>
    <t>Dominican Republic_2015</t>
  </si>
  <si>
    <t>Dominican Republic_2016</t>
  </si>
  <si>
    <t>Ecuador_1985</t>
  </si>
  <si>
    <t>Ecuador</t>
  </si>
  <si>
    <t>Ecuador_1986</t>
  </si>
  <si>
    <t>Ecuador_1987</t>
  </si>
  <si>
    <t>Ecuador_1989</t>
  </si>
  <si>
    <t>Ecuador_1990</t>
  </si>
  <si>
    <t>Ecuador_1991</t>
  </si>
  <si>
    <t>Ecuador_1992</t>
  </si>
  <si>
    <t>Ecuador_1993</t>
  </si>
  <si>
    <t>Ecuador_1994</t>
  </si>
  <si>
    <t>Ecuador_1995</t>
  </si>
  <si>
    <t>Ecuador_1996</t>
  </si>
  <si>
    <t>Ecuador_1997</t>
  </si>
  <si>
    <t>Ecuador_1998</t>
  </si>
  <si>
    <t>Ecuador_1999</t>
  </si>
  <si>
    <t>Ecuador_2000</t>
  </si>
  <si>
    <t>Ecuador_2001</t>
  </si>
  <si>
    <t>Ecuador_2002</t>
  </si>
  <si>
    <t>Ecuador_2004</t>
  </si>
  <si>
    <t>Ecuador_2005</t>
  </si>
  <si>
    <t>Ecuador_2006</t>
  </si>
  <si>
    <t>Ecuador_2007</t>
  </si>
  <si>
    <t>Ecuador_2008</t>
  </si>
  <si>
    <t>Ecuador_2009</t>
  </si>
  <si>
    <t>Ecuador_2010</t>
  </si>
  <si>
    <t>Ecuador_2011</t>
  </si>
  <si>
    <t>Ecuador_2012</t>
  </si>
  <si>
    <t>Ecuador_2013</t>
  </si>
  <si>
    <t>Ecuador_2014</t>
  </si>
  <si>
    <t>Ecuador_2015</t>
  </si>
  <si>
    <t>Ecuador_2016</t>
  </si>
  <si>
    <t>Egypt_1985</t>
  </si>
  <si>
    <t>Egypt</t>
  </si>
  <si>
    <t>Egypt_1986</t>
  </si>
  <si>
    <t>Egypt_1987</t>
  </si>
  <si>
    <t>Egypt_1989</t>
  </si>
  <si>
    <t>Egypt_1990</t>
  </si>
  <si>
    <t>Egypt_1991</t>
  </si>
  <si>
    <t>Egypt_1992</t>
  </si>
  <si>
    <t>Egypt_1993</t>
  </si>
  <si>
    <t>Egypt_1994</t>
  </si>
  <si>
    <t>Egypt_1995</t>
  </si>
  <si>
    <t>Egypt_1996</t>
  </si>
  <si>
    <t>Egypt_1997</t>
  </si>
  <si>
    <t>Egypt_1998</t>
  </si>
  <si>
    <t>Egypt_1999</t>
  </si>
  <si>
    <t>Egypt_2000</t>
  </si>
  <si>
    <t>Egypt_2001</t>
  </si>
  <si>
    <t>Egypt_2002</t>
  </si>
  <si>
    <t>Egypt_2004</t>
  </si>
  <si>
    <t>Egypt_2005</t>
  </si>
  <si>
    <t>Egypt_2006</t>
  </si>
  <si>
    <t>Egypt_2007</t>
  </si>
  <si>
    <t>Egypt_2008</t>
  </si>
  <si>
    <t>Egypt_2009</t>
  </si>
  <si>
    <t>Egypt_2010</t>
  </si>
  <si>
    <t>Egypt_2011</t>
  </si>
  <si>
    <t>Egypt_2012</t>
  </si>
  <si>
    <t>Egypt_2013</t>
  </si>
  <si>
    <t>Egypt_2014</t>
  </si>
  <si>
    <t>Egypt_2015</t>
  </si>
  <si>
    <t>Egypt_2016</t>
  </si>
  <si>
    <t>El Salvador_1985</t>
  </si>
  <si>
    <t>El Salvador</t>
  </si>
  <si>
    <t>El Salvador_1986</t>
  </si>
  <si>
    <t>El Salvador_1987</t>
  </si>
  <si>
    <t>El Salvador_1989</t>
  </si>
  <si>
    <t>El Salvador_1990</t>
  </si>
  <si>
    <t>El Salvador_1991</t>
  </si>
  <si>
    <t>El Salvador_1992</t>
  </si>
  <si>
    <t>El Salvador_1993</t>
  </si>
  <si>
    <t>El Salvador_1994</t>
  </si>
  <si>
    <t>El Salvador_1995</t>
  </si>
  <si>
    <t>El Salvador_1996</t>
  </si>
  <si>
    <t>El Salvador_1997</t>
  </si>
  <si>
    <t>El Salvador_1998</t>
  </si>
  <si>
    <t>El Salvador_1999</t>
  </si>
  <si>
    <t>El Salvador_2000</t>
  </si>
  <si>
    <t>El Salvador_2001</t>
  </si>
  <si>
    <t>El Salvador_2002</t>
  </si>
  <si>
    <t>El Salvador_2004</t>
  </si>
  <si>
    <t>El Salvador_2005</t>
  </si>
  <si>
    <t>El Salvador_2006</t>
  </si>
  <si>
    <t>El Salvador_2007</t>
  </si>
  <si>
    <t>El Salvador_2008</t>
  </si>
  <si>
    <t>El Salvador_2009</t>
  </si>
  <si>
    <t>El Salvador_2010</t>
  </si>
  <si>
    <t>El Salvador_2011</t>
  </si>
  <si>
    <t>El Salvador_2012</t>
  </si>
  <si>
    <t>El Salvador_2013</t>
  </si>
  <si>
    <t>El Salvador_2014</t>
  </si>
  <si>
    <t>El Salvador_2015</t>
  </si>
  <si>
    <t>El Salvador_2016</t>
  </si>
  <si>
    <t>Ethiopia_1993</t>
  </si>
  <si>
    <t>Ethiopia</t>
  </si>
  <si>
    <t>Ethiopia_1994</t>
  </si>
  <si>
    <t>Ethiopia_1995</t>
  </si>
  <si>
    <t>Ethiopia_1996</t>
  </si>
  <si>
    <t>Ethiopia_1997</t>
  </si>
  <si>
    <t>Ethiopia_1998</t>
  </si>
  <si>
    <t>Ethiopia_1999</t>
  </si>
  <si>
    <t>Ethiopia_2000</t>
  </si>
  <si>
    <t>Ethiopia_2001</t>
  </si>
  <si>
    <t>Ethiopia_2002</t>
  </si>
  <si>
    <t>Ethiopia_2004</t>
  </si>
  <si>
    <t>Ethiopia_2005</t>
  </si>
  <si>
    <t>Ethiopia_2006</t>
  </si>
  <si>
    <t>Ethiopia_2007</t>
  </si>
  <si>
    <t>Ethiopia_2008</t>
  </si>
  <si>
    <t>Ethiopia_2009</t>
  </si>
  <si>
    <t>Ethiopia_2010</t>
  </si>
  <si>
    <t>Ethiopia_2011</t>
  </si>
  <si>
    <t>Ethiopia_2012</t>
  </si>
  <si>
    <t>Ethiopia_2013</t>
  </si>
  <si>
    <t>Ethiopia_2014</t>
  </si>
  <si>
    <t>Ethiopia_2015</t>
  </si>
  <si>
    <t>Ethiopia_2016</t>
  </si>
  <si>
    <t>Fiji_1985</t>
  </si>
  <si>
    <t>Fiji</t>
  </si>
  <si>
    <t>Fiji_1986</t>
  </si>
  <si>
    <t>Fiji_1987</t>
  </si>
  <si>
    <t>Fiji_1989</t>
  </si>
  <si>
    <t>Fiji_1990</t>
  </si>
  <si>
    <t>Fiji_1991</t>
  </si>
  <si>
    <t>Fiji_1992</t>
  </si>
  <si>
    <t>Fiji_1993</t>
  </si>
  <si>
    <t>Fiji_1994</t>
  </si>
  <si>
    <t>Fiji_1995</t>
  </si>
  <si>
    <t>Fiji_1996</t>
  </si>
  <si>
    <t>Fiji_1997</t>
  </si>
  <si>
    <t>Fiji_1998</t>
  </si>
  <si>
    <t>Fiji_1999</t>
  </si>
  <si>
    <t>Fiji_2000</t>
  </si>
  <si>
    <t>Fiji_2001</t>
  </si>
  <si>
    <t>Fiji_2002</t>
  </si>
  <si>
    <t>Fiji_2004</t>
  </si>
  <si>
    <t>Fiji_2005</t>
  </si>
  <si>
    <t>Fiji_2006</t>
  </si>
  <si>
    <t>Fiji_2007</t>
  </si>
  <si>
    <t>Fiji_2008</t>
  </si>
  <si>
    <t>Fiji_2009</t>
  </si>
  <si>
    <t>Fiji_2010</t>
  </si>
  <si>
    <t>Fiji_2011</t>
  </si>
  <si>
    <t>Fiji_2012</t>
  </si>
  <si>
    <t>Fiji_2013</t>
  </si>
  <si>
    <t>Fiji_2014</t>
  </si>
  <si>
    <t>Fiji_2015</t>
  </si>
  <si>
    <t>Fiji_2016</t>
  </si>
  <si>
    <t>France_1985</t>
  </si>
  <si>
    <t>France</t>
  </si>
  <si>
    <t>France_1986</t>
  </si>
  <si>
    <t>France_1987</t>
  </si>
  <si>
    <t>France_1989</t>
  </si>
  <si>
    <t>France_1990</t>
  </si>
  <si>
    <t>France_1991</t>
  </si>
  <si>
    <t>France_1992</t>
  </si>
  <si>
    <t>France_1993</t>
  </si>
  <si>
    <t>France_1994</t>
  </si>
  <si>
    <t>France_1995</t>
  </si>
  <si>
    <t>France_1996</t>
  </si>
  <si>
    <t>France_1997</t>
  </si>
  <si>
    <t>France_1998</t>
  </si>
  <si>
    <t>France_1999</t>
  </si>
  <si>
    <t>France_2000</t>
  </si>
  <si>
    <t>France_2001</t>
  </si>
  <si>
    <t>France_2002</t>
  </si>
  <si>
    <t>France_2004</t>
  </si>
  <si>
    <t>France_2005</t>
  </si>
  <si>
    <t>France_2006</t>
  </si>
  <si>
    <t>France_2007</t>
  </si>
  <si>
    <t>France_2008</t>
  </si>
  <si>
    <t>France_2009</t>
  </si>
  <si>
    <t>France_2010</t>
  </si>
  <si>
    <t>France_2011</t>
  </si>
  <si>
    <t>France_2012</t>
  </si>
  <si>
    <t>France_2013</t>
  </si>
  <si>
    <t>France_2014</t>
  </si>
  <si>
    <t>France_2015</t>
  </si>
  <si>
    <t>France_2016</t>
  </si>
  <si>
    <t>Gabon_1985</t>
  </si>
  <si>
    <t>Gabon</t>
  </si>
  <si>
    <t>Gabon_1986</t>
  </si>
  <si>
    <t>Gabon_1987</t>
  </si>
  <si>
    <t>Gabon_1989</t>
  </si>
  <si>
    <t>Gabon_1990</t>
  </si>
  <si>
    <t>Gabon_1991</t>
  </si>
  <si>
    <t>Gabon_1992</t>
  </si>
  <si>
    <t>Gabon_1993</t>
  </si>
  <si>
    <t>Gabon_1994</t>
  </si>
  <si>
    <t>Gabon_1995</t>
  </si>
  <si>
    <t>Gabon_1996</t>
  </si>
  <si>
    <t>Gabon_1997</t>
  </si>
  <si>
    <t>Gabon_1998</t>
  </si>
  <si>
    <t>Gabon_1999</t>
  </si>
  <si>
    <t>Gabon_2000</t>
  </si>
  <si>
    <t>Gabon_2001</t>
  </si>
  <si>
    <t>Gabon_2002</t>
  </si>
  <si>
    <t>Gabon_2004</t>
  </si>
  <si>
    <t>Gabon_2005</t>
  </si>
  <si>
    <t>Gabon_2006</t>
  </si>
  <si>
    <t>Gabon_2007</t>
  </si>
  <si>
    <t>Gabon_2008</t>
  </si>
  <si>
    <t>Gabon_2009</t>
  </si>
  <si>
    <t>Gabon_2010</t>
  </si>
  <si>
    <t>Gabon_2011</t>
  </si>
  <si>
    <t>Gabon_2012</t>
  </si>
  <si>
    <t>Gabon_2013</t>
  </si>
  <si>
    <t>Gabon_2014</t>
  </si>
  <si>
    <t>Gabon_2015</t>
  </si>
  <si>
    <t>Gabon_2016</t>
  </si>
  <si>
    <t>Gambia_1985</t>
  </si>
  <si>
    <t>Gambia</t>
  </si>
  <si>
    <t>Gambia_1986</t>
  </si>
  <si>
    <t>Gambia_1987</t>
  </si>
  <si>
    <t>Gambia_1989</t>
  </si>
  <si>
    <t>Gambia_1990</t>
  </si>
  <si>
    <t>Gambia_1991</t>
  </si>
  <si>
    <t>Gambia_1992</t>
  </si>
  <si>
    <t>Gambia_1993</t>
  </si>
  <si>
    <t>Gambia_1994</t>
  </si>
  <si>
    <t>Gambia_1995</t>
  </si>
  <si>
    <t>Gambia_1996</t>
  </si>
  <si>
    <t>Gambia_1997</t>
  </si>
  <si>
    <t>Gambia_1998</t>
  </si>
  <si>
    <t>Gambia_1999</t>
  </si>
  <si>
    <t>Gambia_2000</t>
  </si>
  <si>
    <t>Gambia_2001</t>
  </si>
  <si>
    <t>Gambia_2002</t>
  </si>
  <si>
    <t>Gambia_2004</t>
  </si>
  <si>
    <t>Gambia_2005</t>
  </si>
  <si>
    <t>Gambia_2006</t>
  </si>
  <si>
    <t>Gambia_2007</t>
  </si>
  <si>
    <t>Gambia_2008</t>
  </si>
  <si>
    <t>Gambia_2009</t>
  </si>
  <si>
    <t>Gambia_2010</t>
  </si>
  <si>
    <t>Gambia_2011</t>
  </si>
  <si>
    <t>Gambia_2012</t>
  </si>
  <si>
    <t>Gambia_2013</t>
  </si>
  <si>
    <t>Gambia_2014</t>
  </si>
  <si>
    <t>Gambia_2015</t>
  </si>
  <si>
    <t>Gambia_2016</t>
  </si>
  <si>
    <t>Ghana_1985</t>
  </si>
  <si>
    <t>Ghana</t>
  </si>
  <si>
    <t>Ghana_1986</t>
  </si>
  <si>
    <t>Ghana_1987</t>
  </si>
  <si>
    <t>Ghana_1989</t>
  </si>
  <si>
    <t>Ghana_1990</t>
  </si>
  <si>
    <t>Ghana_1991</t>
  </si>
  <si>
    <t>Ghana_1992</t>
  </si>
  <si>
    <t>Ghana_1993</t>
  </si>
  <si>
    <t>Ghana_1994</t>
  </si>
  <si>
    <t>Ghana_1995</t>
  </si>
  <si>
    <t>Ghana_1996</t>
  </si>
  <si>
    <t>Ghana_1997</t>
  </si>
  <si>
    <t>Ghana_1998</t>
  </si>
  <si>
    <t>Ghana_1999</t>
  </si>
  <si>
    <t>Ghana_2000</t>
  </si>
  <si>
    <t>Ghana_2001</t>
  </si>
  <si>
    <t>Ghana_2002</t>
  </si>
  <si>
    <t>Ghana_2004</t>
  </si>
  <si>
    <t>Ghana_2005</t>
  </si>
  <si>
    <t>Ghana_2006</t>
  </si>
  <si>
    <t>Ghana_2007</t>
  </si>
  <si>
    <t>Ghana_2008</t>
  </si>
  <si>
    <t>Ghana_2009</t>
  </si>
  <si>
    <t>Ghana_2010</t>
  </si>
  <si>
    <t>Ghana_2011</t>
  </si>
  <si>
    <t>Ghana_2012</t>
  </si>
  <si>
    <t>Ghana_2013</t>
  </si>
  <si>
    <t>Ghana_2014</t>
  </si>
  <si>
    <t>Ghana_2015</t>
  </si>
  <si>
    <t>Ghana_2016</t>
  </si>
  <si>
    <t>Greece_1985</t>
  </si>
  <si>
    <t>Greece</t>
  </si>
  <si>
    <t>Greece_1986</t>
  </si>
  <si>
    <t>Greece_1987</t>
  </si>
  <si>
    <t>Greece_1989</t>
  </si>
  <si>
    <t>Greece_1990</t>
  </si>
  <si>
    <t>Greece_1991</t>
  </si>
  <si>
    <t>Greece_1992</t>
  </si>
  <si>
    <t>Greece_1993</t>
  </si>
  <si>
    <t>Greece_1994</t>
  </si>
  <si>
    <t>Greece_1995</t>
  </si>
  <si>
    <t>Greece_1996</t>
  </si>
  <si>
    <t>Greece_1997</t>
  </si>
  <si>
    <t>Greece_1998</t>
  </si>
  <si>
    <t>Greece_1999</t>
  </si>
  <si>
    <t>Greece_2000</t>
  </si>
  <si>
    <t>Greece_2001</t>
  </si>
  <si>
    <t>Greece_2002</t>
  </si>
  <si>
    <t>Greece_2004</t>
  </si>
  <si>
    <t>Greece_2005</t>
  </si>
  <si>
    <t>Greece_2006</t>
  </si>
  <si>
    <t>Greece_2007</t>
  </si>
  <si>
    <t>Greece_2008</t>
  </si>
  <si>
    <t>Greece_2009</t>
  </si>
  <si>
    <t>Greece_2010</t>
  </si>
  <si>
    <t>Greece_2011</t>
  </si>
  <si>
    <t>Greece_2012</t>
  </si>
  <si>
    <t>Greece_2013</t>
  </si>
  <si>
    <t>Greece_2014</t>
  </si>
  <si>
    <t>Greece_2015</t>
  </si>
  <si>
    <t>Greece_2016</t>
  </si>
  <si>
    <t>Guatemala_1985</t>
  </si>
  <si>
    <t>Guatemala</t>
  </si>
  <si>
    <t>Guatemala_1986</t>
  </si>
  <si>
    <t>Guatemala_1987</t>
  </si>
  <si>
    <t>Guatemala_1989</t>
  </si>
  <si>
    <t>Guatemala_1990</t>
  </si>
  <si>
    <t>Guatemala_1991</t>
  </si>
  <si>
    <t>Guatemala_1992</t>
  </si>
  <si>
    <t>Guatemala_1993</t>
  </si>
  <si>
    <t>Guatemala_1994</t>
  </si>
  <si>
    <t>Guatemala_1995</t>
  </si>
  <si>
    <t>Guatemala_1996</t>
  </si>
  <si>
    <t>Guatemala_1997</t>
  </si>
  <si>
    <t>Guatemala_1998</t>
  </si>
  <si>
    <t>Guatemala_1999</t>
  </si>
  <si>
    <t>Guatemala_2000</t>
  </si>
  <si>
    <t>Guatemala_2001</t>
  </si>
  <si>
    <t>Guatemala_2002</t>
  </si>
  <si>
    <t>Guatemala_2004</t>
  </si>
  <si>
    <t>Guatemala_2005</t>
  </si>
  <si>
    <t>Guatemala_2006</t>
  </si>
  <si>
    <t>Guatemala_2007</t>
  </si>
  <si>
    <t>Guatemala_2008</t>
  </si>
  <si>
    <t>Guatemala_2009</t>
  </si>
  <si>
    <t>Guatemala_2010</t>
  </si>
  <si>
    <t>Guatemala_2011</t>
  </si>
  <si>
    <t>Guatemala_2012</t>
  </si>
  <si>
    <t>Guatemala_2013</t>
  </si>
  <si>
    <t>Guatemala_2014</t>
  </si>
  <si>
    <t>Guatemala_2015</t>
  </si>
  <si>
    <t>Guatemala_2016</t>
  </si>
  <si>
    <t>Guinea_1985</t>
  </si>
  <si>
    <t>Guinea</t>
  </si>
  <si>
    <t>Guinea_1986</t>
  </si>
  <si>
    <t>Guinea_1987</t>
  </si>
  <si>
    <t>Guinea_1989</t>
  </si>
  <si>
    <t>Guinea_1990</t>
  </si>
  <si>
    <t>Guinea_1991</t>
  </si>
  <si>
    <t>Guinea_1992</t>
  </si>
  <si>
    <t>Guinea_1993</t>
  </si>
  <si>
    <t>Guinea_1994</t>
  </si>
  <si>
    <t>Guinea_1995</t>
  </si>
  <si>
    <t>Guinea_1996</t>
  </si>
  <si>
    <t>Guinea_1997</t>
  </si>
  <si>
    <t>Guinea_1998</t>
  </si>
  <si>
    <t>Guinea_1999</t>
  </si>
  <si>
    <t>Guinea_2000</t>
  </si>
  <si>
    <t>Guinea_2001</t>
  </si>
  <si>
    <t>Guinea_2002</t>
  </si>
  <si>
    <t>Guinea_2004</t>
  </si>
  <si>
    <t>Guinea_2005</t>
  </si>
  <si>
    <t>Guinea_2006</t>
  </si>
  <si>
    <t>Guinea_2007</t>
  </si>
  <si>
    <t>Guinea_2008</t>
  </si>
  <si>
    <t>Guinea_2009</t>
  </si>
  <si>
    <t>Guinea_2010</t>
  </si>
  <si>
    <t>Guinea_2011</t>
  </si>
  <si>
    <t>Guinea_2012</t>
  </si>
  <si>
    <t>Guinea_2013</t>
  </si>
  <si>
    <t>Guinea_2014</t>
  </si>
  <si>
    <t>Guinea_2015</t>
  </si>
  <si>
    <t>Guinea_2016</t>
  </si>
  <si>
    <t>Guinea-Bissau_1985</t>
  </si>
  <si>
    <t>Guinea-Bissau</t>
  </si>
  <si>
    <t>Guinea-Bissau_1986</t>
  </si>
  <si>
    <t>Guinea-Bissau_1987</t>
  </si>
  <si>
    <t>Guinea-Bissau_1989</t>
  </si>
  <si>
    <t>Guinea-Bissau_1990</t>
  </si>
  <si>
    <t>Guinea-Bissau_1991</t>
  </si>
  <si>
    <t>Guinea-Bissau_1992</t>
  </si>
  <si>
    <t>Guinea-Bissau_1993</t>
  </si>
  <si>
    <t>Guinea-Bissau_1994</t>
  </si>
  <si>
    <t>Guinea-Bissau_1995</t>
  </si>
  <si>
    <t>Guinea-Bissau_1996</t>
  </si>
  <si>
    <t>Guinea-Bissau_1997</t>
  </si>
  <si>
    <t>Guinea-Bissau_1998</t>
  </si>
  <si>
    <t>Guinea-Bissau_1999</t>
  </si>
  <si>
    <t>Guinea-Bissau_2000</t>
  </si>
  <si>
    <t>Guinea-Bissau_2001</t>
  </si>
  <si>
    <t>Guinea-Bissau_2002</t>
  </si>
  <si>
    <t>Guinea-Bissau_2004</t>
  </si>
  <si>
    <t>Guinea-Bissau_2005</t>
  </si>
  <si>
    <t>Guinea-Bissau_2006</t>
  </si>
  <si>
    <t>Guinea-Bissau_2007</t>
  </si>
  <si>
    <t>Guinea-Bissau_2008</t>
  </si>
  <si>
    <t>Guinea-Bissau_2009</t>
  </si>
  <si>
    <t>Guinea-Bissau_2010</t>
  </si>
  <si>
    <t>Guinea-Bissau_2011</t>
  </si>
  <si>
    <t>Guinea-Bissau_2012</t>
  </si>
  <si>
    <t>Guinea-Bissau_2013</t>
  </si>
  <si>
    <t>Guinea-Bissau_2014</t>
  </si>
  <si>
    <t>Guinea-Bissau_2015</t>
  </si>
  <si>
    <t>Guinea-Bissau_2016</t>
  </si>
  <si>
    <t>Guyana_1985</t>
  </si>
  <si>
    <t>Guyana</t>
  </si>
  <si>
    <t>Guyana_1986</t>
  </si>
  <si>
    <t>Guyana_1987</t>
  </si>
  <si>
    <t>Guyana_1989</t>
  </si>
  <si>
    <t>Guyana_1990</t>
  </si>
  <si>
    <t>Guyana_1991</t>
  </si>
  <si>
    <t>Guyana_1992</t>
  </si>
  <si>
    <t>Guyana_1993</t>
  </si>
  <si>
    <t>Guyana_1994</t>
  </si>
  <si>
    <t>Guyana_1995</t>
  </si>
  <si>
    <t>Guyana_1996</t>
  </si>
  <si>
    <t>Guyana_1997</t>
  </si>
  <si>
    <t>Guyana_1998</t>
  </si>
  <si>
    <t>Guyana_1999</t>
  </si>
  <si>
    <t>Guyana_2000</t>
  </si>
  <si>
    <t>Guyana_2001</t>
  </si>
  <si>
    <t>Guyana_2002</t>
  </si>
  <si>
    <t>Guyana_2004</t>
  </si>
  <si>
    <t>Guyana_2005</t>
  </si>
  <si>
    <t>Guyana_2006</t>
  </si>
  <si>
    <t>Guyana_2007</t>
  </si>
  <si>
    <t>Guyana_2008</t>
  </si>
  <si>
    <t>Guyana_2009</t>
  </si>
  <si>
    <t>Guyana_2010</t>
  </si>
  <si>
    <t>Guyana_2011</t>
  </si>
  <si>
    <t>Guyana_2012</t>
  </si>
  <si>
    <t>Guyana_2013</t>
  </si>
  <si>
    <t>Guyana_2014</t>
  </si>
  <si>
    <t>Guyana_2015</t>
  </si>
  <si>
    <t>Guyana_2016</t>
  </si>
  <si>
    <t>Haiti_1985</t>
  </si>
  <si>
    <t>Haiti</t>
  </si>
  <si>
    <t>Haiti_1986</t>
  </si>
  <si>
    <t>Haiti_1987</t>
  </si>
  <si>
    <t>Haiti_1989</t>
  </si>
  <si>
    <t>Haiti_1990</t>
  </si>
  <si>
    <t>Haiti_1991</t>
  </si>
  <si>
    <t>Haiti_1992</t>
  </si>
  <si>
    <t>Haiti_1993</t>
  </si>
  <si>
    <t>Haiti_1994</t>
  </si>
  <si>
    <t>Haiti_1995</t>
  </si>
  <si>
    <t>Haiti_1996</t>
  </si>
  <si>
    <t>Haiti_1997</t>
  </si>
  <si>
    <t>Haiti_1998</t>
  </si>
  <si>
    <t>Haiti_1999</t>
  </si>
  <si>
    <t>Haiti_2000</t>
  </si>
  <si>
    <t>Haiti_2001</t>
  </si>
  <si>
    <t>Haiti_2002</t>
  </si>
  <si>
    <t>Haiti_2004</t>
  </si>
  <si>
    <t>Haiti_2005</t>
  </si>
  <si>
    <t>Haiti_2006</t>
  </si>
  <si>
    <t>Haiti_2007</t>
  </si>
  <si>
    <t>Haiti_2008</t>
  </si>
  <si>
    <t>Haiti_2009</t>
  </si>
  <si>
    <t>Haiti_2010</t>
  </si>
  <si>
    <t>Haiti_2011</t>
  </si>
  <si>
    <t>Haiti_2012</t>
  </si>
  <si>
    <t>Haiti_2013</t>
  </si>
  <si>
    <t>Haiti_2014</t>
  </si>
  <si>
    <t>Haiti_2015</t>
  </si>
  <si>
    <t>Haiti_2016</t>
  </si>
  <si>
    <t>Honduras_1985</t>
  </si>
  <si>
    <t>Honduras</t>
  </si>
  <si>
    <t>Honduras_1986</t>
  </si>
  <si>
    <t>Honduras_1987</t>
  </si>
  <si>
    <t>Honduras_1989</t>
  </si>
  <si>
    <t>Honduras_1990</t>
  </si>
  <si>
    <t>Honduras_1991</t>
  </si>
  <si>
    <t>Honduras_1992</t>
  </si>
  <si>
    <t>Honduras_1993</t>
  </si>
  <si>
    <t>Honduras_1994</t>
  </si>
  <si>
    <t>Honduras_1995</t>
  </si>
  <si>
    <t>Honduras_1996</t>
  </si>
  <si>
    <t>Honduras_1997</t>
  </si>
  <si>
    <t>Honduras_1998</t>
  </si>
  <si>
    <t>Honduras_1999</t>
  </si>
  <si>
    <t>Honduras_2000</t>
  </si>
  <si>
    <t>Honduras_2001</t>
  </si>
  <si>
    <t>Honduras_2002</t>
  </si>
  <si>
    <t>Honduras_2004</t>
  </si>
  <si>
    <t>Honduras_2005</t>
  </si>
  <si>
    <t>Honduras_2006</t>
  </si>
  <si>
    <t>Honduras_2007</t>
  </si>
  <si>
    <t>Honduras_2008</t>
  </si>
  <si>
    <t>Honduras_2009</t>
  </si>
  <si>
    <t>Honduras_2010</t>
  </si>
  <si>
    <t>Honduras_2011</t>
  </si>
  <si>
    <t>Honduras_2012</t>
  </si>
  <si>
    <t>Honduras_2013</t>
  </si>
  <si>
    <t>Honduras_2014</t>
  </si>
  <si>
    <t>Honduras_2015</t>
  </si>
  <si>
    <t>Honduras_2016</t>
  </si>
  <si>
    <t>Hungary_1985</t>
  </si>
  <si>
    <t>Hungary</t>
  </si>
  <si>
    <t>Hungary_1986</t>
  </si>
  <si>
    <t>Hungary_1987</t>
  </si>
  <si>
    <t>Hungary_1989</t>
  </si>
  <si>
    <t>Hungary_1990</t>
  </si>
  <si>
    <t>Hungary_1991</t>
  </si>
  <si>
    <t>Hungary_1992</t>
  </si>
  <si>
    <t>Hungary_1993</t>
  </si>
  <si>
    <t>Hungary_1994</t>
  </si>
  <si>
    <t>Hungary_1995</t>
  </si>
  <si>
    <t>Hungary_1996</t>
  </si>
  <si>
    <t>Hungary_1997</t>
  </si>
  <si>
    <t>Hungary_1998</t>
  </si>
  <si>
    <t>Hungary_1999</t>
  </si>
  <si>
    <t>Hungary_2000</t>
  </si>
  <si>
    <t>Hungary_2001</t>
  </si>
  <si>
    <t>Hungary_2002</t>
  </si>
  <si>
    <t>Hungary_2004</t>
  </si>
  <si>
    <t>Hungary_2005</t>
  </si>
  <si>
    <t>Hungary_2006</t>
  </si>
  <si>
    <t>Hungary_2007</t>
  </si>
  <si>
    <t>Hungary_2008</t>
  </si>
  <si>
    <t>Hungary_2009</t>
  </si>
  <si>
    <t>Hungary_2010</t>
  </si>
  <si>
    <t>Hungary_2011</t>
  </si>
  <si>
    <t>Hungary_2012</t>
  </si>
  <si>
    <t>Hungary_2013</t>
  </si>
  <si>
    <t>Hungary_2014</t>
  </si>
  <si>
    <t>Hungary_2015</t>
  </si>
  <si>
    <t>Hungary_2016</t>
  </si>
  <si>
    <t>India_1985</t>
  </si>
  <si>
    <t>India</t>
  </si>
  <si>
    <t>India_1986</t>
  </si>
  <si>
    <t>India_1987</t>
  </si>
  <si>
    <t>India_1989</t>
  </si>
  <si>
    <t>India_1990</t>
  </si>
  <si>
    <t>India_1991</t>
  </si>
  <si>
    <t>India_1992</t>
  </si>
  <si>
    <t>India_1993</t>
  </si>
  <si>
    <t>India_1994</t>
  </si>
  <si>
    <t>India_1995</t>
  </si>
  <si>
    <t>India_1996</t>
  </si>
  <si>
    <t>India_1997</t>
  </si>
  <si>
    <t>India_1998</t>
  </si>
  <si>
    <t>India_1999</t>
  </si>
  <si>
    <t>India_2000</t>
  </si>
  <si>
    <t>India_2001</t>
  </si>
  <si>
    <t>India_2002</t>
  </si>
  <si>
    <t>India_2004</t>
  </si>
  <si>
    <t>India_2005</t>
  </si>
  <si>
    <t>India_2006</t>
  </si>
  <si>
    <t>India_2007</t>
  </si>
  <si>
    <t>India_2008</t>
  </si>
  <si>
    <t>India_2009</t>
  </si>
  <si>
    <t>India_2010</t>
  </si>
  <si>
    <t>India_2011</t>
  </si>
  <si>
    <t>India_2012</t>
  </si>
  <si>
    <t>India_2013</t>
  </si>
  <si>
    <t>India_2014</t>
  </si>
  <si>
    <t>India_2015</t>
  </si>
  <si>
    <t>India_2016</t>
  </si>
  <si>
    <t>Indonesia_1985</t>
  </si>
  <si>
    <t>Indonesia</t>
  </si>
  <si>
    <t>Indonesia_1986</t>
  </si>
  <si>
    <t>Indonesia_1987</t>
  </si>
  <si>
    <t>Indonesia_1989</t>
  </si>
  <si>
    <t>Indonesia_1990</t>
  </si>
  <si>
    <t>Indonesia_1991</t>
  </si>
  <si>
    <t>Indonesia_1992</t>
  </si>
  <si>
    <t>Indonesia_1993</t>
  </si>
  <si>
    <t>Indonesia_1994</t>
  </si>
  <si>
    <t>Indonesia_1995</t>
  </si>
  <si>
    <t>Indonesia_1996</t>
  </si>
  <si>
    <t>Indonesia_1997</t>
  </si>
  <si>
    <t>Indonesia_1998</t>
  </si>
  <si>
    <t>Indonesia_1999</t>
  </si>
  <si>
    <t>Indonesia_2000</t>
  </si>
  <si>
    <t>Indonesia_2001</t>
  </si>
  <si>
    <t>Indonesia_2002</t>
  </si>
  <si>
    <t>Indonesia_2004</t>
  </si>
  <si>
    <t>Indonesia_2005</t>
  </si>
  <si>
    <t>Indonesia_2006</t>
  </si>
  <si>
    <t>Indonesia_2007</t>
  </si>
  <si>
    <t>Indonesia_2008</t>
  </si>
  <si>
    <t>Indonesia_2009</t>
  </si>
  <si>
    <t>Indonesia_2010</t>
  </si>
  <si>
    <t>Indonesia_2011</t>
  </si>
  <si>
    <t>Indonesia_2012</t>
  </si>
  <si>
    <t>Indonesia_2013</t>
  </si>
  <si>
    <t>Indonesia_2014</t>
  </si>
  <si>
    <t>Indonesia_2015</t>
  </si>
  <si>
    <t>Indonesia_2016</t>
  </si>
  <si>
    <t>Iraq_1985</t>
  </si>
  <si>
    <t>Iraq</t>
  </si>
  <si>
    <t>Iraq_1986</t>
  </si>
  <si>
    <t>Iraq_1987</t>
  </si>
  <si>
    <t>Iraq_1989</t>
  </si>
  <si>
    <t>Iraq_1990</t>
  </si>
  <si>
    <t>Iraq_1991</t>
  </si>
  <si>
    <t>Iraq_1992</t>
  </si>
  <si>
    <t>Iraq_1993</t>
  </si>
  <si>
    <t>Iraq_1994</t>
  </si>
  <si>
    <t>Iraq_1995</t>
  </si>
  <si>
    <t>Iraq_1996</t>
  </si>
  <si>
    <t>Iraq_1997</t>
  </si>
  <si>
    <t>Iraq_1998</t>
  </si>
  <si>
    <t>Iraq_1999</t>
  </si>
  <si>
    <t>Iraq_2000</t>
  </si>
  <si>
    <t>Iraq_2001</t>
  </si>
  <si>
    <t>Iraq_2002</t>
  </si>
  <si>
    <t>Iraq_2004</t>
  </si>
  <si>
    <t>Iraq_2005</t>
  </si>
  <si>
    <t>Iraq_2006</t>
  </si>
  <si>
    <t>Iraq_2007</t>
  </si>
  <si>
    <t>Iraq_2008</t>
  </si>
  <si>
    <t>Iraq_2009</t>
  </si>
  <si>
    <t>Iraq_2010</t>
  </si>
  <si>
    <t>Iraq_2011</t>
  </si>
  <si>
    <t>Iraq_2012</t>
  </si>
  <si>
    <t>Iraq_2013</t>
  </si>
  <si>
    <t>Iraq_2014</t>
  </si>
  <si>
    <t>Iraq_2015</t>
  </si>
  <si>
    <t>Iraq_2016</t>
  </si>
  <si>
    <t>Italy_1985</t>
  </si>
  <si>
    <t>Italy</t>
  </si>
  <si>
    <t>Italy_1986</t>
  </si>
  <si>
    <t>Italy_1987</t>
  </si>
  <si>
    <t>Italy_1989</t>
  </si>
  <si>
    <t>Italy_1990</t>
  </si>
  <si>
    <t>Italy_1991</t>
  </si>
  <si>
    <t>Italy_1992</t>
  </si>
  <si>
    <t>Italy_1993</t>
  </si>
  <si>
    <t>Italy_1994</t>
  </si>
  <si>
    <t>Italy_1995</t>
  </si>
  <si>
    <t>Italy_1996</t>
  </si>
  <si>
    <t>Italy_1997</t>
  </si>
  <si>
    <t>Italy_1998</t>
  </si>
  <si>
    <t>Italy_1999</t>
  </si>
  <si>
    <t>Italy_2000</t>
  </si>
  <si>
    <t>Italy_2001</t>
  </si>
  <si>
    <t>Italy_2002</t>
  </si>
  <si>
    <t>Italy_2004</t>
  </si>
  <si>
    <t>Italy_2005</t>
  </si>
  <si>
    <t>Italy_2006</t>
  </si>
  <si>
    <t>Italy_2007</t>
  </si>
  <si>
    <t>Italy_2008</t>
  </si>
  <si>
    <t>Italy_2009</t>
  </si>
  <si>
    <t>Italy_2010</t>
  </si>
  <si>
    <t>Italy_2011</t>
  </si>
  <si>
    <t>Italy_2012</t>
  </si>
  <si>
    <t>Italy_2013</t>
  </si>
  <si>
    <t>Italy_2014</t>
  </si>
  <si>
    <t>Italy_2015</t>
  </si>
  <si>
    <t>Italy_2016</t>
  </si>
  <si>
    <t>Jamaica_1985</t>
  </si>
  <si>
    <t>Jamaica</t>
  </si>
  <si>
    <t>Jamaica_1986</t>
  </si>
  <si>
    <t>Jamaica_1987</t>
  </si>
  <si>
    <t>Jamaica_1989</t>
  </si>
  <si>
    <t>Jamaica_1990</t>
  </si>
  <si>
    <t>Jamaica_1991</t>
  </si>
  <si>
    <t>Jamaica_1992</t>
  </si>
  <si>
    <t>Jamaica_1993</t>
  </si>
  <si>
    <t>Jamaica_1994</t>
  </si>
  <si>
    <t>Jamaica_1995</t>
  </si>
  <si>
    <t>Jamaica_1996</t>
  </si>
  <si>
    <t>Jamaica_1997</t>
  </si>
  <si>
    <t>Jamaica_1998</t>
  </si>
  <si>
    <t>Jamaica_1999</t>
  </si>
  <si>
    <t>Jamaica_2000</t>
  </si>
  <si>
    <t>Jamaica_2001</t>
  </si>
  <si>
    <t>Jamaica_2002</t>
  </si>
  <si>
    <t>Jamaica_2004</t>
  </si>
  <si>
    <t>Jamaica_2005</t>
  </si>
  <si>
    <t>Jamaica_2006</t>
  </si>
  <si>
    <t>Jamaica_2007</t>
  </si>
  <si>
    <t>Jamaica_2008</t>
  </si>
  <si>
    <t>Jamaica_2009</t>
  </si>
  <si>
    <t>Jamaica_2010</t>
  </si>
  <si>
    <t>Jamaica_2011</t>
  </si>
  <si>
    <t>Jamaica_2012</t>
  </si>
  <si>
    <t>Jamaica_2013</t>
  </si>
  <si>
    <t>Jamaica_2014</t>
  </si>
  <si>
    <t>Jamaica_2015</t>
  </si>
  <si>
    <t>Jamaica_2016</t>
  </si>
  <si>
    <t>Japan_1985</t>
  </si>
  <si>
    <t>Japan</t>
  </si>
  <si>
    <t>Japan_1986</t>
  </si>
  <si>
    <t>Japan_1987</t>
  </si>
  <si>
    <t>Japan_1989</t>
  </si>
  <si>
    <t>Japan_1990</t>
  </si>
  <si>
    <t>Japan_1991</t>
  </si>
  <si>
    <t>Japan_1992</t>
  </si>
  <si>
    <t>Japan_1993</t>
  </si>
  <si>
    <t>Japan_1994</t>
  </si>
  <si>
    <t>Japan_1995</t>
  </si>
  <si>
    <t>Japan_1996</t>
  </si>
  <si>
    <t>Japan_1997</t>
  </si>
  <si>
    <t>Japan_1998</t>
  </si>
  <si>
    <t>Japan_1999</t>
  </si>
  <si>
    <t>Japan_2000</t>
  </si>
  <si>
    <t>Japan_2001</t>
  </si>
  <si>
    <t>Japan_2002</t>
  </si>
  <si>
    <t>Japan_2004</t>
  </si>
  <si>
    <t>Japan_2005</t>
  </si>
  <si>
    <t>Japan_2006</t>
  </si>
  <si>
    <t>Japan_2007</t>
  </si>
  <si>
    <t>Japan_2008</t>
  </si>
  <si>
    <t>Japan_2009</t>
  </si>
  <si>
    <t>Japan_2010</t>
  </si>
  <si>
    <t>Japan_2011</t>
  </si>
  <si>
    <t>Japan_2012</t>
  </si>
  <si>
    <t>Japan_2013</t>
  </si>
  <si>
    <t>Japan_2014</t>
  </si>
  <si>
    <t>Japan_2015</t>
  </si>
  <si>
    <t>Japan_2016</t>
  </si>
  <si>
    <t>Kazakhstan_1992</t>
  </si>
  <si>
    <t>Kazakhstan</t>
  </si>
  <si>
    <t>Kazakhstan_1993</t>
  </si>
  <si>
    <t>Kazakhstan_1994</t>
  </si>
  <si>
    <t>Kazakhstan_1995</t>
  </si>
  <si>
    <t>Kazakhstan_1996</t>
  </si>
  <si>
    <t>Kazakhstan_1997</t>
  </si>
  <si>
    <t>Kazakhstan_1998</t>
  </si>
  <si>
    <t>Kazakhstan_1999</t>
  </si>
  <si>
    <t>Kazakhstan_2000</t>
  </si>
  <si>
    <t>Kazakhstan_2001</t>
  </si>
  <si>
    <t>Kazakhstan_2002</t>
  </si>
  <si>
    <t>Kazakhstan_2004</t>
  </si>
  <si>
    <t>Kazakhstan_2005</t>
  </si>
  <si>
    <t>Kazakhstan_2006</t>
  </si>
  <si>
    <t>Kazakhstan_2007</t>
  </si>
  <si>
    <t>Kazakhstan_2008</t>
  </si>
  <si>
    <t>Kazakhstan_2009</t>
  </si>
  <si>
    <t>Kazakhstan_2010</t>
  </si>
  <si>
    <t>Kazakhstan_2011</t>
  </si>
  <si>
    <t>Kazakhstan_2012</t>
  </si>
  <si>
    <t>Kazakhstan_2013</t>
  </si>
  <si>
    <t>Kazakhstan_2014</t>
  </si>
  <si>
    <t>Kazakhstan_2015</t>
  </si>
  <si>
    <t>Kazakhstan_2016</t>
  </si>
  <si>
    <t>Kenya_1985</t>
  </si>
  <si>
    <t>Kenya</t>
  </si>
  <si>
    <t>Kenya_1986</t>
  </si>
  <si>
    <t>Kenya_1987</t>
  </si>
  <si>
    <t>Kenya_1989</t>
  </si>
  <si>
    <t>Kenya_1990</t>
  </si>
  <si>
    <t>Kenya_1991</t>
  </si>
  <si>
    <t>Kenya_1992</t>
  </si>
  <si>
    <t>Kenya_1993</t>
  </si>
  <si>
    <t>Kenya_1994</t>
  </si>
  <si>
    <t>Kenya_1995</t>
  </si>
  <si>
    <t>Kenya_1996</t>
  </si>
  <si>
    <t>Kenya_1997</t>
  </si>
  <si>
    <t>Kenya_1998</t>
  </si>
  <si>
    <t>Kenya_1999</t>
  </si>
  <si>
    <t>Kenya_2000</t>
  </si>
  <si>
    <t>Kenya_2001</t>
  </si>
  <si>
    <t>Kenya_2002</t>
  </si>
  <si>
    <t>Kenya_2004</t>
  </si>
  <si>
    <t>Kenya_2005</t>
  </si>
  <si>
    <t>Kenya_2006</t>
  </si>
  <si>
    <t>Kenya_2007</t>
  </si>
  <si>
    <t>Kenya_2008</t>
  </si>
  <si>
    <t>Kenya_2009</t>
  </si>
  <si>
    <t>Kenya_2010</t>
  </si>
  <si>
    <t>Kenya_2011</t>
  </si>
  <si>
    <t>Kenya_2012</t>
  </si>
  <si>
    <t>Kenya_2013</t>
  </si>
  <si>
    <t>Kenya_2014</t>
  </si>
  <si>
    <t>Kenya_2015</t>
  </si>
  <si>
    <t>Kenya_2016</t>
  </si>
  <si>
    <t>Liberia_1985</t>
  </si>
  <si>
    <t>Liberia</t>
  </si>
  <si>
    <t>Liberia_1986</t>
  </si>
  <si>
    <t>Liberia_1987</t>
  </si>
  <si>
    <t>Liberia_1989</t>
  </si>
  <si>
    <t>Liberia_1990</t>
  </si>
  <si>
    <t>Liberia_1991</t>
  </si>
  <si>
    <t>Liberia_1992</t>
  </si>
  <si>
    <t>Liberia_1993</t>
  </si>
  <si>
    <t>Liberia_1994</t>
  </si>
  <si>
    <t>Liberia_1995</t>
  </si>
  <si>
    <t>Liberia_1996</t>
  </si>
  <si>
    <t>Liberia_1997</t>
  </si>
  <si>
    <t>Liberia_1998</t>
  </si>
  <si>
    <t>Liberia_1999</t>
  </si>
  <si>
    <t>Liberia_2000</t>
  </si>
  <si>
    <t>Liberia_2001</t>
  </si>
  <si>
    <t>Liberia_2002</t>
  </si>
  <si>
    <t>Liberia_2004</t>
  </si>
  <si>
    <t>Liberia_2005</t>
  </si>
  <si>
    <t>Liberia_2006</t>
  </si>
  <si>
    <t>Liberia_2007</t>
  </si>
  <si>
    <t>Liberia_2008</t>
  </si>
  <si>
    <t>Liberia_2009</t>
  </si>
  <si>
    <t>Liberia_2010</t>
  </si>
  <si>
    <t>Liberia_2011</t>
  </si>
  <si>
    <t>Liberia_2012</t>
  </si>
  <si>
    <t>Liberia_2013</t>
  </si>
  <si>
    <t>Liberia_2014</t>
  </si>
  <si>
    <t>Liberia_2015</t>
  </si>
  <si>
    <t>Liberia_2016</t>
  </si>
  <si>
    <t>Madagascar_1985</t>
  </si>
  <si>
    <t>Madagascar</t>
  </si>
  <si>
    <t>Madagascar_1986</t>
  </si>
  <si>
    <t>Madagascar_1987</t>
  </si>
  <si>
    <t>Madagascar_1989</t>
  </si>
  <si>
    <t>Madagascar_1990</t>
  </si>
  <si>
    <t>Madagascar_1991</t>
  </si>
  <si>
    <t>Madagascar_1992</t>
  </si>
  <si>
    <t>Madagascar_1993</t>
  </si>
  <si>
    <t>Madagascar_1994</t>
  </si>
  <si>
    <t>Madagascar_1995</t>
  </si>
  <si>
    <t>Madagascar_1996</t>
  </si>
  <si>
    <t>Madagascar_1997</t>
  </si>
  <si>
    <t>Madagascar_1998</t>
  </si>
  <si>
    <t>Madagascar_1999</t>
  </si>
  <si>
    <t>Madagascar_2000</t>
  </si>
  <si>
    <t>Madagascar_2001</t>
  </si>
  <si>
    <t>Madagascar_2002</t>
  </si>
  <si>
    <t>Madagascar_2004</t>
  </si>
  <si>
    <t>Madagascar_2005</t>
  </si>
  <si>
    <t>Madagascar_2006</t>
  </si>
  <si>
    <t>Madagascar_2007</t>
  </si>
  <si>
    <t>Madagascar_2008</t>
  </si>
  <si>
    <t>Madagascar_2009</t>
  </si>
  <si>
    <t>Madagascar_2010</t>
  </si>
  <si>
    <t>Madagascar_2011</t>
  </si>
  <si>
    <t>Madagascar_2012</t>
  </si>
  <si>
    <t>Madagascar_2013</t>
  </si>
  <si>
    <t>Madagascar_2014</t>
  </si>
  <si>
    <t>Madagascar_2015</t>
  </si>
  <si>
    <t>Madagascar_2016</t>
  </si>
  <si>
    <t>Malawi_1985</t>
  </si>
  <si>
    <t>Malawi</t>
  </si>
  <si>
    <t>Malawi_1986</t>
  </si>
  <si>
    <t>Malawi_1987</t>
  </si>
  <si>
    <t>Malawi_1989</t>
  </si>
  <si>
    <t>Malawi_1990</t>
  </si>
  <si>
    <t>Malawi_1991</t>
  </si>
  <si>
    <t>Malawi_1992</t>
  </si>
  <si>
    <t>Malawi_1993</t>
  </si>
  <si>
    <t>Malawi_1994</t>
  </si>
  <si>
    <t>Malawi_1995</t>
  </si>
  <si>
    <t>Malawi_1996</t>
  </si>
  <si>
    <t>Malawi_1997</t>
  </si>
  <si>
    <t>Malawi_1998</t>
  </si>
  <si>
    <t>Malawi_1999</t>
  </si>
  <si>
    <t>Malawi_2000</t>
  </si>
  <si>
    <t>Malawi_2001</t>
  </si>
  <si>
    <t>Malawi_2002</t>
  </si>
  <si>
    <t>Malawi_2004</t>
  </si>
  <si>
    <t>Malawi_2005</t>
  </si>
  <si>
    <t>Malawi_2006</t>
  </si>
  <si>
    <t>Malawi_2007</t>
  </si>
  <si>
    <t>Malawi_2008</t>
  </si>
  <si>
    <t>Malawi_2009</t>
  </si>
  <si>
    <t>Malawi_2010</t>
  </si>
  <si>
    <t>Malawi_2011</t>
  </si>
  <si>
    <t>Malawi_2012</t>
  </si>
  <si>
    <t>Malawi_2013</t>
  </si>
  <si>
    <t>Malawi_2014</t>
  </si>
  <si>
    <t>Malawi_2015</t>
  </si>
  <si>
    <t>Malawi_2016</t>
  </si>
  <si>
    <t>Malaysia_1985</t>
  </si>
  <si>
    <t>Malaysia</t>
  </si>
  <si>
    <t>Malaysia_1986</t>
  </si>
  <si>
    <t>Malaysia_1987</t>
  </si>
  <si>
    <t>Malaysia_1989</t>
  </si>
  <si>
    <t>Malaysia_1990</t>
  </si>
  <si>
    <t>Malaysia_1991</t>
  </si>
  <si>
    <t>Malaysia_1992</t>
  </si>
  <si>
    <t>Malaysia_1993</t>
  </si>
  <si>
    <t>Malaysia_1994</t>
  </si>
  <si>
    <t>Malaysia_1995</t>
  </si>
  <si>
    <t>Malaysia_1996</t>
  </si>
  <si>
    <t>Malaysia_1997</t>
  </si>
  <si>
    <t>Malaysia_1998</t>
  </si>
  <si>
    <t>Malaysia_1999</t>
  </si>
  <si>
    <t>Malaysia_2000</t>
  </si>
  <si>
    <t>Malaysia_2001</t>
  </si>
  <si>
    <t>Malaysia_2002</t>
  </si>
  <si>
    <t>Malaysia_2004</t>
  </si>
  <si>
    <t>Malaysia_2005</t>
  </si>
  <si>
    <t>Malaysia_2006</t>
  </si>
  <si>
    <t>Malaysia_2007</t>
  </si>
  <si>
    <t>Malaysia_2008</t>
  </si>
  <si>
    <t>Malaysia_2009</t>
  </si>
  <si>
    <t>Malaysia_2010</t>
  </si>
  <si>
    <t>Malaysia_2011</t>
  </si>
  <si>
    <t>Malaysia_2012</t>
  </si>
  <si>
    <t>Malaysia_2013</t>
  </si>
  <si>
    <t>Malaysia_2014</t>
  </si>
  <si>
    <t>Malaysia_2015</t>
  </si>
  <si>
    <t>Malaysia_2016</t>
  </si>
  <si>
    <t>Mali_1985</t>
  </si>
  <si>
    <t>Mali</t>
  </si>
  <si>
    <t>Mali_1986</t>
  </si>
  <si>
    <t>Mali_1987</t>
  </si>
  <si>
    <t>Mali_1989</t>
  </si>
  <si>
    <t>Mali_1990</t>
  </si>
  <si>
    <t>Mali_1991</t>
  </si>
  <si>
    <t>Mali_1992</t>
  </si>
  <si>
    <t>Mali_1993</t>
  </si>
  <si>
    <t>Mali_1994</t>
  </si>
  <si>
    <t>Mali_1995</t>
  </si>
  <si>
    <t>Mali_1996</t>
  </si>
  <si>
    <t>Mali_1997</t>
  </si>
  <si>
    <t>Mali_1998</t>
  </si>
  <si>
    <t>Mali_1999</t>
  </si>
  <si>
    <t>Mali_2000</t>
  </si>
  <si>
    <t>Mali_2001</t>
  </si>
  <si>
    <t>Mali_2002</t>
  </si>
  <si>
    <t>Mali_2004</t>
  </si>
  <si>
    <t>Mali_2005</t>
  </si>
  <si>
    <t>Mali_2006</t>
  </si>
  <si>
    <t>Mali_2007</t>
  </si>
  <si>
    <t>Mali_2008</t>
  </si>
  <si>
    <t>Mali_2009</t>
  </si>
  <si>
    <t>Mali_2010</t>
  </si>
  <si>
    <t>Mali_2011</t>
  </si>
  <si>
    <t>Mali_2012</t>
  </si>
  <si>
    <t>Mali_2013</t>
  </si>
  <si>
    <t>Mali_2014</t>
  </si>
  <si>
    <t>Mali_2015</t>
  </si>
  <si>
    <t>Mali_2016</t>
  </si>
  <si>
    <t>Mauritania_1985</t>
  </si>
  <si>
    <t>Mauritania</t>
  </si>
  <si>
    <t>Mauritania_1986</t>
  </si>
  <si>
    <t>Mauritania_1987</t>
  </si>
  <si>
    <t>Mauritania_1989</t>
  </si>
  <si>
    <t>Mauritania_1990</t>
  </si>
  <si>
    <t>Mauritania_1991</t>
  </si>
  <si>
    <t>Mauritania_1992</t>
  </si>
  <si>
    <t>Mauritania_1993</t>
  </si>
  <si>
    <t>Mauritania_1994</t>
  </si>
  <si>
    <t>Mauritania_1995</t>
  </si>
  <si>
    <t>Mauritania_1996</t>
  </si>
  <si>
    <t>Mauritania_1997</t>
  </si>
  <si>
    <t>Mauritania_1998</t>
  </si>
  <si>
    <t>Mauritania_1999</t>
  </si>
  <si>
    <t>Mauritania_2000</t>
  </si>
  <si>
    <t>Mauritania_2001</t>
  </si>
  <si>
    <t>Mauritania_2002</t>
  </si>
  <si>
    <t>Mauritania_2004</t>
  </si>
  <si>
    <t>Mauritania_2005</t>
  </si>
  <si>
    <t>Mauritania_2006</t>
  </si>
  <si>
    <t>Mauritania_2007</t>
  </si>
  <si>
    <t>Mauritania_2008</t>
  </si>
  <si>
    <t>Mauritania_2009</t>
  </si>
  <si>
    <t>Mauritania_2010</t>
  </si>
  <si>
    <t>Mauritania_2011</t>
  </si>
  <si>
    <t>Mauritania_2012</t>
  </si>
  <si>
    <t>Mauritania_2013</t>
  </si>
  <si>
    <t>Mauritania_2014</t>
  </si>
  <si>
    <t>Mauritania_2015</t>
  </si>
  <si>
    <t>Mauritania_2016</t>
  </si>
  <si>
    <t>Mauritius_1985</t>
  </si>
  <si>
    <t>Mauritius</t>
  </si>
  <si>
    <t>Mauritius_1986</t>
  </si>
  <si>
    <t>Mauritius_1987</t>
  </si>
  <si>
    <t>Mauritius_1989</t>
  </si>
  <si>
    <t>Mauritius_1990</t>
  </si>
  <si>
    <t>Mauritius_1991</t>
  </si>
  <si>
    <t>Mauritius_1992</t>
  </si>
  <si>
    <t>Mauritius_2008</t>
  </si>
  <si>
    <t>Mauritius_2009</t>
  </si>
  <si>
    <t>Mauritius_2010</t>
  </si>
  <si>
    <t>Mauritius_2011</t>
  </si>
  <si>
    <t>Mauritius_2012</t>
  </si>
  <si>
    <t>Mauritius_2013</t>
  </si>
  <si>
    <t>Mauritius_2014</t>
  </si>
  <si>
    <t>Mauritius_2015</t>
  </si>
  <si>
    <t>Mauritius_2016</t>
  </si>
  <si>
    <t>Mexico_1985</t>
  </si>
  <si>
    <t>Mexico</t>
  </si>
  <si>
    <t>Mexico_1986</t>
  </si>
  <si>
    <t>Mexico_1987</t>
  </si>
  <si>
    <t>Mexico_1989</t>
  </si>
  <si>
    <t>Mexico_1990</t>
  </si>
  <si>
    <t>Mexico_1991</t>
  </si>
  <si>
    <t>Mexico_1992</t>
  </si>
  <si>
    <t>Mexico_1993</t>
  </si>
  <si>
    <t>Mexico_1994</t>
  </si>
  <si>
    <t>Mexico_1995</t>
  </si>
  <si>
    <t>Mexico_1996</t>
  </si>
  <si>
    <t>Mexico_1997</t>
  </si>
  <si>
    <t>Mexico_1998</t>
  </si>
  <si>
    <t>Mexico_1999</t>
  </si>
  <si>
    <t>Mexico_2000</t>
  </si>
  <si>
    <t>Mexico_2001</t>
  </si>
  <si>
    <t>Mexico_2002</t>
  </si>
  <si>
    <t>Mexico_2004</t>
  </si>
  <si>
    <t>Mexico_2005</t>
  </si>
  <si>
    <t>Mexico_2006</t>
  </si>
  <si>
    <t>Mexico_2007</t>
  </si>
  <si>
    <t>Mexico_2008</t>
  </si>
  <si>
    <t>Mexico_2009</t>
  </si>
  <si>
    <t>Mexico_2010</t>
  </si>
  <si>
    <t>Mexico_2011</t>
  </si>
  <si>
    <t>Mexico_2012</t>
  </si>
  <si>
    <t>Mexico_2013</t>
  </si>
  <si>
    <t>Mexico_2014</t>
  </si>
  <si>
    <t>Mexico_2015</t>
  </si>
  <si>
    <t>Mexico_2016</t>
  </si>
  <si>
    <t>Morocco_1985</t>
  </si>
  <si>
    <t>Morocco</t>
  </si>
  <si>
    <t>Morocco_1986</t>
  </si>
  <si>
    <t>Morocco_1987</t>
  </si>
  <si>
    <t>Morocco_1989</t>
  </si>
  <si>
    <t>Morocco_1990</t>
  </si>
  <si>
    <t>Morocco_1991</t>
  </si>
  <si>
    <t>Morocco_1992</t>
  </si>
  <si>
    <t>Morocco_1993</t>
  </si>
  <si>
    <t>Morocco_1994</t>
  </si>
  <si>
    <t>Morocco_1995</t>
  </si>
  <si>
    <t>Morocco_1996</t>
  </si>
  <si>
    <t>Morocco_1997</t>
  </si>
  <si>
    <t>Morocco_1998</t>
  </si>
  <si>
    <t>Morocco_1999</t>
  </si>
  <si>
    <t>Morocco_2000</t>
  </si>
  <si>
    <t>Morocco_2001</t>
  </si>
  <si>
    <t>Morocco_2002</t>
  </si>
  <si>
    <t>Morocco_2004</t>
  </si>
  <si>
    <t>Morocco_2005</t>
  </si>
  <si>
    <t>Morocco_2006</t>
  </si>
  <si>
    <t>Morocco_2007</t>
  </si>
  <si>
    <t>Morocco_2008</t>
  </si>
  <si>
    <t>Morocco_2009</t>
  </si>
  <si>
    <t>Morocco_2010</t>
  </si>
  <si>
    <t>Morocco_2011</t>
  </si>
  <si>
    <t>Morocco_2012</t>
  </si>
  <si>
    <t>Morocco_2013</t>
  </si>
  <si>
    <t>Morocco_2014</t>
  </si>
  <si>
    <t>Morocco_2015</t>
  </si>
  <si>
    <t>Morocco_2016</t>
  </si>
  <si>
    <t>Mozambique_1985</t>
  </si>
  <si>
    <t>Mozambique</t>
  </si>
  <si>
    <t>Mozambique_1986</t>
  </si>
  <si>
    <t>Mozambique_1987</t>
  </si>
  <si>
    <t>Mozambique_1989</t>
  </si>
  <si>
    <t>Mozambique_1990</t>
  </si>
  <si>
    <t>Mozambique_1991</t>
  </si>
  <si>
    <t>Mozambique_1992</t>
  </si>
  <si>
    <t>Mozambique_1993</t>
  </si>
  <si>
    <t>Mozambique_1994</t>
  </si>
  <si>
    <t>Mozambique_1995</t>
  </si>
  <si>
    <t>Mozambique_1996</t>
  </si>
  <si>
    <t>Mozambique_1997</t>
  </si>
  <si>
    <t>Mozambique_1998</t>
  </si>
  <si>
    <t>Mozambique_1999</t>
  </si>
  <si>
    <t>Mozambique_2000</t>
  </si>
  <si>
    <t>Mozambique_2001</t>
  </si>
  <si>
    <t>Mozambique_2002</t>
  </si>
  <si>
    <t>Mozambique_2004</t>
  </si>
  <si>
    <t>Mozambique_2005</t>
  </si>
  <si>
    <t>Mozambique_2006</t>
  </si>
  <si>
    <t>Mozambique_2007</t>
  </si>
  <si>
    <t>Mozambique_2008</t>
  </si>
  <si>
    <t>Mozambique_2009</t>
  </si>
  <si>
    <t>Mozambique_2010</t>
  </si>
  <si>
    <t>Mozambique_2011</t>
  </si>
  <si>
    <t>Mozambique_2012</t>
  </si>
  <si>
    <t>Mozambique_2013</t>
  </si>
  <si>
    <t>Mozambique_2014</t>
  </si>
  <si>
    <t>Mozambique_2015</t>
  </si>
  <si>
    <t>Mozambique_2016</t>
  </si>
  <si>
    <t>Myanmar_1985</t>
  </si>
  <si>
    <t>Myanmar</t>
  </si>
  <si>
    <t>Myanmar_1986</t>
  </si>
  <si>
    <t>Myanmar_1987</t>
  </si>
  <si>
    <t>Myanmar_1989</t>
  </si>
  <si>
    <t>Myanmar_1990</t>
  </si>
  <si>
    <t>Myanmar_1991</t>
  </si>
  <si>
    <t>Myanmar_1992</t>
  </si>
  <si>
    <t>Myanmar_1993</t>
  </si>
  <si>
    <t>Myanmar_1994</t>
  </si>
  <si>
    <t>Myanmar_1995</t>
  </si>
  <si>
    <t>Myanmar_1996</t>
  </si>
  <si>
    <t>Myanmar_1997</t>
  </si>
  <si>
    <t>Myanmar_1998</t>
  </si>
  <si>
    <t>Myanmar_1999</t>
  </si>
  <si>
    <t>Myanmar_2000</t>
  </si>
  <si>
    <t>Myanmar_2001</t>
  </si>
  <si>
    <t>Myanmar_2002</t>
  </si>
  <si>
    <t>Myanmar_2004</t>
  </si>
  <si>
    <t>Myanmar_2005</t>
  </si>
  <si>
    <t>Myanmar_2006</t>
  </si>
  <si>
    <t>Myanmar_2007</t>
  </si>
  <si>
    <t>Myanmar_2008</t>
  </si>
  <si>
    <t>Myanmar_2009</t>
  </si>
  <si>
    <t>Myanmar_2010</t>
  </si>
  <si>
    <t>Myanmar_2011</t>
  </si>
  <si>
    <t>Myanmar_2012</t>
  </si>
  <si>
    <t>Myanmar_2013</t>
  </si>
  <si>
    <t>Myanmar_2014</t>
  </si>
  <si>
    <t>Myanmar_2015</t>
  </si>
  <si>
    <t>Myanmar_2016</t>
  </si>
  <si>
    <t>Nepal_1985</t>
  </si>
  <si>
    <t>Nepal</t>
  </si>
  <si>
    <t>Nepal_1986</t>
  </si>
  <si>
    <t>Nepal_1987</t>
  </si>
  <si>
    <t>Nepal_1989</t>
  </si>
  <si>
    <t>Nepal_1990</t>
  </si>
  <si>
    <t>Nepal_1991</t>
  </si>
  <si>
    <t>Nepal_1992</t>
  </si>
  <si>
    <t>Nepal_1993</t>
  </si>
  <si>
    <t>Nepal_1994</t>
  </si>
  <si>
    <t>Nepal_1995</t>
  </si>
  <si>
    <t>Nepal_1996</t>
  </si>
  <si>
    <t>Nepal_1997</t>
  </si>
  <si>
    <t>Nepal_1998</t>
  </si>
  <si>
    <t>Nepal_1999</t>
  </si>
  <si>
    <t>Nepal_2000</t>
  </si>
  <si>
    <t>Nepal_2001</t>
  </si>
  <si>
    <t>Nepal_2002</t>
  </si>
  <si>
    <t>Nepal_2004</t>
  </si>
  <si>
    <t>Nepal_2005</t>
  </si>
  <si>
    <t>Nepal_2006</t>
  </si>
  <si>
    <t>Nepal_2007</t>
  </si>
  <si>
    <t>Nepal_2008</t>
  </si>
  <si>
    <t>Nepal_2009</t>
  </si>
  <si>
    <t>Nepal_2010</t>
  </si>
  <si>
    <t>Nepal_2011</t>
  </si>
  <si>
    <t>Nepal_2012</t>
  </si>
  <si>
    <t>Nepal_2013</t>
  </si>
  <si>
    <t>Nepal_2014</t>
  </si>
  <si>
    <t>Nepal_2015</t>
  </si>
  <si>
    <t>Nepal_2016</t>
  </si>
  <si>
    <t>Nicaragua_1985</t>
  </si>
  <si>
    <t>Nicaragua</t>
  </si>
  <si>
    <t>Nicaragua_1986</t>
  </si>
  <si>
    <t>Nicaragua_1987</t>
  </si>
  <si>
    <t>Nicaragua_1989</t>
  </si>
  <si>
    <t>Nicaragua_1990</t>
  </si>
  <si>
    <t>Nicaragua_1991</t>
  </si>
  <si>
    <t>Nicaragua_1992</t>
  </si>
  <si>
    <t>Nicaragua_1993</t>
  </si>
  <si>
    <t>Nicaragua_1994</t>
  </si>
  <si>
    <t>Nicaragua_1995</t>
  </si>
  <si>
    <t>Nicaragua_1996</t>
  </si>
  <si>
    <t>Nicaragua_1997</t>
  </si>
  <si>
    <t>Nicaragua_1998</t>
  </si>
  <si>
    <t>Nicaragua_1999</t>
  </si>
  <si>
    <t>Nicaragua_2000</t>
  </si>
  <si>
    <t>Nicaragua_2001</t>
  </si>
  <si>
    <t>Nicaragua_2002</t>
  </si>
  <si>
    <t>Nicaragua_2004</t>
  </si>
  <si>
    <t>Nicaragua_2005</t>
  </si>
  <si>
    <t>Nicaragua_2006</t>
  </si>
  <si>
    <t>Nicaragua_2007</t>
  </si>
  <si>
    <t>Nicaragua_2008</t>
  </si>
  <si>
    <t>Nicaragua_2009</t>
  </si>
  <si>
    <t>Nicaragua_2010</t>
  </si>
  <si>
    <t>Nicaragua_2011</t>
  </si>
  <si>
    <t>Nicaragua_2012</t>
  </si>
  <si>
    <t>Nicaragua_2013</t>
  </si>
  <si>
    <t>Nicaragua_2014</t>
  </si>
  <si>
    <t>Nicaragua_2015</t>
  </si>
  <si>
    <t>Nicaragua_2016</t>
  </si>
  <si>
    <t>Niger_1985</t>
  </si>
  <si>
    <t>Niger</t>
  </si>
  <si>
    <t>Niger_1986</t>
  </si>
  <si>
    <t>Niger_1987</t>
  </si>
  <si>
    <t>Niger_1989</t>
  </si>
  <si>
    <t>Niger_1990</t>
  </si>
  <si>
    <t>Niger_1991</t>
  </si>
  <si>
    <t>Niger_1992</t>
  </si>
  <si>
    <t>Niger_1993</t>
  </si>
  <si>
    <t>Niger_1994</t>
  </si>
  <si>
    <t>Niger_1995</t>
  </si>
  <si>
    <t>Niger_1996</t>
  </si>
  <si>
    <t>Niger_1997</t>
  </si>
  <si>
    <t>Niger_1998</t>
  </si>
  <si>
    <t>Niger_1999</t>
  </si>
  <si>
    <t>Niger_2000</t>
  </si>
  <si>
    <t>Niger_2001</t>
  </si>
  <si>
    <t>Niger_2002</t>
  </si>
  <si>
    <t>Niger_2004</t>
  </si>
  <si>
    <t>Niger_2005</t>
  </si>
  <si>
    <t>Niger_2006</t>
  </si>
  <si>
    <t>Niger_2007</t>
  </si>
  <si>
    <t>Niger_2008</t>
  </si>
  <si>
    <t>Niger_2009</t>
  </si>
  <si>
    <t>Niger_2010</t>
  </si>
  <si>
    <t>Niger_2011</t>
  </si>
  <si>
    <t>Niger_2012</t>
  </si>
  <si>
    <t>Niger_2013</t>
  </si>
  <si>
    <t>Niger_2014</t>
  </si>
  <si>
    <t>Niger_2015</t>
  </si>
  <si>
    <t>Niger_2016</t>
  </si>
  <si>
    <t>Nigeria_1985</t>
  </si>
  <si>
    <t>Nigeria</t>
  </si>
  <si>
    <t>Nigeria_1986</t>
  </si>
  <si>
    <t>Nigeria_1987</t>
  </si>
  <si>
    <t>Nigeria_1989</t>
  </si>
  <si>
    <t>Nigeria_1990</t>
  </si>
  <si>
    <t>Nigeria_1991</t>
  </si>
  <si>
    <t>Nigeria_1992</t>
  </si>
  <si>
    <t>Nigeria_1993</t>
  </si>
  <si>
    <t>Nigeria_1994</t>
  </si>
  <si>
    <t>Nigeria_1995</t>
  </si>
  <si>
    <t>Nigeria_1996</t>
  </si>
  <si>
    <t>Nigeria_1997</t>
  </si>
  <si>
    <t>Nigeria_1998</t>
  </si>
  <si>
    <t>Nigeria_1999</t>
  </si>
  <si>
    <t>Nigeria_2000</t>
  </si>
  <si>
    <t>Nigeria_2001</t>
  </si>
  <si>
    <t>Nigeria_2002</t>
  </si>
  <si>
    <t>Nigeria_2004</t>
  </si>
  <si>
    <t>Nigeria_2005</t>
  </si>
  <si>
    <t>Nigeria_2006</t>
  </si>
  <si>
    <t>Nigeria_2007</t>
  </si>
  <si>
    <t>Nigeria_2008</t>
  </si>
  <si>
    <t>Nigeria_2009</t>
  </si>
  <si>
    <t>Nigeria_2010</t>
  </si>
  <si>
    <t>Nigeria_2011</t>
  </si>
  <si>
    <t>Nigeria_2012</t>
  </si>
  <si>
    <t>Nigeria_2013</t>
  </si>
  <si>
    <t>Nigeria_2014</t>
  </si>
  <si>
    <t>Nigeria_2015</t>
  </si>
  <si>
    <t>Nigeria_2016</t>
  </si>
  <si>
    <t>Pakistan_1985</t>
  </si>
  <si>
    <t>Pakistan</t>
  </si>
  <si>
    <t>Pakistan_1986</t>
  </si>
  <si>
    <t>Pakistan_1987</t>
  </si>
  <si>
    <t>Pakistan_1989</t>
  </si>
  <si>
    <t>Pakistan_1990</t>
  </si>
  <si>
    <t>Pakistan_1991</t>
  </si>
  <si>
    <t>Pakistan_1992</t>
  </si>
  <si>
    <t>Pakistan_1993</t>
  </si>
  <si>
    <t>Pakistan_1994</t>
  </si>
  <si>
    <t>Pakistan_1995</t>
  </si>
  <si>
    <t>Pakistan_1996</t>
  </si>
  <si>
    <t>Pakistan_1997</t>
  </si>
  <si>
    <t>Pakistan_1998</t>
  </si>
  <si>
    <t>Pakistan_1999</t>
  </si>
  <si>
    <t>Pakistan_2000</t>
  </si>
  <si>
    <t>Pakistan_2001</t>
  </si>
  <si>
    <t>Pakistan_2002</t>
  </si>
  <si>
    <t>Pakistan_2004</t>
  </si>
  <si>
    <t>Pakistan_2005</t>
  </si>
  <si>
    <t>Pakistan_2006</t>
  </si>
  <si>
    <t>Pakistan_2007</t>
  </si>
  <si>
    <t>Pakistan_2008</t>
  </si>
  <si>
    <t>Pakistan_2009</t>
  </si>
  <si>
    <t>Pakistan_2010</t>
  </si>
  <si>
    <t>Pakistan_2011</t>
  </si>
  <si>
    <t>Pakistan_2012</t>
  </si>
  <si>
    <t>Pakistan_2013</t>
  </si>
  <si>
    <t>Pakistan_2014</t>
  </si>
  <si>
    <t>Pakistan_2015</t>
  </si>
  <si>
    <t>Pakistan_2016</t>
  </si>
  <si>
    <t>Panama_1985</t>
  </si>
  <si>
    <t>Panama</t>
  </si>
  <si>
    <t>Panama_1986</t>
  </si>
  <si>
    <t>Panama_1987</t>
  </si>
  <si>
    <t>Panama_1989</t>
  </si>
  <si>
    <t>Panama_1990</t>
  </si>
  <si>
    <t>Panama_1991</t>
  </si>
  <si>
    <t>Panama_1992</t>
  </si>
  <si>
    <t>Panama_1993</t>
  </si>
  <si>
    <t>Panama_1994</t>
  </si>
  <si>
    <t>Panama_1995</t>
  </si>
  <si>
    <t>Panama_1996</t>
  </si>
  <si>
    <t>Panama_1997</t>
  </si>
  <si>
    <t>Panama_1998</t>
  </si>
  <si>
    <t>Panama_1999</t>
  </si>
  <si>
    <t>Panama_2000</t>
  </si>
  <si>
    <t>Panama_2001</t>
  </si>
  <si>
    <t>Panama_2002</t>
  </si>
  <si>
    <t>Panama_2004</t>
  </si>
  <si>
    <t>Panama_2005</t>
  </si>
  <si>
    <t>Panama_2006</t>
  </si>
  <si>
    <t>Panama_2007</t>
  </si>
  <si>
    <t>Panama_2008</t>
  </si>
  <si>
    <t>Panama_2009</t>
  </si>
  <si>
    <t>Panama_2010</t>
  </si>
  <si>
    <t>Panama_2011</t>
  </si>
  <si>
    <t>Panama_2012</t>
  </si>
  <si>
    <t>Panama_2013</t>
  </si>
  <si>
    <t>Panama_2014</t>
  </si>
  <si>
    <t>Panama_2015</t>
  </si>
  <si>
    <t>Panama_2016</t>
  </si>
  <si>
    <t>Papua New Guinea_1985</t>
  </si>
  <si>
    <t>Papua New Guinea</t>
  </si>
  <si>
    <t>Papua New Guinea_1986</t>
  </si>
  <si>
    <t>Papua New Guinea_1987</t>
  </si>
  <si>
    <t>Papua New Guinea_1989</t>
  </si>
  <si>
    <t>Papua New Guinea_1990</t>
  </si>
  <si>
    <t>Papua New Guinea_1991</t>
  </si>
  <si>
    <t>Papua New Guinea_1992</t>
  </si>
  <si>
    <t>Papua New Guinea_1993</t>
  </si>
  <si>
    <t>Papua New Guinea_1994</t>
  </si>
  <si>
    <t>Papua New Guinea_1995</t>
  </si>
  <si>
    <t>Papua New Guinea_1996</t>
  </si>
  <si>
    <t>Papua New Guinea_1997</t>
  </si>
  <si>
    <t>Papua New Guinea_1998</t>
  </si>
  <si>
    <t>Papua New Guinea_1999</t>
  </si>
  <si>
    <t>Papua New Guinea_2000</t>
  </si>
  <si>
    <t>Papua New Guinea_2001</t>
  </si>
  <si>
    <t>Papua New Guinea_2002</t>
  </si>
  <si>
    <t>Papua New Guinea_2004</t>
  </si>
  <si>
    <t>Papua New Guinea_2005</t>
  </si>
  <si>
    <t>Papua New Guinea_2006</t>
  </si>
  <si>
    <t>Papua New Guinea_2007</t>
  </si>
  <si>
    <t>Papua New Guinea_2008</t>
  </si>
  <si>
    <t>Papua New Guinea_2009</t>
  </si>
  <si>
    <t>Papua New Guinea_2010</t>
  </si>
  <si>
    <t>Papua New Guinea_2011</t>
  </si>
  <si>
    <t>Papua New Guinea_2012</t>
  </si>
  <si>
    <t>Papua New Guinea_2013</t>
  </si>
  <si>
    <t>Papua New Guinea_2014</t>
  </si>
  <si>
    <t>Papua New Guinea_2015</t>
  </si>
  <si>
    <t>Papua New Guinea_2016</t>
  </si>
  <si>
    <t>Paraguay_1985</t>
  </si>
  <si>
    <t>Paraguay</t>
  </si>
  <si>
    <t>Paraguay_1986</t>
  </si>
  <si>
    <t>Paraguay_1987</t>
  </si>
  <si>
    <t>Paraguay_1989</t>
  </si>
  <si>
    <t>Paraguay_1990</t>
  </si>
  <si>
    <t>Paraguay_1991</t>
  </si>
  <si>
    <t>Paraguay_1992</t>
  </si>
  <si>
    <t>Paraguay_1993</t>
  </si>
  <si>
    <t>Paraguay_1994</t>
  </si>
  <si>
    <t>Paraguay_1995</t>
  </si>
  <si>
    <t>Paraguay_1996</t>
  </si>
  <si>
    <t>Paraguay_1997</t>
  </si>
  <si>
    <t>Paraguay_1998</t>
  </si>
  <si>
    <t>Paraguay_1999</t>
  </si>
  <si>
    <t>Paraguay_2000</t>
  </si>
  <si>
    <t>Paraguay_2001</t>
  </si>
  <si>
    <t>Paraguay_2002</t>
  </si>
  <si>
    <t>Paraguay_2004</t>
  </si>
  <si>
    <t>Paraguay_2005</t>
  </si>
  <si>
    <t>Paraguay_2006</t>
  </si>
  <si>
    <t>Paraguay_2007</t>
  </si>
  <si>
    <t>Paraguay_2008</t>
  </si>
  <si>
    <t>Paraguay_2009</t>
  </si>
  <si>
    <t>Paraguay_2010</t>
  </si>
  <si>
    <t>Paraguay_2011</t>
  </si>
  <si>
    <t>Paraguay_2012</t>
  </si>
  <si>
    <t>Paraguay_2013</t>
  </si>
  <si>
    <t>Paraguay_2014</t>
  </si>
  <si>
    <t>Paraguay_2015</t>
  </si>
  <si>
    <t>Paraguay_2016</t>
  </si>
  <si>
    <t>Peru_1985</t>
  </si>
  <si>
    <t>Peru</t>
  </si>
  <si>
    <t>Peru_1986</t>
  </si>
  <si>
    <t>Peru_1987</t>
  </si>
  <si>
    <t>Peru_1989</t>
  </si>
  <si>
    <t>Peru_1990</t>
  </si>
  <si>
    <t>Peru_1991</t>
  </si>
  <si>
    <t>Peru_1992</t>
  </si>
  <si>
    <t>Peru_1993</t>
  </si>
  <si>
    <t>Peru_1994</t>
  </si>
  <si>
    <t>Peru_1995</t>
  </si>
  <si>
    <t>Peru_1996</t>
  </si>
  <si>
    <t>Peru_1997</t>
  </si>
  <si>
    <t>Peru_1998</t>
  </si>
  <si>
    <t>Peru_1999</t>
  </si>
  <si>
    <t>Peru_2000</t>
  </si>
  <si>
    <t>Peru_2001</t>
  </si>
  <si>
    <t>Peru_2002</t>
  </si>
  <si>
    <t>Peru_2004</t>
  </si>
  <si>
    <t>Peru_2005</t>
  </si>
  <si>
    <t>Peru_2006</t>
  </si>
  <si>
    <t>Peru_2007</t>
  </si>
  <si>
    <t>Peru_2008</t>
  </si>
  <si>
    <t>Peru_2009</t>
  </si>
  <si>
    <t>Peru_2010</t>
  </si>
  <si>
    <t>Peru_2011</t>
  </si>
  <si>
    <t>Peru_2012</t>
  </si>
  <si>
    <t>Peru_2013</t>
  </si>
  <si>
    <t>Peru_2014</t>
  </si>
  <si>
    <t>Peru_2015</t>
  </si>
  <si>
    <t>Peru_2016</t>
  </si>
  <si>
    <t>Philippines_1985</t>
  </si>
  <si>
    <t>Philippines</t>
  </si>
  <si>
    <t>Philippines_1986</t>
  </si>
  <si>
    <t>Philippines_1987</t>
  </si>
  <si>
    <t>Philippines_1989</t>
  </si>
  <si>
    <t>Philippines_1990</t>
  </si>
  <si>
    <t>Philippines_1991</t>
  </si>
  <si>
    <t>Philippines_1992</t>
  </si>
  <si>
    <t>Philippines_1993</t>
  </si>
  <si>
    <t>Philippines_1994</t>
  </si>
  <si>
    <t>Philippines_1995</t>
  </si>
  <si>
    <t>Philippines_1996</t>
  </si>
  <si>
    <t>Philippines_1997</t>
  </si>
  <si>
    <t>Philippines_1998</t>
  </si>
  <si>
    <t>Philippines_1999</t>
  </si>
  <si>
    <t>Philippines_2000</t>
  </si>
  <si>
    <t>Philippines_2001</t>
  </si>
  <si>
    <t>Philippines_2002</t>
  </si>
  <si>
    <t>Philippines_2004</t>
  </si>
  <si>
    <t>Philippines_2005</t>
  </si>
  <si>
    <t>Philippines_2006</t>
  </si>
  <si>
    <t>Philippines_2007</t>
  </si>
  <si>
    <t>Philippines_2008</t>
  </si>
  <si>
    <t>Philippines_2009</t>
  </si>
  <si>
    <t>Philippines_2010</t>
  </si>
  <si>
    <t>Philippines_2011</t>
  </si>
  <si>
    <t>Philippines_2012</t>
  </si>
  <si>
    <t>Philippines_2013</t>
  </si>
  <si>
    <t>Philippines_2014</t>
  </si>
  <si>
    <t>Philippines_2015</t>
  </si>
  <si>
    <t>Philippines_2016</t>
  </si>
  <si>
    <t>Portugal_1985</t>
  </si>
  <si>
    <t>Portugal</t>
  </si>
  <si>
    <t>Portugal_1986</t>
  </si>
  <si>
    <t>Portugal_1987</t>
  </si>
  <si>
    <t>Portugal_1989</t>
  </si>
  <si>
    <t>Portugal_1990</t>
  </si>
  <si>
    <t>Portugal_1991</t>
  </si>
  <si>
    <t>Portugal_1992</t>
  </si>
  <si>
    <t>Portugal_1993</t>
  </si>
  <si>
    <t>Portugal_1994</t>
  </si>
  <si>
    <t>Portugal_1995</t>
  </si>
  <si>
    <t>Portugal_1996</t>
  </si>
  <si>
    <t>Portugal_1997</t>
  </si>
  <si>
    <t>Portugal_1998</t>
  </si>
  <si>
    <t>Portugal_1999</t>
  </si>
  <si>
    <t>Portugal_2000</t>
  </si>
  <si>
    <t>Portugal_2001</t>
  </si>
  <si>
    <t>Portugal_2002</t>
  </si>
  <si>
    <t>Portugal_2004</t>
  </si>
  <si>
    <t>Portugal_2005</t>
  </si>
  <si>
    <t>Portugal_2006</t>
  </si>
  <si>
    <t>Portugal_2007</t>
  </si>
  <si>
    <t>Portugal_2008</t>
  </si>
  <si>
    <t>Portugal_2009</t>
  </si>
  <si>
    <t>Portugal_2010</t>
  </si>
  <si>
    <t>Portugal_2011</t>
  </si>
  <si>
    <t>Portugal_2012</t>
  </si>
  <si>
    <t>Portugal_2013</t>
  </si>
  <si>
    <t>Portugal_2014</t>
  </si>
  <si>
    <t>Portugal_2015</t>
  </si>
  <si>
    <t>Portugal_2016</t>
  </si>
  <si>
    <t>Puerto Rico_1985</t>
  </si>
  <si>
    <t>Puerto Rico</t>
  </si>
  <si>
    <t>Puerto Rico_1986</t>
  </si>
  <si>
    <t>Puerto Rico_1987</t>
  </si>
  <si>
    <t>Puerto Rico_1989</t>
  </si>
  <si>
    <t>Puerto Rico_1998</t>
  </si>
  <si>
    <t>Puerto Rico_1999</t>
  </si>
  <si>
    <t>Puerto Rico_2000</t>
  </si>
  <si>
    <t>Puerto Rico_2001</t>
  </si>
  <si>
    <t>Puerto Rico_2002</t>
  </si>
  <si>
    <t>Puerto Rico_2004</t>
  </si>
  <si>
    <t>Puerto Rico_2008</t>
  </si>
  <si>
    <t>Puerto Rico_2009</t>
  </si>
  <si>
    <t>Puerto Rico_2010</t>
  </si>
  <si>
    <t>Puerto Rico_2011</t>
  </si>
  <si>
    <t>Puerto Rico_2012</t>
  </si>
  <si>
    <t>Puerto Rico_2013</t>
  </si>
  <si>
    <t>Puerto Rico_2014</t>
  </si>
  <si>
    <t>Puerto Rico_2015</t>
  </si>
  <si>
    <t>Puerto Rico_2016</t>
  </si>
  <si>
    <t>Romania_1985</t>
  </si>
  <si>
    <t>Romania</t>
  </si>
  <si>
    <t>Romania_1986</t>
  </si>
  <si>
    <t>Romania_1987</t>
  </si>
  <si>
    <t>Romania_1989</t>
  </si>
  <si>
    <t>Romania_1990</t>
  </si>
  <si>
    <t>Romania_1991</t>
  </si>
  <si>
    <t>Romania_1992</t>
  </si>
  <si>
    <t>Romania_1993</t>
  </si>
  <si>
    <t>Romania_1994</t>
  </si>
  <si>
    <t>Romania_1995</t>
  </si>
  <si>
    <t>Romania_1996</t>
  </si>
  <si>
    <t>Romania_1997</t>
  </si>
  <si>
    <t>Romania_1998</t>
  </si>
  <si>
    <t>Romania_1999</t>
  </si>
  <si>
    <t>Romania_2000</t>
  </si>
  <si>
    <t>Romania_2001</t>
  </si>
  <si>
    <t>Romania_2002</t>
  </si>
  <si>
    <t>Romania_2004</t>
  </si>
  <si>
    <t>Romania_2005</t>
  </si>
  <si>
    <t>Romania_2006</t>
  </si>
  <si>
    <t>Romania_2007</t>
  </si>
  <si>
    <t>Romania_2008</t>
  </si>
  <si>
    <t>Romania_2009</t>
  </si>
  <si>
    <t>Romania_2010</t>
  </si>
  <si>
    <t>Romania_2011</t>
  </si>
  <si>
    <t>Romania_2012</t>
  </si>
  <si>
    <t>Romania_2013</t>
  </si>
  <si>
    <t>Romania_2014</t>
  </si>
  <si>
    <t>Romania_2015</t>
  </si>
  <si>
    <t>Romania_2016</t>
  </si>
  <si>
    <t>Rwanda_1985</t>
  </si>
  <si>
    <t>Rwanda</t>
  </si>
  <si>
    <t>Rwanda_1986</t>
  </si>
  <si>
    <t>Rwanda_1987</t>
  </si>
  <si>
    <t>Rwanda_1989</t>
  </si>
  <si>
    <t>Rwanda_1990</t>
  </si>
  <si>
    <t>Rwanda_1991</t>
  </si>
  <si>
    <t>Rwanda_1992</t>
  </si>
  <si>
    <t>Rwanda_1993</t>
  </si>
  <si>
    <t>Rwanda_1994</t>
  </si>
  <si>
    <t>Rwanda_1995</t>
  </si>
  <si>
    <t>Rwanda_1996</t>
  </si>
  <si>
    <t>Rwanda_1997</t>
  </si>
  <si>
    <t>Rwanda_1998</t>
  </si>
  <si>
    <t>Rwanda_1999</t>
  </si>
  <si>
    <t>Rwanda_2000</t>
  </si>
  <si>
    <t>Rwanda_2001</t>
  </si>
  <si>
    <t>Rwanda_2002</t>
  </si>
  <si>
    <t>Rwanda_2004</t>
  </si>
  <si>
    <t>Rwanda_2005</t>
  </si>
  <si>
    <t>Rwanda_2006</t>
  </si>
  <si>
    <t>Rwanda_2007</t>
  </si>
  <si>
    <t>Rwanda_2008</t>
  </si>
  <si>
    <t>Rwanda_2009</t>
  </si>
  <si>
    <t>Rwanda_2010</t>
  </si>
  <si>
    <t>Rwanda_2011</t>
  </si>
  <si>
    <t>Rwanda_2012</t>
  </si>
  <si>
    <t>Rwanda_2013</t>
  </si>
  <si>
    <t>Rwanda_2014</t>
  </si>
  <si>
    <t>Rwanda_2015</t>
  </si>
  <si>
    <t>Rwanda_2016</t>
  </si>
  <si>
    <t>Senegal_1985</t>
  </si>
  <si>
    <t>Senegal</t>
  </si>
  <si>
    <t>Senegal_1986</t>
  </si>
  <si>
    <t>Senegal_1987</t>
  </si>
  <si>
    <t>Senegal_1989</t>
  </si>
  <si>
    <t>Senegal_1990</t>
  </si>
  <si>
    <t>Senegal_1991</t>
  </si>
  <si>
    <t>Senegal_1992</t>
  </si>
  <si>
    <t>Senegal_1993</t>
  </si>
  <si>
    <t>Senegal_1994</t>
  </si>
  <si>
    <t>Senegal_1995</t>
  </si>
  <si>
    <t>Senegal_1996</t>
  </si>
  <si>
    <t>Senegal_1997</t>
  </si>
  <si>
    <t>Senegal_1998</t>
  </si>
  <si>
    <t>Senegal_1999</t>
  </si>
  <si>
    <t>Senegal_2000</t>
  </si>
  <si>
    <t>Senegal_2001</t>
  </si>
  <si>
    <t>Senegal_2002</t>
  </si>
  <si>
    <t>Senegal_2004</t>
  </si>
  <si>
    <t>Senegal_2005</t>
  </si>
  <si>
    <t>Senegal_2006</t>
  </si>
  <si>
    <t>Senegal_2007</t>
  </si>
  <si>
    <t>Senegal_2008</t>
  </si>
  <si>
    <t>Senegal_2009</t>
  </si>
  <si>
    <t>Senegal_2010</t>
  </si>
  <si>
    <t>Senegal_2011</t>
  </si>
  <si>
    <t>Senegal_2012</t>
  </si>
  <si>
    <t>Senegal_2013</t>
  </si>
  <si>
    <t>Senegal_2014</t>
  </si>
  <si>
    <t>Senegal_2015</t>
  </si>
  <si>
    <t>Senegal_2016</t>
  </si>
  <si>
    <t>Sierra Leone_1985</t>
  </si>
  <si>
    <t>Sierra Leone</t>
  </si>
  <si>
    <t>Sierra Leone_1986</t>
  </si>
  <si>
    <t>Sierra Leone_1987</t>
  </si>
  <si>
    <t>Sierra Leone_1989</t>
  </si>
  <si>
    <t>Sierra Leone_1990</t>
  </si>
  <si>
    <t>Sierra Leone_1991</t>
  </si>
  <si>
    <t>Sierra Leone_1992</t>
  </si>
  <si>
    <t>Sierra Leone_1993</t>
  </si>
  <si>
    <t>Sierra Leone_1994</t>
  </si>
  <si>
    <t>Sierra Leone_1995</t>
  </si>
  <si>
    <t>Sierra Leone_1996</t>
  </si>
  <si>
    <t>Sierra Leone_1997</t>
  </si>
  <si>
    <t>Sierra Leone_1998</t>
  </si>
  <si>
    <t>Sierra Leone_1999</t>
  </si>
  <si>
    <t>Sierra Leone_2000</t>
  </si>
  <si>
    <t>Sierra Leone_2001</t>
  </si>
  <si>
    <t>Sierra Leone_2002</t>
  </si>
  <si>
    <t>Sierra Leone_2004</t>
  </si>
  <si>
    <t>Sierra Leone_2005</t>
  </si>
  <si>
    <t>Sierra Leone_2006</t>
  </si>
  <si>
    <t>Sierra Leone_2007</t>
  </si>
  <si>
    <t>Sierra Leone_2008</t>
  </si>
  <si>
    <t>Sierra Leone_2009</t>
  </si>
  <si>
    <t>Sierra Leone_2010</t>
  </si>
  <si>
    <t>Sierra Leone_2011</t>
  </si>
  <si>
    <t>Sierra Leone_2012</t>
  </si>
  <si>
    <t>Sierra Leone_2013</t>
  </si>
  <si>
    <t>Sierra Leone_2014</t>
  </si>
  <si>
    <t>Sierra Leone_2015</t>
  </si>
  <si>
    <t>Sierra Leone_2016</t>
  </si>
  <si>
    <t>Solomon Islands_1985</t>
  </si>
  <si>
    <t>Solomon Islands</t>
  </si>
  <si>
    <t>Solomon Islands_1986</t>
  </si>
  <si>
    <t>Solomon Islands_1990</t>
  </si>
  <si>
    <t>Solomon Islands_1991</t>
  </si>
  <si>
    <t>Solomon Islands_1992</t>
  </si>
  <si>
    <t>Solomon Islands_1993</t>
  </si>
  <si>
    <t>Solomon Islands_1994</t>
  </si>
  <si>
    <t>Solomon Islands_1995</t>
  </si>
  <si>
    <t>Solomon Islands_1996</t>
  </si>
  <si>
    <t>Solomon Islands_1997</t>
  </si>
  <si>
    <t>Solomon Islands_1998</t>
  </si>
  <si>
    <t>Solomon Islands_1999</t>
  </si>
  <si>
    <t>Solomon Islands_2000</t>
  </si>
  <si>
    <t>Solomon Islands_2001</t>
  </si>
  <si>
    <t>Solomon Islands_2002</t>
  </si>
  <si>
    <t>Solomon Islands_2004</t>
  </si>
  <si>
    <t>Solomon Islands_2005</t>
  </si>
  <si>
    <t>Solomon Islands_2006</t>
  </si>
  <si>
    <t>Solomon Islands_2007</t>
  </si>
  <si>
    <t>Solomon Islands_2008</t>
  </si>
  <si>
    <t>Solomon Islands_2009</t>
  </si>
  <si>
    <t>Solomon Islands_2010</t>
  </si>
  <si>
    <t>Solomon Islands_2011</t>
  </si>
  <si>
    <t>Solomon Islands_2012</t>
  </si>
  <si>
    <t>Solomon Islands_2013</t>
  </si>
  <si>
    <t>Solomon Islands_2014</t>
  </si>
  <si>
    <t>Solomon Islands_2015</t>
  </si>
  <si>
    <t>Solomon Islands_2016</t>
  </si>
  <si>
    <t>Somalia_1985</t>
  </si>
  <si>
    <t>Somalia</t>
  </si>
  <si>
    <t>Somalia_1986</t>
  </si>
  <si>
    <t>Somalia_1987</t>
  </si>
  <si>
    <t>Somalia_1989</t>
  </si>
  <si>
    <t>Somalia_1990</t>
  </si>
  <si>
    <t>Somalia_1991</t>
  </si>
  <si>
    <t>Somalia_1992</t>
  </si>
  <si>
    <t>Somalia_1993</t>
  </si>
  <si>
    <t>Somalia_1994</t>
  </si>
  <si>
    <t>Somalia_1995</t>
  </si>
  <si>
    <t>Somalia_1996</t>
  </si>
  <si>
    <t>Somalia_1997</t>
  </si>
  <si>
    <t>Somalia_1998</t>
  </si>
  <si>
    <t>Somalia_1999</t>
  </si>
  <si>
    <t>Somalia_2000</t>
  </si>
  <si>
    <t>Somalia_2001</t>
  </si>
  <si>
    <t>Somalia_2002</t>
  </si>
  <si>
    <t>Somalia_2004</t>
  </si>
  <si>
    <t>Somalia_2005</t>
  </si>
  <si>
    <t>Somalia_2006</t>
  </si>
  <si>
    <t>Somalia_2007</t>
  </si>
  <si>
    <t>Somalia_2008</t>
  </si>
  <si>
    <t>Somalia_2009</t>
  </si>
  <si>
    <t>Somalia_2010</t>
  </si>
  <si>
    <t>Somalia_2011</t>
  </si>
  <si>
    <t>Somalia_2012</t>
  </si>
  <si>
    <t>Somalia_2013</t>
  </si>
  <si>
    <t>Somalia_2014</t>
  </si>
  <si>
    <t>Somalia_2015</t>
  </si>
  <si>
    <t>Somalia_2016</t>
  </si>
  <si>
    <t>South Africa_1985</t>
  </si>
  <si>
    <t>South Africa</t>
  </si>
  <si>
    <t>South Africa_1986</t>
  </si>
  <si>
    <t>South Africa_1987</t>
  </si>
  <si>
    <t>South Africa_1989</t>
  </si>
  <si>
    <t>South Africa_1990</t>
  </si>
  <si>
    <t>South Africa_1991</t>
  </si>
  <si>
    <t>South Africa_1992</t>
  </si>
  <si>
    <t>South Africa_1993</t>
  </si>
  <si>
    <t>South Africa_1994</t>
  </si>
  <si>
    <t>South Africa_1995</t>
  </si>
  <si>
    <t>South Africa_1996</t>
  </si>
  <si>
    <t>South Africa_1997</t>
  </si>
  <si>
    <t>South Africa_1998</t>
  </si>
  <si>
    <t>South Africa_1999</t>
  </si>
  <si>
    <t>South Africa_2000</t>
  </si>
  <si>
    <t>South Africa_2001</t>
  </si>
  <si>
    <t>South Africa_2002</t>
  </si>
  <si>
    <t>South Africa_2004</t>
  </si>
  <si>
    <t>South Africa_2005</t>
  </si>
  <si>
    <t>South Africa_2006</t>
  </si>
  <si>
    <t>South Africa_2007</t>
  </si>
  <si>
    <t>South Africa_2008</t>
  </si>
  <si>
    <t>South Africa_2009</t>
  </si>
  <si>
    <t>South Africa_2010</t>
  </si>
  <si>
    <t>South Africa_2011</t>
  </si>
  <si>
    <t>South Africa_2012</t>
  </si>
  <si>
    <t>South Africa_2013</t>
  </si>
  <si>
    <t>South Africa_2014</t>
  </si>
  <si>
    <t>South Africa_2015</t>
  </si>
  <si>
    <t>South Africa_2016</t>
  </si>
  <si>
    <t>Spain_1985</t>
  </si>
  <si>
    <t>Spain</t>
  </si>
  <si>
    <t>Spain_1986</t>
  </si>
  <si>
    <t>Spain_1987</t>
  </si>
  <si>
    <t>Spain_1989</t>
  </si>
  <si>
    <t>Spain_1990</t>
  </si>
  <si>
    <t>Spain_1991</t>
  </si>
  <si>
    <t>Spain_1992</t>
  </si>
  <si>
    <t>Spain_1993</t>
  </si>
  <si>
    <t>Spain_1994</t>
  </si>
  <si>
    <t>Spain_1995</t>
  </si>
  <si>
    <t>Spain_1996</t>
  </si>
  <si>
    <t>Spain_1997</t>
  </si>
  <si>
    <t>Spain_1998</t>
  </si>
  <si>
    <t>Spain_1999</t>
  </si>
  <si>
    <t>Spain_2000</t>
  </si>
  <si>
    <t>Spain_2001</t>
  </si>
  <si>
    <t>Spain_2002</t>
  </si>
  <si>
    <t>Spain_2004</t>
  </si>
  <si>
    <t>Spain_2005</t>
  </si>
  <si>
    <t>Spain_2006</t>
  </si>
  <si>
    <t>Spain_2007</t>
  </si>
  <si>
    <t>Spain_2008</t>
  </si>
  <si>
    <t>Spain_2009</t>
  </si>
  <si>
    <t>Spain_2010</t>
  </si>
  <si>
    <t>Spain_2011</t>
  </si>
  <si>
    <t>Spain_2012</t>
  </si>
  <si>
    <t>Spain_2013</t>
  </si>
  <si>
    <t>Spain_2014</t>
  </si>
  <si>
    <t>Spain_2015</t>
  </si>
  <si>
    <t>Spain_2016</t>
  </si>
  <si>
    <t>Sri Lanka_1985</t>
  </si>
  <si>
    <t>Sri Lanka</t>
  </si>
  <si>
    <t>Sri Lanka_1986</t>
  </si>
  <si>
    <t>Sri Lanka_1987</t>
  </si>
  <si>
    <t>Sri Lanka_1989</t>
  </si>
  <si>
    <t>Sri Lanka_1990</t>
  </si>
  <si>
    <t>Sri Lanka_1991</t>
  </si>
  <si>
    <t>Sri Lanka_1992</t>
  </si>
  <si>
    <t>Sri Lanka_1993</t>
  </si>
  <si>
    <t>Sri Lanka_1994</t>
  </si>
  <si>
    <t>Sri Lanka_1995</t>
  </si>
  <si>
    <t>Sri Lanka_1996</t>
  </si>
  <si>
    <t>Sri Lanka_1997</t>
  </si>
  <si>
    <t>Sri Lanka_1998</t>
  </si>
  <si>
    <t>Sri Lanka_1999</t>
  </si>
  <si>
    <t>Sri Lanka_2000</t>
  </si>
  <si>
    <t>Sri Lanka_2001</t>
  </si>
  <si>
    <t>Sri Lanka_2002</t>
  </si>
  <si>
    <t>Sri Lanka_2004</t>
  </si>
  <si>
    <t>Sri Lanka_2005</t>
  </si>
  <si>
    <t>Sri Lanka_2006</t>
  </si>
  <si>
    <t>Sri Lanka_2007</t>
  </si>
  <si>
    <t>Sri Lanka_2008</t>
  </si>
  <si>
    <t>Sri Lanka_2009</t>
  </si>
  <si>
    <t>Sri Lanka_2010</t>
  </si>
  <si>
    <t>Sri Lanka_2011</t>
  </si>
  <si>
    <t>Sri Lanka_2012</t>
  </si>
  <si>
    <t>Sri Lanka_2013</t>
  </si>
  <si>
    <t>Sri Lanka_2014</t>
  </si>
  <si>
    <t>Sri Lanka_2015</t>
  </si>
  <si>
    <t>Sri Lanka_2016</t>
  </si>
  <si>
    <t>Sudan_2012</t>
  </si>
  <si>
    <t>Sudan</t>
  </si>
  <si>
    <t>Sudan_2013</t>
  </si>
  <si>
    <t>Sudan_2014</t>
  </si>
  <si>
    <t>Sudan_2015</t>
  </si>
  <si>
    <t>Sudan_2016</t>
  </si>
  <si>
    <t>Suriname_1985</t>
  </si>
  <si>
    <t>Suriname</t>
  </si>
  <si>
    <t>Suriname_1986</t>
  </si>
  <si>
    <t>Suriname_1987</t>
  </si>
  <si>
    <t>Suriname_1989</t>
  </si>
  <si>
    <t>Suriname_1990</t>
  </si>
  <si>
    <t>Suriname_1991</t>
  </si>
  <si>
    <t>Suriname_1992</t>
  </si>
  <si>
    <t>Suriname_1993</t>
  </si>
  <si>
    <t>Suriname_1994</t>
  </si>
  <si>
    <t>Suriname_1995</t>
  </si>
  <si>
    <t>Suriname_1996</t>
  </si>
  <si>
    <t>Suriname_1997</t>
  </si>
  <si>
    <t>Suriname_1998</t>
  </si>
  <si>
    <t>Suriname_1999</t>
  </si>
  <si>
    <t>Suriname_2000</t>
  </si>
  <si>
    <t>Suriname_2001</t>
  </si>
  <si>
    <t>Suriname_2002</t>
  </si>
  <si>
    <t>Suriname_2004</t>
  </si>
  <si>
    <t>Suriname_2005</t>
  </si>
  <si>
    <t>Suriname_2006</t>
  </si>
  <si>
    <t>Suriname_2007</t>
  </si>
  <si>
    <t>Suriname_2008</t>
  </si>
  <si>
    <t>Suriname_2009</t>
  </si>
  <si>
    <t>Suriname_2010</t>
  </si>
  <si>
    <t>Suriname_2011</t>
  </si>
  <si>
    <t>Suriname_2012</t>
  </si>
  <si>
    <t>Suriname_2013</t>
  </si>
  <si>
    <t>Suriname_2014</t>
  </si>
  <si>
    <t>Suriname_2015</t>
  </si>
  <si>
    <t>Suriname_2016</t>
  </si>
  <si>
    <t>Eswatini_1985</t>
  </si>
  <si>
    <t>Eswatini</t>
  </si>
  <si>
    <t>Eswatini_1986</t>
  </si>
  <si>
    <t>Eswatini_1987</t>
  </si>
  <si>
    <t>Eswatini_1989</t>
  </si>
  <si>
    <t>Eswatini_1990</t>
  </si>
  <si>
    <t>Eswatini_1991</t>
  </si>
  <si>
    <t>Eswatini_1992</t>
  </si>
  <si>
    <t>Eswatini_1993</t>
  </si>
  <si>
    <t>Eswatini_1994</t>
  </si>
  <si>
    <t>Eswatini_1995</t>
  </si>
  <si>
    <t>Eswatini_1996</t>
  </si>
  <si>
    <t>Eswatini_1997</t>
  </si>
  <si>
    <t>Eswatini_1998</t>
  </si>
  <si>
    <t>Eswatini_1999</t>
  </si>
  <si>
    <t>Eswatini_2000</t>
  </si>
  <si>
    <t>Eswatini_2001</t>
  </si>
  <si>
    <t>Eswatini_2002</t>
  </si>
  <si>
    <t>Eswatini_2004</t>
  </si>
  <si>
    <t>Eswatini_2005</t>
  </si>
  <si>
    <t>Eswatini_2006</t>
  </si>
  <si>
    <t>Eswatini_2007</t>
  </si>
  <si>
    <t>Eswatini_2008</t>
  </si>
  <si>
    <t>Eswatini_2009</t>
  </si>
  <si>
    <t>Eswatini_2010</t>
  </si>
  <si>
    <t>Eswatini_2011</t>
  </si>
  <si>
    <t>Eswatini_2012</t>
  </si>
  <si>
    <t>Eswatini_2013</t>
  </si>
  <si>
    <t>Eswatini_2014</t>
  </si>
  <si>
    <t>Eswatini_2015</t>
  </si>
  <si>
    <t>Eswatini_2016</t>
  </si>
  <si>
    <t>Tajikistan_1992</t>
  </si>
  <si>
    <t>Tajikistan</t>
  </si>
  <si>
    <t>Tajikistan_1993</t>
  </si>
  <si>
    <t>Tajikistan_1994</t>
  </si>
  <si>
    <t>Tajikistan_1995</t>
  </si>
  <si>
    <t>Tajikistan_1996</t>
  </si>
  <si>
    <t>Tajikistan_1997</t>
  </si>
  <si>
    <t>Tajikistan_1998</t>
  </si>
  <si>
    <t>Tajikistan_1999</t>
  </si>
  <si>
    <t>Tajikistan_2000</t>
  </si>
  <si>
    <t>Tajikistan_2001</t>
  </si>
  <si>
    <t>Tajikistan_2002</t>
  </si>
  <si>
    <t>Tajikistan_2004</t>
  </si>
  <si>
    <t>Tajikistan_2005</t>
  </si>
  <si>
    <t>Tajikistan_2006</t>
  </si>
  <si>
    <t>Tajikistan_2007</t>
  </si>
  <si>
    <t>Tajikistan_2008</t>
  </si>
  <si>
    <t>Tajikistan_2009</t>
  </si>
  <si>
    <t>Tajikistan_2010</t>
  </si>
  <si>
    <t>Tajikistan_2011</t>
  </si>
  <si>
    <t>Tajikistan_2012</t>
  </si>
  <si>
    <t>Tajikistan_2013</t>
  </si>
  <si>
    <t>Tajikistan_2014</t>
  </si>
  <si>
    <t>Tajikistan_2015</t>
  </si>
  <si>
    <t>Tajikistan_2016</t>
  </si>
  <si>
    <t>Thailand_1985</t>
  </si>
  <si>
    <t>Thailand</t>
  </si>
  <si>
    <t>Thailand_1986</t>
  </si>
  <si>
    <t>Thailand_1987</t>
  </si>
  <si>
    <t>Thailand_1989</t>
  </si>
  <si>
    <t>Thailand_1990</t>
  </si>
  <si>
    <t>Thailand_1991</t>
  </si>
  <si>
    <t>Thailand_1992</t>
  </si>
  <si>
    <t>Thailand_1993</t>
  </si>
  <si>
    <t>Thailand_1994</t>
  </si>
  <si>
    <t>Thailand_1995</t>
  </si>
  <si>
    <t>Thailand_1996</t>
  </si>
  <si>
    <t>Thailand_1997</t>
  </si>
  <si>
    <t>Thailand_1998</t>
  </si>
  <si>
    <t>Thailand_1999</t>
  </si>
  <si>
    <t>Thailand_2000</t>
  </si>
  <si>
    <t>Thailand_2001</t>
  </si>
  <si>
    <t>Thailand_2002</t>
  </si>
  <si>
    <t>Thailand_2004</t>
  </si>
  <si>
    <t>Thailand_2005</t>
  </si>
  <si>
    <t>Thailand_2006</t>
  </si>
  <si>
    <t>Thailand_2007</t>
  </si>
  <si>
    <t>Thailand_2008</t>
  </si>
  <si>
    <t>Thailand_2009</t>
  </si>
  <si>
    <t>Thailand_2010</t>
  </si>
  <si>
    <t>Thailand_2011</t>
  </si>
  <si>
    <t>Thailand_2012</t>
  </si>
  <si>
    <t>Thailand_2013</t>
  </si>
  <si>
    <t>Thailand_2014</t>
  </si>
  <si>
    <t>Thailand_2015</t>
  </si>
  <si>
    <t>Thailand_2016</t>
  </si>
  <si>
    <t>Timor-Leste_1985</t>
  </si>
  <si>
    <t>Timor-Leste</t>
  </si>
  <si>
    <t>Timor-Leste_1986</t>
  </si>
  <si>
    <t>Timor-Leste_1987</t>
  </si>
  <si>
    <t>Timor-Leste_1989</t>
  </si>
  <si>
    <t>Timor-Leste_1990</t>
  </si>
  <si>
    <t>Timor-Leste_1991</t>
  </si>
  <si>
    <t>Timor-Leste_1992</t>
  </si>
  <si>
    <t>Timor-Leste_1993</t>
  </si>
  <si>
    <t>Timor-Leste_1994</t>
  </si>
  <si>
    <t>Timor-Leste_1995</t>
  </si>
  <si>
    <t>Timor-Leste_1996</t>
  </si>
  <si>
    <t>Timor-Leste_1997</t>
  </si>
  <si>
    <t>Timor-Leste_1998</t>
  </si>
  <si>
    <t>Timor-Leste_1999</t>
  </si>
  <si>
    <t>Timor-Leste_2000</t>
  </si>
  <si>
    <t>Timor-Leste_2001</t>
  </si>
  <si>
    <t>Timor-Leste_2002</t>
  </si>
  <si>
    <t>Timor-Leste_2004</t>
  </si>
  <si>
    <t>Timor-Leste_2005</t>
  </si>
  <si>
    <t>Timor-Leste_2006</t>
  </si>
  <si>
    <t>Timor-Leste_2007</t>
  </si>
  <si>
    <t>Timor-Leste_2008</t>
  </si>
  <si>
    <t>Timor-Leste_2009</t>
  </si>
  <si>
    <t>Timor-Leste_2010</t>
  </si>
  <si>
    <t>Timor-Leste_2011</t>
  </si>
  <si>
    <t>Timor-Leste_2012</t>
  </si>
  <si>
    <t>Timor-Leste_2013</t>
  </si>
  <si>
    <t>Timor-Leste_2014</t>
  </si>
  <si>
    <t>Timor-Leste_2015</t>
  </si>
  <si>
    <t>Timor-Leste_2016</t>
  </si>
  <si>
    <t>Togo_1985</t>
  </si>
  <si>
    <t>Togo</t>
  </si>
  <si>
    <t>Togo_1986</t>
  </si>
  <si>
    <t>Togo_1987</t>
  </si>
  <si>
    <t>Togo_1989</t>
  </si>
  <si>
    <t>Togo_1990</t>
  </si>
  <si>
    <t>Togo_1991</t>
  </si>
  <si>
    <t>Togo_1992</t>
  </si>
  <si>
    <t>Togo_1993</t>
  </si>
  <si>
    <t>Togo_1994</t>
  </si>
  <si>
    <t>Togo_1995</t>
  </si>
  <si>
    <t>Togo_1996</t>
  </si>
  <si>
    <t>Togo_1997</t>
  </si>
  <si>
    <t>Togo_1998</t>
  </si>
  <si>
    <t>Togo_1999</t>
  </si>
  <si>
    <t>Togo_2000</t>
  </si>
  <si>
    <t>Togo_2001</t>
  </si>
  <si>
    <t>Togo_2002</t>
  </si>
  <si>
    <t>Togo_2004</t>
  </si>
  <si>
    <t>Togo_2005</t>
  </si>
  <si>
    <t>Togo_2006</t>
  </si>
  <si>
    <t>Togo_2007</t>
  </si>
  <si>
    <t>Togo_2008</t>
  </si>
  <si>
    <t>Togo_2009</t>
  </si>
  <si>
    <t>Togo_2010</t>
  </si>
  <si>
    <t>Togo_2011</t>
  </si>
  <si>
    <t>Togo_2012</t>
  </si>
  <si>
    <t>Togo_2013</t>
  </si>
  <si>
    <t>Togo_2014</t>
  </si>
  <si>
    <t>Togo_2015</t>
  </si>
  <si>
    <t>Togo_2016</t>
  </si>
  <si>
    <t>Trinidad and Tobago_1985</t>
  </si>
  <si>
    <t>Trinidad and Tobago</t>
  </si>
  <si>
    <t>Trinidad and Tobago_1986</t>
  </si>
  <si>
    <t>Trinidad and Tobago_1987</t>
  </si>
  <si>
    <t>Trinidad and Tobago_1989</t>
  </si>
  <si>
    <t>Trinidad and Tobago_1990</t>
  </si>
  <si>
    <t>Trinidad and Tobago_1991</t>
  </si>
  <si>
    <t>Trinidad and Tobago_1992</t>
  </si>
  <si>
    <t>Trinidad and Tobago_1993</t>
  </si>
  <si>
    <t>Trinidad and Tobago_1994</t>
  </si>
  <si>
    <t>Trinidad and Tobago_1995</t>
  </si>
  <si>
    <t>Trinidad and Tobago_1996</t>
  </si>
  <si>
    <t>Trinidad and Tobago_1997</t>
  </si>
  <si>
    <t>Trinidad and Tobago_1998</t>
  </si>
  <si>
    <t>Trinidad and Tobago_1999</t>
  </si>
  <si>
    <t>Trinidad and Tobago_2000</t>
  </si>
  <si>
    <t>Trinidad and Tobago_2001</t>
  </si>
  <si>
    <t>Trinidad and Tobago_2002</t>
  </si>
  <si>
    <t>Trinidad and Tobago_2004</t>
  </si>
  <si>
    <t>Trinidad and Tobago_2005</t>
  </si>
  <si>
    <t>Trinidad and Tobago_2006</t>
  </si>
  <si>
    <t>Trinidad and Tobago_2007</t>
  </si>
  <si>
    <t>Trinidad and Tobago_2008</t>
  </si>
  <si>
    <t>Trinidad and Tobago_2009</t>
  </si>
  <si>
    <t>Trinidad and Tobago_2010</t>
  </si>
  <si>
    <t>Trinidad and Tobago_2011</t>
  </si>
  <si>
    <t>Trinidad and Tobago_2012</t>
  </si>
  <si>
    <t>Trinidad and Tobago_2013</t>
  </si>
  <si>
    <t>Trinidad and Tobago_2014</t>
  </si>
  <si>
    <t>Trinidad and Tobago_2015</t>
  </si>
  <si>
    <t>Trinidad and Tobago_2016</t>
  </si>
  <si>
    <t>Turkey_1985</t>
  </si>
  <si>
    <t>Turkey</t>
  </si>
  <si>
    <t>Turkey_1986</t>
  </si>
  <si>
    <t>Turkey_1987</t>
  </si>
  <si>
    <t>Turkey_1989</t>
  </si>
  <si>
    <t>Turkey_1990</t>
  </si>
  <si>
    <t>Turkey_1991</t>
  </si>
  <si>
    <t>Turkey_1992</t>
  </si>
  <si>
    <t>Turkey_1993</t>
  </si>
  <si>
    <t>Turkey_1994</t>
  </si>
  <si>
    <t>Turkey_1995</t>
  </si>
  <si>
    <t>Turkey_1996</t>
  </si>
  <si>
    <t>Turkey_1997</t>
  </si>
  <si>
    <t>Turkey_1998</t>
  </si>
  <si>
    <t>Turkey_1999</t>
  </si>
  <si>
    <t>Turkey_2000</t>
  </si>
  <si>
    <t>Turkey_2001</t>
  </si>
  <si>
    <t>Turkey_2002</t>
  </si>
  <si>
    <t>Turkey_2004</t>
  </si>
  <si>
    <t>Turkey_2005</t>
  </si>
  <si>
    <t>Turkey_2006</t>
  </si>
  <si>
    <t>Turkey_2007</t>
  </si>
  <si>
    <t>Turkey_2008</t>
  </si>
  <si>
    <t>Turkey_2009</t>
  </si>
  <si>
    <t>Turkey_2010</t>
  </si>
  <si>
    <t>Turkey_2011</t>
  </si>
  <si>
    <t>Turkey_2012</t>
  </si>
  <si>
    <t>Turkey_2013</t>
  </si>
  <si>
    <t>Turkey_2014</t>
  </si>
  <si>
    <t>Turkey_2015</t>
  </si>
  <si>
    <t>Turkey_2016</t>
  </si>
  <si>
    <t>Turkmenistan_1992</t>
  </si>
  <si>
    <t>Turkmenistan</t>
  </si>
  <si>
    <t>Turkmenistan_1993</t>
  </si>
  <si>
    <t>Turkmenistan_1994</t>
  </si>
  <si>
    <t>Turkmenistan_1995</t>
  </si>
  <si>
    <t>Turkmenistan_1996</t>
  </si>
  <si>
    <t>Turkmenistan_1997</t>
  </si>
  <si>
    <t>Turkmenistan_1998</t>
  </si>
  <si>
    <t>Turkmenistan_1999</t>
  </si>
  <si>
    <t>Turkmenistan_2000</t>
  </si>
  <si>
    <t>Turkmenistan_2001</t>
  </si>
  <si>
    <t>Turkmenistan_2002</t>
  </si>
  <si>
    <t>Turkmenistan_2004</t>
  </si>
  <si>
    <t>Turkmenistan_2005</t>
  </si>
  <si>
    <t>Turkmenistan_2006</t>
  </si>
  <si>
    <t>Turkmenistan_2007</t>
  </si>
  <si>
    <t>Turkmenistan_2008</t>
  </si>
  <si>
    <t>Turkmenistan_2009</t>
  </si>
  <si>
    <t>Turkmenistan_2010</t>
  </si>
  <si>
    <t>Turkmenistan_2011</t>
  </si>
  <si>
    <t>Turkmenistan_2012</t>
  </si>
  <si>
    <t>Turkmenistan_2013</t>
  </si>
  <si>
    <t>Turkmenistan_2014</t>
  </si>
  <si>
    <t>Turkmenistan_2015</t>
  </si>
  <si>
    <t>Turkmenistan_2016</t>
  </si>
  <si>
    <t>Uganda_1985</t>
  </si>
  <si>
    <t>Uganda</t>
  </si>
  <si>
    <t>Uganda_1986</t>
  </si>
  <si>
    <t>Uganda_1987</t>
  </si>
  <si>
    <t>Uganda_1989</t>
  </si>
  <si>
    <t>Uganda_1990</t>
  </si>
  <si>
    <t>Uganda_1991</t>
  </si>
  <si>
    <t>Uganda_1992</t>
  </si>
  <si>
    <t>Uganda_1993</t>
  </si>
  <si>
    <t>Uganda_1994</t>
  </si>
  <si>
    <t>Uganda_1995</t>
  </si>
  <si>
    <t>Uganda_1996</t>
  </si>
  <si>
    <t>Uganda_1997</t>
  </si>
  <si>
    <t>Uganda_1998</t>
  </si>
  <si>
    <t>Uganda_1999</t>
  </si>
  <si>
    <t>Uganda_2000</t>
  </si>
  <si>
    <t>Uganda_2001</t>
  </si>
  <si>
    <t>Uganda_2002</t>
  </si>
  <si>
    <t>Uganda_2004</t>
  </si>
  <si>
    <t>Uganda_2005</t>
  </si>
  <si>
    <t>Uganda_2006</t>
  </si>
  <si>
    <t>Uganda_2007</t>
  </si>
  <si>
    <t>Uganda_2008</t>
  </si>
  <si>
    <t>Uganda_2009</t>
  </si>
  <si>
    <t>Uganda_2010</t>
  </si>
  <si>
    <t>Uganda_2011</t>
  </si>
  <si>
    <t>Uganda_2012</t>
  </si>
  <si>
    <t>Uganda_2013</t>
  </si>
  <si>
    <t>Uganda_2014</t>
  </si>
  <si>
    <t>Uganda_2015</t>
  </si>
  <si>
    <t>Uganda_2016</t>
  </si>
  <si>
    <t>Ukraine_1992</t>
  </si>
  <si>
    <t>Ukraine</t>
  </si>
  <si>
    <t>Ukraine_1993</t>
  </si>
  <si>
    <t>Ukraine_1994</t>
  </si>
  <si>
    <t>Ukraine_1995</t>
  </si>
  <si>
    <t>Ukraine_1996</t>
  </si>
  <si>
    <t>Ukraine_1997</t>
  </si>
  <si>
    <t>Ukraine_1998</t>
  </si>
  <si>
    <t>Ukraine_1999</t>
  </si>
  <si>
    <t>Ukraine_2000</t>
  </si>
  <si>
    <t>Ukraine_2001</t>
  </si>
  <si>
    <t>Ukraine_2002</t>
  </si>
  <si>
    <t>Ukraine_2004</t>
  </si>
  <si>
    <t>Ukraine_2005</t>
  </si>
  <si>
    <t>Ukraine_2006</t>
  </si>
  <si>
    <t>Ukraine_2007</t>
  </si>
  <si>
    <t>Ukraine_2008</t>
  </si>
  <si>
    <t>Ukraine_2009</t>
  </si>
  <si>
    <t>Ukraine_2010</t>
  </si>
  <si>
    <t>Ukraine_2011</t>
  </si>
  <si>
    <t>Ukraine_2012</t>
  </si>
  <si>
    <t>Ukraine_2013</t>
  </si>
  <si>
    <t>Ukraine_2014</t>
  </si>
  <si>
    <t>Ukraine_2015</t>
  </si>
  <si>
    <t>Ukraine_2016</t>
  </si>
  <si>
    <t>Uruguay_1985</t>
  </si>
  <si>
    <t>Uruguay</t>
  </si>
  <si>
    <t>Uruguay_1986</t>
  </si>
  <si>
    <t>Uruguay_1987</t>
  </si>
  <si>
    <t>Uruguay_1989</t>
  </si>
  <si>
    <t>Uruguay_1990</t>
  </si>
  <si>
    <t>Uruguay_1991</t>
  </si>
  <si>
    <t>Uruguay_1992</t>
  </si>
  <si>
    <t>Uruguay_1993</t>
  </si>
  <si>
    <t>Uruguay_1994</t>
  </si>
  <si>
    <t>Uruguay_1995</t>
  </si>
  <si>
    <t>Uruguay_1996</t>
  </si>
  <si>
    <t>Uruguay_1997</t>
  </si>
  <si>
    <t>Uruguay_1998</t>
  </si>
  <si>
    <t>Uruguay_1999</t>
  </si>
  <si>
    <t>Uruguay_2000</t>
  </si>
  <si>
    <t>Uruguay_2001</t>
  </si>
  <si>
    <t>Uruguay_2002</t>
  </si>
  <si>
    <t>Uruguay_2004</t>
  </si>
  <si>
    <t>Uruguay_2005</t>
  </si>
  <si>
    <t>Uruguay_2006</t>
  </si>
  <si>
    <t>Uruguay_2007</t>
  </si>
  <si>
    <t>Uruguay_2008</t>
  </si>
  <si>
    <t>Uruguay_2009</t>
  </si>
  <si>
    <t>Uruguay_2010</t>
  </si>
  <si>
    <t>Uruguay_2011</t>
  </si>
  <si>
    <t>Uruguay_2012</t>
  </si>
  <si>
    <t>Uruguay_2013</t>
  </si>
  <si>
    <t>Uruguay_2014</t>
  </si>
  <si>
    <t>Uruguay_2015</t>
  </si>
  <si>
    <t>Uruguay_2016</t>
  </si>
  <si>
    <t>Uzbekistan_1992</t>
  </si>
  <si>
    <t>Uzbekistan</t>
  </si>
  <si>
    <t>Uzbekistan_1993</t>
  </si>
  <si>
    <t>Uzbekistan_1994</t>
  </si>
  <si>
    <t>Uzbekistan_1995</t>
  </si>
  <si>
    <t>Uzbekistan_1996</t>
  </si>
  <si>
    <t>Uzbekistan_1997</t>
  </si>
  <si>
    <t>Uzbekistan_1998</t>
  </si>
  <si>
    <t>Uzbekistan_1999</t>
  </si>
  <si>
    <t>Uzbekistan_2000</t>
  </si>
  <si>
    <t>Uzbekistan_2001</t>
  </si>
  <si>
    <t>Uzbekistan_2002</t>
  </si>
  <si>
    <t>Uzbekistan_2004</t>
  </si>
  <si>
    <t>Uzbekistan_2005</t>
  </si>
  <si>
    <t>Uzbekistan_2006</t>
  </si>
  <si>
    <t>Uzbekistan_2007</t>
  </si>
  <si>
    <t>Uzbekistan_2008</t>
  </si>
  <si>
    <t>Uzbekistan_2009</t>
  </si>
  <si>
    <t>Uzbekistan_2010</t>
  </si>
  <si>
    <t>Uzbekistan_2011</t>
  </si>
  <si>
    <t>Uzbekistan_2012</t>
  </si>
  <si>
    <t>Uzbekistan_2013</t>
  </si>
  <si>
    <t>Uzbekistan_2014</t>
  </si>
  <si>
    <t>Uzbekistan_2015</t>
  </si>
  <si>
    <t>Uzbekistan_2016</t>
  </si>
  <si>
    <t>Zambia_1985</t>
  </si>
  <si>
    <t>Zambia</t>
  </si>
  <si>
    <t>Zambia_1986</t>
  </si>
  <si>
    <t>Zambia_1987</t>
  </si>
  <si>
    <t>Zambia_1989</t>
  </si>
  <si>
    <t>Zambia_1990</t>
  </si>
  <si>
    <t>Zambia_1991</t>
  </si>
  <si>
    <t>Zambia_1992</t>
  </si>
  <si>
    <t>Zambia_1993</t>
  </si>
  <si>
    <t>Zambia_1994</t>
  </si>
  <si>
    <t>Zambia_1995</t>
  </si>
  <si>
    <t>Zambia_1996</t>
  </si>
  <si>
    <t>Zambia_1997</t>
  </si>
  <si>
    <t>Zambia_1998</t>
  </si>
  <si>
    <t>Zambia_1999</t>
  </si>
  <si>
    <t>Zambia_2000</t>
  </si>
  <si>
    <t>Zambia_2001</t>
  </si>
  <si>
    <t>Zambia_2002</t>
  </si>
  <si>
    <t>Zambia_2004</t>
  </si>
  <si>
    <t>Zambia_2005</t>
  </si>
  <si>
    <t>Zambia_2006</t>
  </si>
  <si>
    <t>Zambia_2007</t>
  </si>
  <si>
    <t>Zambia_2008</t>
  </si>
  <si>
    <t>Zambia_2009</t>
  </si>
  <si>
    <t>Zambia_2010</t>
  </si>
  <si>
    <t>Zambia_2011</t>
  </si>
  <si>
    <t>Zambia_2012</t>
  </si>
  <si>
    <t>Zambia_2013</t>
  </si>
  <si>
    <t>Zambia_2014</t>
  </si>
  <si>
    <t>Zambia_2015</t>
  </si>
  <si>
    <t>Zambia_2016</t>
  </si>
  <si>
    <t>Zimbabwe_1985</t>
  </si>
  <si>
    <t>Zimbabwe</t>
  </si>
  <si>
    <t>Zimbabwe_1986</t>
  </si>
  <si>
    <t>Zimbabwe_1987</t>
  </si>
  <si>
    <t>Zimbabwe_1989</t>
  </si>
  <si>
    <t>Zimbabwe_1990</t>
  </si>
  <si>
    <t>Zimbabwe_1991</t>
  </si>
  <si>
    <t>Zimbabwe_1992</t>
  </si>
  <si>
    <t>Zimbabwe_1993</t>
  </si>
  <si>
    <t>Zimbabwe_1994</t>
  </si>
  <si>
    <t>Zimbabwe_1995</t>
  </si>
  <si>
    <t>Zimbabwe_1996</t>
  </si>
  <si>
    <t>Zimbabwe_1997</t>
  </si>
  <si>
    <t>Zimbabwe_1998</t>
  </si>
  <si>
    <t>Zimbabwe_1999</t>
  </si>
  <si>
    <t>Zimbabwe_2000</t>
  </si>
  <si>
    <t>Zimbabwe_2001</t>
  </si>
  <si>
    <t>Zimbabwe_2002</t>
  </si>
  <si>
    <t>Zimbabwe_2004</t>
  </si>
  <si>
    <t>Zimbabwe_2005</t>
  </si>
  <si>
    <t>Zimbabwe_2006</t>
  </si>
  <si>
    <t>Zimbabwe_2007</t>
  </si>
  <si>
    <t>Zimbabwe_2008</t>
  </si>
  <si>
    <t>Zimbabwe_2009</t>
  </si>
  <si>
    <t>Zimbabwe_2010</t>
  </si>
  <si>
    <t>Zimbabwe_2011</t>
  </si>
  <si>
    <t>Zimbabwe_2012</t>
  </si>
  <si>
    <t>Zimbabwe_2013</t>
  </si>
  <si>
    <t>Zimbabwe_2014</t>
  </si>
  <si>
    <t>Zimbabwe_2015</t>
  </si>
  <si>
    <t>Zimbabwe_2016</t>
  </si>
  <si>
    <t>Value (y)</t>
  </si>
  <si>
    <t>rainfall (x)</t>
  </si>
  <si>
    <r>
      <t>x-x</t>
    </r>
    <r>
      <rPr>
        <sz val="11"/>
        <color theme="1"/>
        <rFont val="Calibri"/>
        <family val="2"/>
      </rPr>
      <t>̅</t>
    </r>
  </si>
  <si>
    <t>(x-x̅)^2</t>
  </si>
  <si>
    <t>(y-y̅)^2</t>
  </si>
  <si>
    <t>y-y̅</t>
  </si>
  <si>
    <t>x̅</t>
  </si>
  <si>
    <t>y̅</t>
  </si>
  <si>
    <t>median x</t>
  </si>
  <si>
    <t>median y</t>
  </si>
  <si>
    <t>sum(x-x̅)^2</t>
  </si>
  <si>
    <t>sum(y-y̅)^2</t>
  </si>
  <si>
    <t>std dev x</t>
  </si>
  <si>
    <t>std dev y</t>
  </si>
  <si>
    <t>ton/ha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</si>
</sst>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4CEA-620C-4C21-BB99-62C44ACFE1C8}">
  <dimension ref="A1:N2884"/>
  <sheetViews>
    <sheetView tabSelected="1" workbookViewId="0">
      <selection activeCell="K10" sqref="K10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>
        <v>2</v>
      </c>
      <c r="E2" t="s">
        <v>17</v>
      </c>
      <c r="F2">
        <v>5419</v>
      </c>
      <c r="G2" t="s">
        <v>18</v>
      </c>
      <c r="H2">
        <v>27</v>
      </c>
      <c r="I2" t="s">
        <v>19</v>
      </c>
      <c r="J2">
        <v>1985</v>
      </c>
      <c r="K2">
        <v>1985</v>
      </c>
      <c r="L2" t="s">
        <v>20</v>
      </c>
      <c r="M2">
        <v>22482</v>
      </c>
      <c r="N2">
        <v>327</v>
      </c>
    </row>
    <row r="3" spans="1:14" x14ac:dyDescent="0.35">
      <c r="A3" t="s">
        <v>21</v>
      </c>
      <c r="B3" t="s">
        <v>15</v>
      </c>
      <c r="C3" t="s">
        <v>16</v>
      </c>
      <c r="D3">
        <v>2</v>
      </c>
      <c r="E3" t="s">
        <v>17</v>
      </c>
      <c r="F3">
        <v>5419</v>
      </c>
      <c r="G3" t="s">
        <v>18</v>
      </c>
      <c r="H3">
        <v>27</v>
      </c>
      <c r="I3" t="s">
        <v>19</v>
      </c>
      <c r="J3">
        <v>1986</v>
      </c>
      <c r="K3">
        <v>1986</v>
      </c>
      <c r="L3" t="s">
        <v>20</v>
      </c>
      <c r="M3">
        <v>22400</v>
      </c>
      <c r="N3">
        <v>327</v>
      </c>
    </row>
    <row r="4" spans="1:14" x14ac:dyDescent="0.35">
      <c r="A4" t="s">
        <v>22</v>
      </c>
      <c r="B4" t="s">
        <v>15</v>
      </c>
      <c r="C4" t="s">
        <v>16</v>
      </c>
      <c r="D4">
        <v>2</v>
      </c>
      <c r="E4" t="s">
        <v>17</v>
      </c>
      <c r="F4">
        <v>5419</v>
      </c>
      <c r="G4" t="s">
        <v>18</v>
      </c>
      <c r="H4">
        <v>27</v>
      </c>
      <c r="I4" t="s">
        <v>19</v>
      </c>
      <c r="J4">
        <v>1987</v>
      </c>
      <c r="K4">
        <v>1987</v>
      </c>
      <c r="L4" t="s">
        <v>20</v>
      </c>
      <c r="M4">
        <v>20000</v>
      </c>
      <c r="N4">
        <v>327</v>
      </c>
    </row>
    <row r="5" spans="1:14" x14ac:dyDescent="0.35">
      <c r="A5" t="s">
        <v>23</v>
      </c>
      <c r="B5" t="s">
        <v>15</v>
      </c>
      <c r="C5" t="s">
        <v>16</v>
      </c>
      <c r="D5">
        <v>2</v>
      </c>
      <c r="E5" t="s">
        <v>17</v>
      </c>
      <c r="F5">
        <v>5419</v>
      </c>
      <c r="G5" t="s">
        <v>18</v>
      </c>
      <c r="H5">
        <v>27</v>
      </c>
      <c r="I5" t="s">
        <v>19</v>
      </c>
      <c r="J5">
        <v>1989</v>
      </c>
      <c r="K5">
        <v>1989</v>
      </c>
      <c r="L5" t="s">
        <v>20</v>
      </c>
      <c r="M5">
        <v>18824</v>
      </c>
      <c r="N5">
        <v>327</v>
      </c>
    </row>
    <row r="6" spans="1:14" x14ac:dyDescent="0.35">
      <c r="A6" t="s">
        <v>24</v>
      </c>
      <c r="B6" t="s">
        <v>15</v>
      </c>
      <c r="C6" t="s">
        <v>16</v>
      </c>
      <c r="D6">
        <v>2</v>
      </c>
      <c r="E6" t="s">
        <v>17</v>
      </c>
      <c r="F6">
        <v>5419</v>
      </c>
      <c r="G6" t="s">
        <v>18</v>
      </c>
      <c r="H6">
        <v>27</v>
      </c>
      <c r="I6" t="s">
        <v>19</v>
      </c>
      <c r="J6">
        <v>1990</v>
      </c>
      <c r="K6">
        <v>1990</v>
      </c>
      <c r="L6" t="s">
        <v>20</v>
      </c>
      <c r="M6">
        <v>19029</v>
      </c>
      <c r="N6">
        <v>327</v>
      </c>
    </row>
    <row r="7" spans="1:14" x14ac:dyDescent="0.35">
      <c r="A7" t="s">
        <v>25</v>
      </c>
      <c r="B7" t="s">
        <v>15</v>
      </c>
      <c r="C7" t="s">
        <v>16</v>
      </c>
      <c r="D7">
        <v>2</v>
      </c>
      <c r="E7" t="s">
        <v>17</v>
      </c>
      <c r="F7">
        <v>5419</v>
      </c>
      <c r="G7" t="s">
        <v>18</v>
      </c>
      <c r="H7">
        <v>27</v>
      </c>
      <c r="I7" t="s">
        <v>19</v>
      </c>
      <c r="J7">
        <v>1991</v>
      </c>
      <c r="K7">
        <v>1991</v>
      </c>
      <c r="L7" t="s">
        <v>20</v>
      </c>
      <c r="M7">
        <v>19364</v>
      </c>
      <c r="N7">
        <v>327</v>
      </c>
    </row>
    <row r="8" spans="1:14" x14ac:dyDescent="0.35">
      <c r="A8" t="s">
        <v>26</v>
      </c>
      <c r="B8" t="s">
        <v>15</v>
      </c>
      <c r="C8" t="s">
        <v>16</v>
      </c>
      <c r="D8">
        <v>2</v>
      </c>
      <c r="E8" t="s">
        <v>17</v>
      </c>
      <c r="F8">
        <v>5419</v>
      </c>
      <c r="G8" t="s">
        <v>18</v>
      </c>
      <c r="H8">
        <v>27</v>
      </c>
      <c r="I8" t="s">
        <v>19</v>
      </c>
      <c r="J8">
        <v>1992</v>
      </c>
      <c r="K8">
        <v>1992</v>
      </c>
      <c r="L8" t="s">
        <v>20</v>
      </c>
      <c r="M8">
        <v>17143</v>
      </c>
      <c r="N8">
        <v>327</v>
      </c>
    </row>
    <row r="9" spans="1:14" x14ac:dyDescent="0.35">
      <c r="A9" t="s">
        <v>27</v>
      </c>
      <c r="B9" t="s">
        <v>15</v>
      </c>
      <c r="C9" t="s">
        <v>16</v>
      </c>
      <c r="D9">
        <v>2</v>
      </c>
      <c r="E9" t="s">
        <v>17</v>
      </c>
      <c r="F9">
        <v>5419</v>
      </c>
      <c r="G9" t="s">
        <v>18</v>
      </c>
      <c r="H9">
        <v>27</v>
      </c>
      <c r="I9" t="s">
        <v>19</v>
      </c>
      <c r="J9">
        <v>1993</v>
      </c>
      <c r="K9">
        <v>1993</v>
      </c>
      <c r="L9" t="s">
        <v>20</v>
      </c>
      <c r="M9">
        <v>17143</v>
      </c>
      <c r="N9">
        <v>327</v>
      </c>
    </row>
    <row r="10" spans="1:14" x14ac:dyDescent="0.35">
      <c r="A10" t="s">
        <v>28</v>
      </c>
      <c r="B10" t="s">
        <v>15</v>
      </c>
      <c r="C10" t="s">
        <v>16</v>
      </c>
      <c r="D10">
        <v>2</v>
      </c>
      <c r="E10" t="s">
        <v>17</v>
      </c>
      <c r="F10">
        <v>5419</v>
      </c>
      <c r="G10" t="s">
        <v>18</v>
      </c>
      <c r="H10">
        <v>27</v>
      </c>
      <c r="I10" t="s">
        <v>19</v>
      </c>
      <c r="J10">
        <v>1994</v>
      </c>
      <c r="K10">
        <v>1994</v>
      </c>
      <c r="L10" t="s">
        <v>20</v>
      </c>
      <c r="M10">
        <v>19000</v>
      </c>
      <c r="N10">
        <v>327</v>
      </c>
    </row>
    <row r="11" spans="1:14" x14ac:dyDescent="0.35">
      <c r="A11" t="s">
        <v>29</v>
      </c>
      <c r="B11" t="s">
        <v>15</v>
      </c>
      <c r="C11" t="s">
        <v>16</v>
      </c>
      <c r="D11">
        <v>2</v>
      </c>
      <c r="E11" t="s">
        <v>17</v>
      </c>
      <c r="F11">
        <v>5419</v>
      </c>
      <c r="G11" t="s">
        <v>18</v>
      </c>
      <c r="H11">
        <v>27</v>
      </c>
      <c r="I11" t="s">
        <v>19</v>
      </c>
      <c r="J11">
        <v>1995</v>
      </c>
      <c r="K11">
        <v>1995</v>
      </c>
      <c r="L11" t="s">
        <v>20</v>
      </c>
      <c r="M11">
        <v>22941</v>
      </c>
      <c r="N11">
        <v>327</v>
      </c>
    </row>
    <row r="12" spans="1:14" x14ac:dyDescent="0.35">
      <c r="A12" t="s">
        <v>30</v>
      </c>
      <c r="B12" t="s">
        <v>15</v>
      </c>
      <c r="C12" t="s">
        <v>16</v>
      </c>
      <c r="D12">
        <v>2</v>
      </c>
      <c r="E12" t="s">
        <v>17</v>
      </c>
      <c r="F12">
        <v>5419</v>
      </c>
      <c r="G12" t="s">
        <v>18</v>
      </c>
      <c r="H12">
        <v>27</v>
      </c>
      <c r="I12" t="s">
        <v>19</v>
      </c>
      <c r="J12">
        <v>1996</v>
      </c>
      <c r="K12">
        <v>1996</v>
      </c>
      <c r="L12" t="s">
        <v>20</v>
      </c>
      <c r="M12">
        <v>19429</v>
      </c>
      <c r="N12">
        <v>327</v>
      </c>
    </row>
    <row r="13" spans="1:14" x14ac:dyDescent="0.35">
      <c r="A13" t="s">
        <v>31</v>
      </c>
      <c r="B13" t="s">
        <v>15</v>
      </c>
      <c r="C13" t="s">
        <v>16</v>
      </c>
      <c r="D13">
        <v>2</v>
      </c>
      <c r="E13" t="s">
        <v>17</v>
      </c>
      <c r="F13">
        <v>5419</v>
      </c>
      <c r="G13" t="s">
        <v>18</v>
      </c>
      <c r="H13">
        <v>27</v>
      </c>
      <c r="I13" t="s">
        <v>19</v>
      </c>
      <c r="J13">
        <v>1997</v>
      </c>
      <c r="K13">
        <v>1997</v>
      </c>
      <c r="L13" t="s">
        <v>20</v>
      </c>
      <c r="M13">
        <v>22222</v>
      </c>
      <c r="N13">
        <v>327</v>
      </c>
    </row>
    <row r="14" spans="1:14" x14ac:dyDescent="0.35">
      <c r="A14" t="s">
        <v>32</v>
      </c>
      <c r="B14" t="s">
        <v>15</v>
      </c>
      <c r="C14" t="s">
        <v>16</v>
      </c>
      <c r="D14">
        <v>2</v>
      </c>
      <c r="E14" t="s">
        <v>17</v>
      </c>
      <c r="F14">
        <v>5419</v>
      </c>
      <c r="G14" t="s">
        <v>18</v>
      </c>
      <c r="H14">
        <v>27</v>
      </c>
      <c r="I14" t="s">
        <v>19</v>
      </c>
      <c r="J14">
        <v>1998</v>
      </c>
      <c r="K14">
        <v>1998</v>
      </c>
      <c r="L14" t="s">
        <v>20</v>
      </c>
      <c r="M14">
        <v>25000</v>
      </c>
      <c r="N14">
        <v>327</v>
      </c>
    </row>
    <row r="15" spans="1:14" x14ac:dyDescent="0.35">
      <c r="A15" t="s">
        <v>33</v>
      </c>
      <c r="B15" t="s">
        <v>15</v>
      </c>
      <c r="C15" t="s">
        <v>16</v>
      </c>
      <c r="D15">
        <v>2</v>
      </c>
      <c r="E15" t="s">
        <v>17</v>
      </c>
      <c r="F15">
        <v>5419</v>
      </c>
      <c r="G15" t="s">
        <v>18</v>
      </c>
      <c r="H15">
        <v>27</v>
      </c>
      <c r="I15" t="s">
        <v>19</v>
      </c>
      <c r="J15">
        <v>1999</v>
      </c>
      <c r="K15">
        <v>1999</v>
      </c>
      <c r="L15" t="s">
        <v>20</v>
      </c>
      <c r="M15">
        <v>20000</v>
      </c>
      <c r="N15">
        <v>327</v>
      </c>
    </row>
    <row r="16" spans="1:14" x14ac:dyDescent="0.35">
      <c r="A16" t="s">
        <v>34</v>
      </c>
      <c r="B16" t="s">
        <v>15</v>
      </c>
      <c r="C16" t="s">
        <v>16</v>
      </c>
      <c r="D16">
        <v>2</v>
      </c>
      <c r="E16" t="s">
        <v>17</v>
      </c>
      <c r="F16">
        <v>5419</v>
      </c>
      <c r="G16" t="s">
        <v>18</v>
      </c>
      <c r="H16">
        <v>27</v>
      </c>
      <c r="I16" t="s">
        <v>19</v>
      </c>
      <c r="J16">
        <v>2000</v>
      </c>
      <c r="K16">
        <v>2000</v>
      </c>
      <c r="L16" t="s">
        <v>20</v>
      </c>
      <c r="M16">
        <v>20000</v>
      </c>
      <c r="N16">
        <v>327</v>
      </c>
    </row>
    <row r="17" spans="1:14" x14ac:dyDescent="0.35">
      <c r="A17" t="s">
        <v>35</v>
      </c>
      <c r="B17" t="s">
        <v>15</v>
      </c>
      <c r="C17" t="s">
        <v>16</v>
      </c>
      <c r="D17">
        <v>2</v>
      </c>
      <c r="E17" t="s">
        <v>17</v>
      </c>
      <c r="F17">
        <v>5419</v>
      </c>
      <c r="G17" t="s">
        <v>18</v>
      </c>
      <c r="H17">
        <v>27</v>
      </c>
      <c r="I17" t="s">
        <v>19</v>
      </c>
      <c r="J17">
        <v>2001</v>
      </c>
      <c r="K17">
        <v>2001</v>
      </c>
      <c r="L17" t="s">
        <v>20</v>
      </c>
      <c r="M17">
        <v>20000</v>
      </c>
      <c r="N17">
        <v>327</v>
      </c>
    </row>
    <row r="18" spans="1:14" x14ac:dyDescent="0.35">
      <c r="A18" t="s">
        <v>36</v>
      </c>
      <c r="B18" t="s">
        <v>15</v>
      </c>
      <c r="C18" t="s">
        <v>16</v>
      </c>
      <c r="D18">
        <v>2</v>
      </c>
      <c r="E18" t="s">
        <v>17</v>
      </c>
      <c r="F18">
        <v>5419</v>
      </c>
      <c r="G18" t="s">
        <v>18</v>
      </c>
      <c r="H18">
        <v>27</v>
      </c>
      <c r="I18" t="s">
        <v>19</v>
      </c>
      <c r="J18">
        <v>2002</v>
      </c>
      <c r="K18">
        <v>2002</v>
      </c>
      <c r="L18" t="s">
        <v>20</v>
      </c>
      <c r="M18">
        <v>28741</v>
      </c>
      <c r="N18">
        <v>327</v>
      </c>
    </row>
    <row r="19" spans="1:14" x14ac:dyDescent="0.35">
      <c r="A19" t="s">
        <v>37</v>
      </c>
      <c r="B19" t="s">
        <v>15</v>
      </c>
      <c r="C19" t="s">
        <v>16</v>
      </c>
      <c r="D19">
        <v>2</v>
      </c>
      <c r="E19" t="s">
        <v>17</v>
      </c>
      <c r="F19">
        <v>5419</v>
      </c>
      <c r="G19" t="s">
        <v>18</v>
      </c>
      <c r="H19">
        <v>27</v>
      </c>
      <c r="I19" t="s">
        <v>19</v>
      </c>
      <c r="J19">
        <v>2004</v>
      </c>
      <c r="K19">
        <v>2004</v>
      </c>
      <c r="L19" t="s">
        <v>20</v>
      </c>
      <c r="M19">
        <v>23744</v>
      </c>
      <c r="N19">
        <v>327</v>
      </c>
    </row>
    <row r="20" spans="1:14" x14ac:dyDescent="0.35">
      <c r="A20" t="s">
        <v>38</v>
      </c>
      <c r="B20" t="s">
        <v>15</v>
      </c>
      <c r="C20" t="s">
        <v>16</v>
      </c>
      <c r="D20">
        <v>2</v>
      </c>
      <c r="E20" t="s">
        <v>17</v>
      </c>
      <c r="F20">
        <v>5419</v>
      </c>
      <c r="G20" t="s">
        <v>18</v>
      </c>
      <c r="H20">
        <v>27</v>
      </c>
      <c r="I20" t="s">
        <v>19</v>
      </c>
      <c r="J20">
        <v>2005</v>
      </c>
      <c r="K20">
        <v>2005</v>
      </c>
      <c r="L20" t="s">
        <v>20</v>
      </c>
      <c r="M20">
        <v>30313</v>
      </c>
      <c r="N20">
        <v>327</v>
      </c>
    </row>
    <row r="21" spans="1:14" x14ac:dyDescent="0.35">
      <c r="A21" t="s">
        <v>39</v>
      </c>
      <c r="B21" t="s">
        <v>15</v>
      </c>
      <c r="C21" t="s">
        <v>16</v>
      </c>
      <c r="D21">
        <v>2</v>
      </c>
      <c r="E21" t="s">
        <v>17</v>
      </c>
      <c r="F21">
        <v>5419</v>
      </c>
      <c r="G21" t="s">
        <v>18</v>
      </c>
      <c r="H21">
        <v>27</v>
      </c>
      <c r="I21" t="s">
        <v>19</v>
      </c>
      <c r="J21">
        <v>2006</v>
      </c>
      <c r="K21">
        <v>2006</v>
      </c>
      <c r="L21" t="s">
        <v>20</v>
      </c>
      <c r="M21">
        <v>33750</v>
      </c>
      <c r="N21">
        <v>327</v>
      </c>
    </row>
    <row r="22" spans="1:14" x14ac:dyDescent="0.35">
      <c r="A22" t="s">
        <v>40</v>
      </c>
      <c r="B22" t="s">
        <v>15</v>
      </c>
      <c r="C22" t="s">
        <v>16</v>
      </c>
      <c r="D22">
        <v>2</v>
      </c>
      <c r="E22" t="s">
        <v>17</v>
      </c>
      <c r="F22">
        <v>5419</v>
      </c>
      <c r="G22" t="s">
        <v>18</v>
      </c>
      <c r="H22">
        <v>27</v>
      </c>
      <c r="I22" t="s">
        <v>19</v>
      </c>
      <c r="J22">
        <v>2007</v>
      </c>
      <c r="K22">
        <v>2007</v>
      </c>
      <c r="L22" t="s">
        <v>20</v>
      </c>
      <c r="M22">
        <v>32471</v>
      </c>
      <c r="N22">
        <v>327</v>
      </c>
    </row>
    <row r="23" spans="1:14" x14ac:dyDescent="0.35">
      <c r="A23" t="s">
        <v>41</v>
      </c>
      <c r="B23" t="s">
        <v>15</v>
      </c>
      <c r="C23" t="s">
        <v>16</v>
      </c>
      <c r="D23">
        <v>2</v>
      </c>
      <c r="E23" t="s">
        <v>17</v>
      </c>
      <c r="F23">
        <v>5419</v>
      </c>
      <c r="G23" t="s">
        <v>18</v>
      </c>
      <c r="H23">
        <v>27</v>
      </c>
      <c r="I23" t="s">
        <v>19</v>
      </c>
      <c r="J23">
        <v>2008</v>
      </c>
      <c r="K23">
        <v>2008</v>
      </c>
      <c r="L23" t="s">
        <v>20</v>
      </c>
      <c r="M23">
        <v>32211</v>
      </c>
      <c r="N23">
        <v>327</v>
      </c>
    </row>
    <row r="24" spans="1:14" x14ac:dyDescent="0.35">
      <c r="A24" t="s">
        <v>42</v>
      </c>
      <c r="B24" t="s">
        <v>15</v>
      </c>
      <c r="C24" t="s">
        <v>16</v>
      </c>
      <c r="D24">
        <v>2</v>
      </c>
      <c r="E24" t="s">
        <v>17</v>
      </c>
      <c r="F24">
        <v>5419</v>
      </c>
      <c r="G24" t="s">
        <v>18</v>
      </c>
      <c r="H24">
        <v>27</v>
      </c>
      <c r="I24" t="s">
        <v>19</v>
      </c>
      <c r="J24">
        <v>2009</v>
      </c>
      <c r="K24">
        <v>2009</v>
      </c>
      <c r="L24" t="s">
        <v>20</v>
      </c>
      <c r="M24">
        <v>32250</v>
      </c>
      <c r="N24">
        <v>327</v>
      </c>
    </row>
    <row r="25" spans="1:14" x14ac:dyDescent="0.35">
      <c r="A25" t="s">
        <v>43</v>
      </c>
      <c r="B25" t="s">
        <v>15</v>
      </c>
      <c r="C25" t="s">
        <v>16</v>
      </c>
      <c r="D25">
        <v>2</v>
      </c>
      <c r="E25" t="s">
        <v>17</v>
      </c>
      <c r="F25">
        <v>5419</v>
      </c>
      <c r="G25" t="s">
        <v>18</v>
      </c>
      <c r="H25">
        <v>27</v>
      </c>
      <c r="I25" t="s">
        <v>19</v>
      </c>
      <c r="J25">
        <v>2010</v>
      </c>
      <c r="K25">
        <v>2010</v>
      </c>
      <c r="L25" t="s">
        <v>20</v>
      </c>
      <c r="M25">
        <v>32308</v>
      </c>
      <c r="N25">
        <v>327</v>
      </c>
    </row>
    <row r="26" spans="1:14" x14ac:dyDescent="0.35">
      <c r="A26" t="s">
        <v>44</v>
      </c>
      <c r="B26" t="s">
        <v>15</v>
      </c>
      <c r="C26" t="s">
        <v>16</v>
      </c>
      <c r="D26">
        <v>2</v>
      </c>
      <c r="E26" t="s">
        <v>17</v>
      </c>
      <c r="F26">
        <v>5419</v>
      </c>
      <c r="G26" t="s">
        <v>18</v>
      </c>
      <c r="H26">
        <v>27</v>
      </c>
      <c r="I26" t="s">
        <v>19</v>
      </c>
      <c r="J26">
        <v>2011</v>
      </c>
      <c r="K26">
        <v>2011</v>
      </c>
      <c r="L26" t="s">
        <v>20</v>
      </c>
      <c r="M26">
        <v>32000</v>
      </c>
      <c r="N26">
        <v>327</v>
      </c>
    </row>
    <row r="27" spans="1:14" x14ac:dyDescent="0.35">
      <c r="A27" t="s">
        <v>45</v>
      </c>
      <c r="B27" t="s">
        <v>15</v>
      </c>
      <c r="C27" t="s">
        <v>16</v>
      </c>
      <c r="D27">
        <v>2</v>
      </c>
      <c r="E27" t="s">
        <v>17</v>
      </c>
      <c r="F27">
        <v>5419</v>
      </c>
      <c r="G27" t="s">
        <v>18</v>
      </c>
      <c r="H27">
        <v>27</v>
      </c>
      <c r="I27" t="s">
        <v>19</v>
      </c>
      <c r="J27">
        <v>2012</v>
      </c>
      <c r="K27">
        <v>2012</v>
      </c>
      <c r="L27" t="s">
        <v>20</v>
      </c>
      <c r="M27">
        <v>24390</v>
      </c>
      <c r="N27">
        <v>327</v>
      </c>
    </row>
    <row r="28" spans="1:14" x14ac:dyDescent="0.35">
      <c r="A28" t="s">
        <v>46</v>
      </c>
      <c r="B28" t="s">
        <v>15</v>
      </c>
      <c r="C28" t="s">
        <v>16</v>
      </c>
      <c r="D28">
        <v>2</v>
      </c>
      <c r="E28" t="s">
        <v>17</v>
      </c>
      <c r="F28">
        <v>5419</v>
      </c>
      <c r="G28" t="s">
        <v>18</v>
      </c>
      <c r="H28">
        <v>27</v>
      </c>
      <c r="I28" t="s">
        <v>19</v>
      </c>
      <c r="J28">
        <v>2013</v>
      </c>
      <c r="K28">
        <v>2013</v>
      </c>
      <c r="L28" t="s">
        <v>20</v>
      </c>
      <c r="M28">
        <v>24980</v>
      </c>
      <c r="N28">
        <v>327</v>
      </c>
    </row>
    <row r="29" spans="1:14" x14ac:dyDescent="0.35">
      <c r="A29" t="s">
        <v>47</v>
      </c>
      <c r="B29" t="s">
        <v>15</v>
      </c>
      <c r="C29" t="s">
        <v>16</v>
      </c>
      <c r="D29">
        <v>2</v>
      </c>
      <c r="E29" t="s">
        <v>17</v>
      </c>
      <c r="F29">
        <v>5419</v>
      </c>
      <c r="G29" t="s">
        <v>18</v>
      </c>
      <c r="H29">
        <v>27</v>
      </c>
      <c r="I29" t="s">
        <v>19</v>
      </c>
      <c r="J29">
        <v>2014</v>
      </c>
      <c r="K29">
        <v>2014</v>
      </c>
      <c r="L29" t="s">
        <v>20</v>
      </c>
      <c r="M29">
        <v>24409</v>
      </c>
      <c r="N29">
        <v>327</v>
      </c>
    </row>
    <row r="30" spans="1:14" x14ac:dyDescent="0.35">
      <c r="A30" t="s">
        <v>48</v>
      </c>
      <c r="B30" t="s">
        <v>15</v>
      </c>
      <c r="C30" t="s">
        <v>16</v>
      </c>
      <c r="D30">
        <v>2</v>
      </c>
      <c r="E30" t="s">
        <v>17</v>
      </c>
      <c r="F30">
        <v>5419</v>
      </c>
      <c r="G30" t="s">
        <v>18</v>
      </c>
      <c r="H30">
        <v>27</v>
      </c>
      <c r="I30" t="s">
        <v>19</v>
      </c>
      <c r="J30">
        <v>2015</v>
      </c>
      <c r="K30">
        <v>2015</v>
      </c>
      <c r="L30" t="s">
        <v>20</v>
      </c>
      <c r="M30">
        <v>25000</v>
      </c>
      <c r="N30">
        <v>327</v>
      </c>
    </row>
    <row r="31" spans="1:14" x14ac:dyDescent="0.35">
      <c r="A31" t="s">
        <v>49</v>
      </c>
      <c r="B31" t="s">
        <v>15</v>
      </c>
      <c r="C31" t="s">
        <v>16</v>
      </c>
      <c r="D31">
        <v>2</v>
      </c>
      <c r="E31" t="s">
        <v>17</v>
      </c>
      <c r="F31">
        <v>5419</v>
      </c>
      <c r="G31" t="s">
        <v>18</v>
      </c>
      <c r="H31">
        <v>27</v>
      </c>
      <c r="I31" t="s">
        <v>19</v>
      </c>
      <c r="J31">
        <v>2016</v>
      </c>
      <c r="K31">
        <v>2016</v>
      </c>
      <c r="L31" t="s">
        <v>20</v>
      </c>
      <c r="M31">
        <v>29963</v>
      </c>
      <c r="N31">
        <v>327</v>
      </c>
    </row>
    <row r="32" spans="1:14" x14ac:dyDescent="0.35">
      <c r="A32" t="s">
        <v>50</v>
      </c>
      <c r="B32" t="s">
        <v>15</v>
      </c>
      <c r="C32" t="s">
        <v>16</v>
      </c>
      <c r="D32">
        <v>3</v>
      </c>
      <c r="E32" t="s">
        <v>51</v>
      </c>
      <c r="F32">
        <v>5419</v>
      </c>
      <c r="G32" t="s">
        <v>18</v>
      </c>
      <c r="H32">
        <v>27</v>
      </c>
      <c r="I32" t="s">
        <v>19</v>
      </c>
      <c r="J32">
        <v>1985</v>
      </c>
      <c r="K32">
        <v>1985</v>
      </c>
      <c r="L32" t="s">
        <v>20</v>
      </c>
      <c r="M32">
        <v>40000</v>
      </c>
      <c r="N32">
        <v>1485</v>
      </c>
    </row>
    <row r="33" spans="1:14" x14ac:dyDescent="0.35">
      <c r="A33" t="s">
        <v>52</v>
      </c>
      <c r="B33" t="s">
        <v>15</v>
      </c>
      <c r="C33" t="s">
        <v>16</v>
      </c>
      <c r="D33">
        <v>3</v>
      </c>
      <c r="E33" t="s">
        <v>51</v>
      </c>
      <c r="F33">
        <v>5419</v>
      </c>
      <c r="G33" t="s">
        <v>18</v>
      </c>
      <c r="H33">
        <v>27</v>
      </c>
      <c r="I33" t="s">
        <v>19</v>
      </c>
      <c r="J33">
        <v>1986</v>
      </c>
      <c r="K33">
        <v>1986</v>
      </c>
      <c r="L33" t="s">
        <v>20</v>
      </c>
      <c r="M33">
        <v>36667</v>
      </c>
      <c r="N33">
        <v>1485</v>
      </c>
    </row>
    <row r="34" spans="1:14" x14ac:dyDescent="0.35">
      <c r="A34" t="s">
        <v>53</v>
      </c>
      <c r="B34" t="s">
        <v>15</v>
      </c>
      <c r="C34" t="s">
        <v>16</v>
      </c>
      <c r="D34">
        <v>3</v>
      </c>
      <c r="E34" t="s">
        <v>51</v>
      </c>
      <c r="F34">
        <v>5419</v>
      </c>
      <c r="G34" t="s">
        <v>18</v>
      </c>
      <c r="H34">
        <v>27</v>
      </c>
      <c r="I34" t="s">
        <v>19</v>
      </c>
      <c r="J34">
        <v>1987</v>
      </c>
      <c r="K34">
        <v>1987</v>
      </c>
      <c r="L34" t="s">
        <v>20</v>
      </c>
      <c r="M34">
        <v>32121</v>
      </c>
      <c r="N34">
        <v>1485</v>
      </c>
    </row>
    <row r="35" spans="1:14" x14ac:dyDescent="0.35">
      <c r="A35" t="s">
        <v>54</v>
      </c>
      <c r="B35" t="s">
        <v>15</v>
      </c>
      <c r="C35" t="s">
        <v>16</v>
      </c>
      <c r="D35">
        <v>3</v>
      </c>
      <c r="E35" t="s">
        <v>51</v>
      </c>
      <c r="F35">
        <v>5419</v>
      </c>
      <c r="G35" t="s">
        <v>18</v>
      </c>
      <c r="H35">
        <v>27</v>
      </c>
      <c r="I35" t="s">
        <v>19</v>
      </c>
      <c r="J35">
        <v>1989</v>
      </c>
      <c r="K35">
        <v>1989</v>
      </c>
      <c r="L35" t="s">
        <v>20</v>
      </c>
      <c r="M35">
        <v>31296</v>
      </c>
      <c r="N35">
        <v>1485</v>
      </c>
    </row>
    <row r="36" spans="1:14" x14ac:dyDescent="0.35">
      <c r="A36" t="s">
        <v>55</v>
      </c>
      <c r="B36" t="s">
        <v>15</v>
      </c>
      <c r="C36" t="s">
        <v>16</v>
      </c>
      <c r="D36">
        <v>3</v>
      </c>
      <c r="E36" t="s">
        <v>51</v>
      </c>
      <c r="F36">
        <v>5419</v>
      </c>
      <c r="G36" t="s">
        <v>18</v>
      </c>
      <c r="H36">
        <v>27</v>
      </c>
      <c r="I36" t="s">
        <v>19</v>
      </c>
      <c r="J36">
        <v>1990</v>
      </c>
      <c r="K36">
        <v>1990</v>
      </c>
      <c r="L36" t="s">
        <v>20</v>
      </c>
      <c r="M36">
        <v>23333</v>
      </c>
      <c r="N36">
        <v>1485</v>
      </c>
    </row>
    <row r="37" spans="1:14" x14ac:dyDescent="0.35">
      <c r="A37" t="s">
        <v>56</v>
      </c>
      <c r="B37" t="s">
        <v>15</v>
      </c>
      <c r="C37" t="s">
        <v>16</v>
      </c>
      <c r="D37">
        <v>3</v>
      </c>
      <c r="E37" t="s">
        <v>51</v>
      </c>
      <c r="F37">
        <v>5419</v>
      </c>
      <c r="G37" t="s">
        <v>18</v>
      </c>
      <c r="H37">
        <v>27</v>
      </c>
      <c r="I37" t="s">
        <v>19</v>
      </c>
      <c r="J37">
        <v>1991</v>
      </c>
      <c r="K37">
        <v>1991</v>
      </c>
      <c r="L37" t="s">
        <v>20</v>
      </c>
      <c r="M37">
        <v>28538</v>
      </c>
      <c r="N37">
        <v>1485</v>
      </c>
    </row>
    <row r="38" spans="1:14" x14ac:dyDescent="0.35">
      <c r="A38" t="s">
        <v>57</v>
      </c>
      <c r="B38" t="s">
        <v>15</v>
      </c>
      <c r="C38" t="s">
        <v>16</v>
      </c>
      <c r="D38">
        <v>3</v>
      </c>
      <c r="E38" t="s">
        <v>51</v>
      </c>
      <c r="F38">
        <v>5419</v>
      </c>
      <c r="G38" t="s">
        <v>18</v>
      </c>
      <c r="H38">
        <v>27</v>
      </c>
      <c r="I38" t="s">
        <v>19</v>
      </c>
      <c r="J38">
        <v>1992</v>
      </c>
      <c r="K38">
        <v>1992</v>
      </c>
      <c r="L38" t="s">
        <v>20</v>
      </c>
      <c r="M38">
        <v>40000</v>
      </c>
      <c r="N38">
        <v>1485</v>
      </c>
    </row>
    <row r="39" spans="1:14" x14ac:dyDescent="0.35">
      <c r="A39" t="s">
        <v>58</v>
      </c>
      <c r="B39" t="s">
        <v>15</v>
      </c>
      <c r="C39" t="s">
        <v>16</v>
      </c>
      <c r="D39">
        <v>3</v>
      </c>
      <c r="E39" t="s">
        <v>51</v>
      </c>
      <c r="F39">
        <v>5419</v>
      </c>
      <c r="G39" t="s">
        <v>18</v>
      </c>
      <c r="H39">
        <v>27</v>
      </c>
      <c r="I39" t="s">
        <v>19</v>
      </c>
      <c r="J39">
        <v>1993</v>
      </c>
      <c r="K39">
        <v>1993</v>
      </c>
      <c r="L39" t="s">
        <v>20</v>
      </c>
      <c r="M39">
        <v>41786</v>
      </c>
      <c r="N39">
        <v>1485</v>
      </c>
    </row>
    <row r="40" spans="1:14" x14ac:dyDescent="0.35">
      <c r="A40" t="s">
        <v>59</v>
      </c>
      <c r="B40" t="s">
        <v>15</v>
      </c>
      <c r="C40" t="s">
        <v>16</v>
      </c>
      <c r="D40">
        <v>4</v>
      </c>
      <c r="E40" t="s">
        <v>60</v>
      </c>
      <c r="F40">
        <v>5419</v>
      </c>
      <c r="G40" t="s">
        <v>18</v>
      </c>
      <c r="H40">
        <v>27</v>
      </c>
      <c r="I40" t="s">
        <v>19</v>
      </c>
      <c r="J40">
        <v>1985</v>
      </c>
      <c r="K40">
        <v>1985</v>
      </c>
      <c r="L40" t="s">
        <v>20</v>
      </c>
      <c r="M40">
        <v>26667</v>
      </c>
      <c r="N40">
        <v>89</v>
      </c>
    </row>
    <row r="41" spans="1:14" x14ac:dyDescent="0.35">
      <c r="A41" t="s">
        <v>61</v>
      </c>
      <c r="B41" t="s">
        <v>15</v>
      </c>
      <c r="C41" t="s">
        <v>16</v>
      </c>
      <c r="D41">
        <v>4</v>
      </c>
      <c r="E41" t="s">
        <v>60</v>
      </c>
      <c r="F41">
        <v>5419</v>
      </c>
      <c r="G41" t="s">
        <v>18</v>
      </c>
      <c r="H41">
        <v>27</v>
      </c>
      <c r="I41" t="s">
        <v>19</v>
      </c>
      <c r="J41">
        <v>1986</v>
      </c>
      <c r="K41">
        <v>1986</v>
      </c>
      <c r="L41" t="s">
        <v>20</v>
      </c>
      <c r="M41">
        <v>26957</v>
      </c>
      <c r="N41">
        <v>89</v>
      </c>
    </row>
    <row r="42" spans="1:14" x14ac:dyDescent="0.35">
      <c r="A42" t="s">
        <v>62</v>
      </c>
      <c r="B42" t="s">
        <v>15</v>
      </c>
      <c r="C42" t="s">
        <v>16</v>
      </c>
      <c r="D42">
        <v>4</v>
      </c>
      <c r="E42" t="s">
        <v>60</v>
      </c>
      <c r="F42">
        <v>5419</v>
      </c>
      <c r="G42" t="s">
        <v>18</v>
      </c>
      <c r="H42">
        <v>27</v>
      </c>
      <c r="I42" t="s">
        <v>19</v>
      </c>
      <c r="J42">
        <v>1987</v>
      </c>
      <c r="K42">
        <v>1987</v>
      </c>
      <c r="L42" t="s">
        <v>20</v>
      </c>
      <c r="M42">
        <v>27083</v>
      </c>
      <c r="N42">
        <v>89</v>
      </c>
    </row>
    <row r="43" spans="1:14" x14ac:dyDescent="0.35">
      <c r="A43" t="s">
        <v>63</v>
      </c>
      <c r="B43" t="s">
        <v>15</v>
      </c>
      <c r="C43" t="s">
        <v>16</v>
      </c>
      <c r="D43">
        <v>4</v>
      </c>
      <c r="E43" t="s">
        <v>60</v>
      </c>
      <c r="F43">
        <v>5419</v>
      </c>
      <c r="G43" t="s">
        <v>18</v>
      </c>
      <c r="H43">
        <v>27</v>
      </c>
      <c r="I43" t="s">
        <v>19</v>
      </c>
      <c r="J43">
        <v>1989</v>
      </c>
      <c r="K43">
        <v>1989</v>
      </c>
      <c r="L43" t="s">
        <v>20</v>
      </c>
      <c r="M43">
        <v>27925</v>
      </c>
      <c r="N43">
        <v>89</v>
      </c>
    </row>
    <row r="44" spans="1:14" x14ac:dyDescent="0.35">
      <c r="A44" t="s">
        <v>64</v>
      </c>
      <c r="B44" t="s">
        <v>15</v>
      </c>
      <c r="C44" t="s">
        <v>16</v>
      </c>
      <c r="D44">
        <v>4</v>
      </c>
      <c r="E44" t="s">
        <v>60</v>
      </c>
      <c r="F44">
        <v>5419</v>
      </c>
      <c r="G44" t="s">
        <v>18</v>
      </c>
      <c r="H44">
        <v>27</v>
      </c>
      <c r="I44" t="s">
        <v>19</v>
      </c>
      <c r="J44">
        <v>1990</v>
      </c>
      <c r="K44">
        <v>1990</v>
      </c>
      <c r="L44" t="s">
        <v>20</v>
      </c>
      <c r="M44">
        <v>28000</v>
      </c>
      <c r="N44">
        <v>89</v>
      </c>
    </row>
    <row r="45" spans="1:14" x14ac:dyDescent="0.35">
      <c r="A45" t="s">
        <v>65</v>
      </c>
      <c r="B45" t="s">
        <v>15</v>
      </c>
      <c r="C45" t="s">
        <v>16</v>
      </c>
      <c r="D45">
        <v>4</v>
      </c>
      <c r="E45" t="s">
        <v>60</v>
      </c>
      <c r="F45">
        <v>5419</v>
      </c>
      <c r="G45" t="s">
        <v>18</v>
      </c>
      <c r="H45">
        <v>27</v>
      </c>
      <c r="I45" t="s">
        <v>19</v>
      </c>
      <c r="J45">
        <v>1991</v>
      </c>
      <c r="K45">
        <v>1991</v>
      </c>
      <c r="L45" t="s">
        <v>20</v>
      </c>
      <c r="M45">
        <v>26786</v>
      </c>
      <c r="N45">
        <v>89</v>
      </c>
    </row>
    <row r="46" spans="1:14" x14ac:dyDescent="0.35">
      <c r="A46" t="s">
        <v>66</v>
      </c>
      <c r="B46" t="s">
        <v>15</v>
      </c>
      <c r="C46" t="s">
        <v>16</v>
      </c>
      <c r="D46">
        <v>4</v>
      </c>
      <c r="E46" t="s">
        <v>60</v>
      </c>
      <c r="F46">
        <v>5419</v>
      </c>
      <c r="G46" t="s">
        <v>18</v>
      </c>
      <c r="H46">
        <v>27</v>
      </c>
      <c r="I46" t="s">
        <v>19</v>
      </c>
      <c r="J46">
        <v>1992</v>
      </c>
      <c r="K46">
        <v>1992</v>
      </c>
      <c r="L46" t="s">
        <v>20</v>
      </c>
      <c r="M46">
        <v>24733</v>
      </c>
      <c r="N46">
        <v>89</v>
      </c>
    </row>
    <row r="47" spans="1:14" x14ac:dyDescent="0.35">
      <c r="A47" t="s">
        <v>67</v>
      </c>
      <c r="B47" t="s">
        <v>15</v>
      </c>
      <c r="C47" t="s">
        <v>16</v>
      </c>
      <c r="D47">
        <v>4</v>
      </c>
      <c r="E47" t="s">
        <v>60</v>
      </c>
      <c r="F47">
        <v>5419</v>
      </c>
      <c r="G47" t="s">
        <v>18</v>
      </c>
      <c r="H47">
        <v>27</v>
      </c>
      <c r="I47" t="s">
        <v>19</v>
      </c>
      <c r="J47">
        <v>1993</v>
      </c>
      <c r="K47">
        <v>1993</v>
      </c>
      <c r="L47" t="s">
        <v>20</v>
      </c>
      <c r="M47">
        <v>23111</v>
      </c>
      <c r="N47">
        <v>89</v>
      </c>
    </row>
    <row r="48" spans="1:14" x14ac:dyDescent="0.35">
      <c r="A48" t="s">
        <v>68</v>
      </c>
      <c r="B48" t="s">
        <v>15</v>
      </c>
      <c r="C48" t="s">
        <v>16</v>
      </c>
      <c r="D48">
        <v>4</v>
      </c>
      <c r="E48" t="s">
        <v>60</v>
      </c>
      <c r="F48">
        <v>5419</v>
      </c>
      <c r="G48" t="s">
        <v>18</v>
      </c>
      <c r="H48">
        <v>27</v>
      </c>
      <c r="I48" t="s">
        <v>19</v>
      </c>
      <c r="J48">
        <v>1994</v>
      </c>
      <c r="K48">
        <v>1994</v>
      </c>
      <c r="L48" t="s">
        <v>20</v>
      </c>
      <c r="M48">
        <v>21374</v>
      </c>
      <c r="N48">
        <v>89</v>
      </c>
    </row>
    <row r="49" spans="1:14" x14ac:dyDescent="0.35">
      <c r="A49" t="s">
        <v>69</v>
      </c>
      <c r="B49" t="s">
        <v>15</v>
      </c>
      <c r="C49" t="s">
        <v>16</v>
      </c>
      <c r="D49">
        <v>4</v>
      </c>
      <c r="E49" t="s">
        <v>60</v>
      </c>
      <c r="F49">
        <v>5419</v>
      </c>
      <c r="G49" t="s">
        <v>18</v>
      </c>
      <c r="H49">
        <v>27</v>
      </c>
      <c r="I49" t="s">
        <v>19</v>
      </c>
      <c r="J49">
        <v>1995</v>
      </c>
      <c r="K49">
        <v>1995</v>
      </c>
      <c r="L49" t="s">
        <v>20</v>
      </c>
      <c r="M49">
        <v>19598</v>
      </c>
      <c r="N49">
        <v>89</v>
      </c>
    </row>
    <row r="50" spans="1:14" x14ac:dyDescent="0.35">
      <c r="A50" t="s">
        <v>70</v>
      </c>
      <c r="B50" t="s">
        <v>15</v>
      </c>
      <c r="C50" t="s">
        <v>16</v>
      </c>
      <c r="D50">
        <v>4</v>
      </c>
      <c r="E50" t="s">
        <v>60</v>
      </c>
      <c r="F50">
        <v>5419</v>
      </c>
      <c r="G50" t="s">
        <v>18</v>
      </c>
      <c r="H50">
        <v>27</v>
      </c>
      <c r="I50" t="s">
        <v>19</v>
      </c>
      <c r="J50">
        <v>1996</v>
      </c>
      <c r="K50">
        <v>1996</v>
      </c>
      <c r="L50" t="s">
        <v>20</v>
      </c>
      <c r="M50">
        <v>17861</v>
      </c>
      <c r="N50">
        <v>89</v>
      </c>
    </row>
    <row r="51" spans="1:14" x14ac:dyDescent="0.35">
      <c r="A51" t="s">
        <v>71</v>
      </c>
      <c r="B51" t="s">
        <v>15</v>
      </c>
      <c r="C51" t="s">
        <v>16</v>
      </c>
      <c r="D51">
        <v>4</v>
      </c>
      <c r="E51" t="s">
        <v>60</v>
      </c>
      <c r="F51">
        <v>5419</v>
      </c>
      <c r="G51" t="s">
        <v>18</v>
      </c>
      <c r="H51">
        <v>27</v>
      </c>
      <c r="I51" t="s">
        <v>19</v>
      </c>
      <c r="J51">
        <v>1997</v>
      </c>
      <c r="K51">
        <v>1997</v>
      </c>
      <c r="L51" t="s">
        <v>20</v>
      </c>
      <c r="M51">
        <v>15000</v>
      </c>
      <c r="N51">
        <v>89</v>
      </c>
    </row>
    <row r="52" spans="1:14" x14ac:dyDescent="0.35">
      <c r="A52" t="s">
        <v>72</v>
      </c>
      <c r="B52" t="s">
        <v>15</v>
      </c>
      <c r="C52" t="s">
        <v>16</v>
      </c>
      <c r="D52">
        <v>4</v>
      </c>
      <c r="E52" t="s">
        <v>60</v>
      </c>
      <c r="F52">
        <v>5419</v>
      </c>
      <c r="G52" t="s">
        <v>18</v>
      </c>
      <c r="H52">
        <v>27</v>
      </c>
      <c r="I52" t="s">
        <v>19</v>
      </c>
      <c r="J52">
        <v>1998</v>
      </c>
      <c r="K52">
        <v>1998</v>
      </c>
      <c r="L52" t="s">
        <v>20</v>
      </c>
      <c r="M52">
        <v>15000</v>
      </c>
      <c r="N52">
        <v>89</v>
      </c>
    </row>
    <row r="53" spans="1:14" x14ac:dyDescent="0.35">
      <c r="A53" t="s">
        <v>73</v>
      </c>
      <c r="B53" t="s">
        <v>15</v>
      </c>
      <c r="C53" t="s">
        <v>16</v>
      </c>
      <c r="D53">
        <v>4</v>
      </c>
      <c r="E53" t="s">
        <v>60</v>
      </c>
      <c r="F53">
        <v>5419</v>
      </c>
      <c r="G53" t="s">
        <v>18</v>
      </c>
      <c r="H53">
        <v>27</v>
      </c>
      <c r="I53" t="s">
        <v>19</v>
      </c>
      <c r="J53">
        <v>1999</v>
      </c>
      <c r="K53">
        <v>1999</v>
      </c>
      <c r="L53" t="s">
        <v>20</v>
      </c>
      <c r="M53">
        <v>13942</v>
      </c>
      <c r="N53">
        <v>89</v>
      </c>
    </row>
    <row r="54" spans="1:14" x14ac:dyDescent="0.35">
      <c r="A54" t="s">
        <v>74</v>
      </c>
      <c r="B54" t="s">
        <v>15</v>
      </c>
      <c r="C54" t="s">
        <v>16</v>
      </c>
      <c r="D54">
        <v>4</v>
      </c>
      <c r="E54" t="s">
        <v>60</v>
      </c>
      <c r="F54">
        <v>5419</v>
      </c>
      <c r="G54" t="s">
        <v>18</v>
      </c>
      <c r="H54">
        <v>27</v>
      </c>
      <c r="I54" t="s">
        <v>19</v>
      </c>
      <c r="J54">
        <v>2000</v>
      </c>
      <c r="K54">
        <v>2000</v>
      </c>
      <c r="L54" t="s">
        <v>20</v>
      </c>
      <c r="M54">
        <v>13052</v>
      </c>
      <c r="N54">
        <v>89</v>
      </c>
    </row>
    <row r="55" spans="1:14" x14ac:dyDescent="0.35">
      <c r="A55" t="s">
        <v>75</v>
      </c>
      <c r="B55" t="s">
        <v>15</v>
      </c>
      <c r="C55" t="s">
        <v>16</v>
      </c>
      <c r="D55">
        <v>4</v>
      </c>
      <c r="E55" t="s">
        <v>60</v>
      </c>
      <c r="F55">
        <v>5419</v>
      </c>
      <c r="G55" t="s">
        <v>18</v>
      </c>
      <c r="H55">
        <v>27</v>
      </c>
      <c r="I55" t="s">
        <v>19</v>
      </c>
      <c r="J55">
        <v>2001</v>
      </c>
      <c r="K55">
        <v>2001</v>
      </c>
      <c r="L55" t="s">
        <v>20</v>
      </c>
      <c r="M55">
        <v>12314</v>
      </c>
      <c r="N55">
        <v>89</v>
      </c>
    </row>
    <row r="56" spans="1:14" x14ac:dyDescent="0.35">
      <c r="A56" t="s">
        <v>76</v>
      </c>
      <c r="B56" t="s">
        <v>15</v>
      </c>
      <c r="C56" t="s">
        <v>16</v>
      </c>
      <c r="D56">
        <v>4</v>
      </c>
      <c r="E56" t="s">
        <v>60</v>
      </c>
      <c r="F56">
        <v>5419</v>
      </c>
      <c r="G56" t="s">
        <v>18</v>
      </c>
      <c r="H56">
        <v>27</v>
      </c>
      <c r="I56" t="s">
        <v>19</v>
      </c>
      <c r="J56">
        <v>2002</v>
      </c>
      <c r="K56">
        <v>2002</v>
      </c>
      <c r="L56" t="s">
        <v>20</v>
      </c>
      <c r="M56">
        <v>12959</v>
      </c>
      <c r="N56">
        <v>89</v>
      </c>
    </row>
    <row r="57" spans="1:14" x14ac:dyDescent="0.35">
      <c r="A57" t="s">
        <v>77</v>
      </c>
      <c r="B57" t="s">
        <v>15</v>
      </c>
      <c r="C57" t="s">
        <v>16</v>
      </c>
      <c r="D57">
        <v>4</v>
      </c>
      <c r="E57" t="s">
        <v>60</v>
      </c>
      <c r="F57">
        <v>5419</v>
      </c>
      <c r="G57" t="s">
        <v>18</v>
      </c>
      <c r="H57">
        <v>27</v>
      </c>
      <c r="I57" t="s">
        <v>19</v>
      </c>
      <c r="J57">
        <v>2004</v>
      </c>
      <c r="K57">
        <v>2004</v>
      </c>
      <c r="L57" t="s">
        <v>20</v>
      </c>
      <c r="M57">
        <v>12829</v>
      </c>
      <c r="N57">
        <v>89</v>
      </c>
    </row>
    <row r="58" spans="1:14" x14ac:dyDescent="0.35">
      <c r="A58" t="s">
        <v>78</v>
      </c>
      <c r="B58" t="s">
        <v>15</v>
      </c>
      <c r="C58" t="s">
        <v>16</v>
      </c>
      <c r="D58">
        <v>4</v>
      </c>
      <c r="E58" t="s">
        <v>60</v>
      </c>
      <c r="F58">
        <v>5419</v>
      </c>
      <c r="G58" t="s">
        <v>18</v>
      </c>
      <c r="H58">
        <v>27</v>
      </c>
      <c r="I58" t="s">
        <v>19</v>
      </c>
      <c r="J58">
        <v>2005</v>
      </c>
      <c r="K58">
        <v>2005</v>
      </c>
      <c r="L58" t="s">
        <v>20</v>
      </c>
      <c r="M58">
        <v>12998</v>
      </c>
      <c r="N58">
        <v>89</v>
      </c>
    </row>
    <row r="59" spans="1:14" x14ac:dyDescent="0.35">
      <c r="A59" t="s">
        <v>79</v>
      </c>
      <c r="B59" t="s">
        <v>15</v>
      </c>
      <c r="C59" t="s">
        <v>16</v>
      </c>
      <c r="D59">
        <v>4</v>
      </c>
      <c r="E59" t="s">
        <v>60</v>
      </c>
      <c r="F59">
        <v>5419</v>
      </c>
      <c r="G59" t="s">
        <v>18</v>
      </c>
      <c r="H59">
        <v>27</v>
      </c>
      <c r="I59" t="s">
        <v>19</v>
      </c>
      <c r="J59">
        <v>2006</v>
      </c>
      <c r="K59">
        <v>2006</v>
      </c>
      <c r="L59" t="s">
        <v>20</v>
      </c>
      <c r="M59">
        <v>12769</v>
      </c>
      <c r="N59">
        <v>89</v>
      </c>
    </row>
    <row r="60" spans="1:14" x14ac:dyDescent="0.35">
      <c r="A60" t="s">
        <v>80</v>
      </c>
      <c r="B60" t="s">
        <v>15</v>
      </c>
      <c r="C60" t="s">
        <v>16</v>
      </c>
      <c r="D60">
        <v>4</v>
      </c>
      <c r="E60" t="s">
        <v>60</v>
      </c>
      <c r="F60">
        <v>5419</v>
      </c>
      <c r="G60" t="s">
        <v>18</v>
      </c>
      <c r="H60">
        <v>27</v>
      </c>
      <c r="I60" t="s">
        <v>19</v>
      </c>
      <c r="J60">
        <v>2007</v>
      </c>
      <c r="K60">
        <v>2007</v>
      </c>
      <c r="L60" t="s">
        <v>20</v>
      </c>
      <c r="M60">
        <v>13375</v>
      </c>
      <c r="N60">
        <v>89</v>
      </c>
    </row>
    <row r="61" spans="1:14" x14ac:dyDescent="0.35">
      <c r="A61" t="s">
        <v>81</v>
      </c>
      <c r="B61" t="s">
        <v>15</v>
      </c>
      <c r="C61" t="s">
        <v>16</v>
      </c>
      <c r="D61">
        <v>4</v>
      </c>
      <c r="E61" t="s">
        <v>60</v>
      </c>
      <c r="F61">
        <v>5419</v>
      </c>
      <c r="G61" t="s">
        <v>18</v>
      </c>
      <c r="H61">
        <v>27</v>
      </c>
      <c r="I61" t="s">
        <v>19</v>
      </c>
      <c r="J61">
        <v>2008</v>
      </c>
      <c r="K61">
        <v>2008</v>
      </c>
      <c r="L61" t="s">
        <v>20</v>
      </c>
      <c r="M61">
        <v>13952</v>
      </c>
      <c r="N61">
        <v>89</v>
      </c>
    </row>
    <row r="62" spans="1:14" x14ac:dyDescent="0.35">
      <c r="A62" t="s">
        <v>82</v>
      </c>
      <c r="B62" t="s">
        <v>15</v>
      </c>
      <c r="C62" t="s">
        <v>16</v>
      </c>
      <c r="D62">
        <v>4</v>
      </c>
      <c r="E62" t="s">
        <v>60</v>
      </c>
      <c r="F62">
        <v>5419</v>
      </c>
      <c r="G62" t="s">
        <v>18</v>
      </c>
      <c r="H62">
        <v>27</v>
      </c>
      <c r="I62" t="s">
        <v>19</v>
      </c>
      <c r="J62">
        <v>2009</v>
      </c>
      <c r="K62">
        <v>2009</v>
      </c>
      <c r="L62" t="s">
        <v>20</v>
      </c>
      <c r="M62">
        <v>14594</v>
      </c>
      <c r="N62">
        <v>89</v>
      </c>
    </row>
    <row r="63" spans="1:14" x14ac:dyDescent="0.35">
      <c r="A63" t="s">
        <v>83</v>
      </c>
      <c r="B63" t="s">
        <v>15</v>
      </c>
      <c r="C63" t="s">
        <v>16</v>
      </c>
      <c r="D63">
        <v>4</v>
      </c>
      <c r="E63" t="s">
        <v>60</v>
      </c>
      <c r="F63">
        <v>5419</v>
      </c>
      <c r="G63" t="s">
        <v>18</v>
      </c>
      <c r="H63">
        <v>27</v>
      </c>
      <c r="I63" t="s">
        <v>19</v>
      </c>
      <c r="J63">
        <v>2010</v>
      </c>
      <c r="K63">
        <v>2010</v>
      </c>
      <c r="L63" t="s">
        <v>20</v>
      </c>
      <c r="M63">
        <v>15305</v>
      </c>
      <c r="N63">
        <v>89</v>
      </c>
    </row>
    <row r="64" spans="1:14" x14ac:dyDescent="0.35">
      <c r="A64" t="s">
        <v>84</v>
      </c>
      <c r="B64" t="s">
        <v>15</v>
      </c>
      <c r="C64" t="s">
        <v>16</v>
      </c>
      <c r="D64">
        <v>4</v>
      </c>
      <c r="E64" t="s">
        <v>60</v>
      </c>
      <c r="F64">
        <v>5419</v>
      </c>
      <c r="G64" t="s">
        <v>18</v>
      </c>
      <c r="H64">
        <v>27</v>
      </c>
      <c r="I64" t="s">
        <v>19</v>
      </c>
      <c r="J64">
        <v>2011</v>
      </c>
      <c r="K64">
        <v>2011</v>
      </c>
      <c r="L64" t="s">
        <v>20</v>
      </c>
      <c r="M64">
        <v>16081</v>
      </c>
      <c r="N64">
        <v>89</v>
      </c>
    </row>
    <row r="65" spans="1:14" x14ac:dyDescent="0.35">
      <c r="A65" t="s">
        <v>85</v>
      </c>
      <c r="B65" t="s">
        <v>15</v>
      </c>
      <c r="C65" t="s">
        <v>16</v>
      </c>
      <c r="D65">
        <v>4</v>
      </c>
      <c r="E65" t="s">
        <v>60</v>
      </c>
      <c r="F65">
        <v>5419</v>
      </c>
      <c r="G65" t="s">
        <v>18</v>
      </c>
      <c r="H65">
        <v>27</v>
      </c>
      <c r="I65" t="s">
        <v>19</v>
      </c>
      <c r="J65">
        <v>2012</v>
      </c>
      <c r="K65">
        <v>2012</v>
      </c>
      <c r="L65" t="s">
        <v>20</v>
      </c>
      <c r="M65">
        <v>16667</v>
      </c>
      <c r="N65">
        <v>89</v>
      </c>
    </row>
    <row r="66" spans="1:14" x14ac:dyDescent="0.35">
      <c r="A66" t="s">
        <v>86</v>
      </c>
      <c r="B66" t="s">
        <v>15</v>
      </c>
      <c r="C66" t="s">
        <v>16</v>
      </c>
      <c r="D66">
        <v>4</v>
      </c>
      <c r="E66" t="s">
        <v>60</v>
      </c>
      <c r="F66">
        <v>5419</v>
      </c>
      <c r="G66" t="s">
        <v>18</v>
      </c>
      <c r="H66">
        <v>27</v>
      </c>
      <c r="I66" t="s">
        <v>19</v>
      </c>
      <c r="J66">
        <v>2013</v>
      </c>
      <c r="K66">
        <v>2013</v>
      </c>
      <c r="L66" t="s">
        <v>20</v>
      </c>
      <c r="M66">
        <v>17778</v>
      </c>
      <c r="N66">
        <v>89</v>
      </c>
    </row>
    <row r="67" spans="1:14" x14ac:dyDescent="0.35">
      <c r="A67" t="s">
        <v>87</v>
      </c>
      <c r="B67" t="s">
        <v>15</v>
      </c>
      <c r="C67" t="s">
        <v>16</v>
      </c>
      <c r="D67">
        <v>4</v>
      </c>
      <c r="E67" t="s">
        <v>60</v>
      </c>
      <c r="F67">
        <v>5419</v>
      </c>
      <c r="G67" t="s">
        <v>18</v>
      </c>
      <c r="H67">
        <v>27</v>
      </c>
      <c r="I67" t="s">
        <v>19</v>
      </c>
      <c r="J67">
        <v>2014</v>
      </c>
      <c r="K67">
        <v>2014</v>
      </c>
      <c r="L67" t="s">
        <v>20</v>
      </c>
      <c r="M67">
        <v>17778</v>
      </c>
      <c r="N67">
        <v>89</v>
      </c>
    </row>
    <row r="68" spans="1:14" x14ac:dyDescent="0.35">
      <c r="A68" t="s">
        <v>88</v>
      </c>
      <c r="B68" t="s">
        <v>15</v>
      </c>
      <c r="C68" t="s">
        <v>16</v>
      </c>
      <c r="D68">
        <v>4</v>
      </c>
      <c r="E68" t="s">
        <v>60</v>
      </c>
      <c r="F68">
        <v>5419</v>
      </c>
      <c r="G68" t="s">
        <v>18</v>
      </c>
      <c r="H68">
        <v>27</v>
      </c>
      <c r="I68" t="s">
        <v>19</v>
      </c>
      <c r="J68">
        <v>2015</v>
      </c>
      <c r="K68">
        <v>2015</v>
      </c>
      <c r="L68" t="s">
        <v>20</v>
      </c>
      <c r="M68">
        <v>17579</v>
      </c>
      <c r="N68">
        <v>89</v>
      </c>
    </row>
    <row r="69" spans="1:14" x14ac:dyDescent="0.35">
      <c r="A69" t="s">
        <v>89</v>
      </c>
      <c r="B69" t="s">
        <v>15</v>
      </c>
      <c r="C69" t="s">
        <v>16</v>
      </c>
      <c r="D69">
        <v>4</v>
      </c>
      <c r="E69" t="s">
        <v>60</v>
      </c>
      <c r="F69">
        <v>5419</v>
      </c>
      <c r="G69" t="s">
        <v>18</v>
      </c>
      <c r="H69">
        <v>27</v>
      </c>
      <c r="I69" t="s">
        <v>19</v>
      </c>
      <c r="J69">
        <v>2016</v>
      </c>
      <c r="K69">
        <v>2016</v>
      </c>
      <c r="L69" t="s">
        <v>20</v>
      </c>
      <c r="M69">
        <v>17502</v>
      </c>
      <c r="N69">
        <v>89</v>
      </c>
    </row>
    <row r="70" spans="1:14" x14ac:dyDescent="0.35">
      <c r="A70" t="s">
        <v>90</v>
      </c>
      <c r="B70" t="s">
        <v>15</v>
      </c>
      <c r="C70" t="s">
        <v>16</v>
      </c>
      <c r="D70">
        <v>7</v>
      </c>
      <c r="E70" t="s">
        <v>91</v>
      </c>
      <c r="F70">
        <v>5419</v>
      </c>
      <c r="G70" t="s">
        <v>18</v>
      </c>
      <c r="H70">
        <v>27</v>
      </c>
      <c r="I70" t="s">
        <v>19</v>
      </c>
      <c r="J70">
        <v>1985</v>
      </c>
      <c r="K70">
        <v>1985</v>
      </c>
      <c r="L70" t="s">
        <v>20</v>
      </c>
      <c r="M70">
        <v>8333</v>
      </c>
      <c r="N70">
        <v>1010</v>
      </c>
    </row>
    <row r="71" spans="1:14" x14ac:dyDescent="0.35">
      <c r="A71" t="s">
        <v>92</v>
      </c>
      <c r="B71" t="s">
        <v>15</v>
      </c>
      <c r="C71" t="s">
        <v>16</v>
      </c>
      <c r="D71">
        <v>7</v>
      </c>
      <c r="E71" t="s">
        <v>91</v>
      </c>
      <c r="F71">
        <v>5419</v>
      </c>
      <c r="G71" t="s">
        <v>18</v>
      </c>
      <c r="H71">
        <v>27</v>
      </c>
      <c r="I71" t="s">
        <v>19</v>
      </c>
      <c r="J71">
        <v>1986</v>
      </c>
      <c r="K71">
        <v>1986</v>
      </c>
      <c r="L71" t="s">
        <v>20</v>
      </c>
      <c r="M71">
        <v>8333</v>
      </c>
      <c r="N71">
        <v>1010</v>
      </c>
    </row>
    <row r="72" spans="1:14" x14ac:dyDescent="0.35">
      <c r="A72" t="s">
        <v>93</v>
      </c>
      <c r="B72" t="s">
        <v>15</v>
      </c>
      <c r="C72" t="s">
        <v>16</v>
      </c>
      <c r="D72">
        <v>7</v>
      </c>
      <c r="E72" t="s">
        <v>91</v>
      </c>
      <c r="F72">
        <v>5419</v>
      </c>
      <c r="G72" t="s">
        <v>18</v>
      </c>
      <c r="H72">
        <v>27</v>
      </c>
      <c r="I72" t="s">
        <v>19</v>
      </c>
      <c r="J72">
        <v>1987</v>
      </c>
      <c r="K72">
        <v>1987</v>
      </c>
      <c r="L72" t="s">
        <v>20</v>
      </c>
      <c r="M72">
        <v>6667</v>
      </c>
      <c r="N72">
        <v>1010</v>
      </c>
    </row>
    <row r="73" spans="1:14" x14ac:dyDescent="0.35">
      <c r="A73" t="s">
        <v>94</v>
      </c>
      <c r="B73" t="s">
        <v>15</v>
      </c>
      <c r="C73" t="s">
        <v>16</v>
      </c>
      <c r="D73">
        <v>7</v>
      </c>
      <c r="E73" t="s">
        <v>91</v>
      </c>
      <c r="F73">
        <v>5419</v>
      </c>
      <c r="G73" t="s">
        <v>18</v>
      </c>
      <c r="H73">
        <v>27</v>
      </c>
      <c r="I73" t="s">
        <v>19</v>
      </c>
      <c r="J73">
        <v>1989</v>
      </c>
      <c r="K73">
        <v>1989</v>
      </c>
      <c r="L73" t="s">
        <v>20</v>
      </c>
      <c r="M73">
        <v>7500</v>
      </c>
      <c r="N73">
        <v>1010</v>
      </c>
    </row>
    <row r="74" spans="1:14" x14ac:dyDescent="0.35">
      <c r="A74" t="s">
        <v>95</v>
      </c>
      <c r="B74" t="s">
        <v>15</v>
      </c>
      <c r="C74" t="s">
        <v>16</v>
      </c>
      <c r="D74">
        <v>7</v>
      </c>
      <c r="E74" t="s">
        <v>91</v>
      </c>
      <c r="F74">
        <v>5419</v>
      </c>
      <c r="G74" t="s">
        <v>18</v>
      </c>
      <c r="H74">
        <v>27</v>
      </c>
      <c r="I74" t="s">
        <v>19</v>
      </c>
      <c r="J74">
        <v>1990</v>
      </c>
      <c r="K74">
        <v>1990</v>
      </c>
      <c r="L74" t="s">
        <v>20</v>
      </c>
      <c r="M74">
        <v>9512</v>
      </c>
      <c r="N74">
        <v>1010</v>
      </c>
    </row>
    <row r="75" spans="1:14" x14ac:dyDescent="0.35">
      <c r="A75" t="s">
        <v>96</v>
      </c>
      <c r="B75" t="s">
        <v>15</v>
      </c>
      <c r="C75" t="s">
        <v>16</v>
      </c>
      <c r="D75">
        <v>7</v>
      </c>
      <c r="E75" t="s">
        <v>91</v>
      </c>
      <c r="F75">
        <v>5419</v>
      </c>
      <c r="G75" t="s">
        <v>18</v>
      </c>
      <c r="H75">
        <v>27</v>
      </c>
      <c r="I75" t="s">
        <v>19</v>
      </c>
      <c r="J75">
        <v>1991</v>
      </c>
      <c r="K75">
        <v>1991</v>
      </c>
      <c r="L75" t="s">
        <v>20</v>
      </c>
      <c r="M75">
        <v>10000</v>
      </c>
      <c r="N75">
        <v>1010</v>
      </c>
    </row>
    <row r="76" spans="1:14" x14ac:dyDescent="0.35">
      <c r="A76" t="s">
        <v>97</v>
      </c>
      <c r="B76" t="s">
        <v>15</v>
      </c>
      <c r="C76" t="s">
        <v>16</v>
      </c>
      <c r="D76">
        <v>7</v>
      </c>
      <c r="E76" t="s">
        <v>91</v>
      </c>
      <c r="F76">
        <v>5419</v>
      </c>
      <c r="G76" t="s">
        <v>18</v>
      </c>
      <c r="H76">
        <v>27</v>
      </c>
      <c r="I76" t="s">
        <v>19</v>
      </c>
      <c r="J76">
        <v>1992</v>
      </c>
      <c r="K76">
        <v>1992</v>
      </c>
      <c r="L76" t="s">
        <v>20</v>
      </c>
      <c r="M76">
        <v>9106</v>
      </c>
      <c r="N76">
        <v>1010</v>
      </c>
    </row>
    <row r="77" spans="1:14" x14ac:dyDescent="0.35">
      <c r="A77" t="s">
        <v>98</v>
      </c>
      <c r="B77" t="s">
        <v>15</v>
      </c>
      <c r="C77" t="s">
        <v>16</v>
      </c>
      <c r="D77">
        <v>7</v>
      </c>
      <c r="E77" t="s">
        <v>91</v>
      </c>
      <c r="F77">
        <v>5419</v>
      </c>
      <c r="G77" t="s">
        <v>18</v>
      </c>
      <c r="H77">
        <v>27</v>
      </c>
      <c r="I77" t="s">
        <v>19</v>
      </c>
      <c r="J77">
        <v>1993</v>
      </c>
      <c r="K77">
        <v>1993</v>
      </c>
      <c r="L77" t="s">
        <v>20</v>
      </c>
      <c r="M77">
        <v>8000</v>
      </c>
      <c r="N77">
        <v>1010</v>
      </c>
    </row>
    <row r="78" spans="1:14" x14ac:dyDescent="0.35">
      <c r="A78" t="s">
        <v>99</v>
      </c>
      <c r="B78" t="s">
        <v>15</v>
      </c>
      <c r="C78" t="s">
        <v>16</v>
      </c>
      <c r="D78">
        <v>7</v>
      </c>
      <c r="E78" t="s">
        <v>91</v>
      </c>
      <c r="F78">
        <v>5419</v>
      </c>
      <c r="G78" t="s">
        <v>18</v>
      </c>
      <c r="H78">
        <v>27</v>
      </c>
      <c r="I78" t="s">
        <v>19</v>
      </c>
      <c r="J78">
        <v>1994</v>
      </c>
      <c r="K78">
        <v>1994</v>
      </c>
      <c r="L78" t="s">
        <v>20</v>
      </c>
      <c r="M78">
        <v>8750</v>
      </c>
      <c r="N78">
        <v>1010</v>
      </c>
    </row>
    <row r="79" spans="1:14" x14ac:dyDescent="0.35">
      <c r="A79" t="s">
        <v>100</v>
      </c>
      <c r="B79" t="s">
        <v>15</v>
      </c>
      <c r="C79" t="s">
        <v>16</v>
      </c>
      <c r="D79">
        <v>7</v>
      </c>
      <c r="E79" t="s">
        <v>91</v>
      </c>
      <c r="F79">
        <v>5419</v>
      </c>
      <c r="G79" t="s">
        <v>18</v>
      </c>
      <c r="H79">
        <v>27</v>
      </c>
      <c r="I79" t="s">
        <v>19</v>
      </c>
      <c r="J79">
        <v>1995</v>
      </c>
      <c r="K79">
        <v>1995</v>
      </c>
      <c r="L79" t="s">
        <v>20</v>
      </c>
      <c r="M79">
        <v>14615</v>
      </c>
      <c r="N79">
        <v>1010</v>
      </c>
    </row>
    <row r="80" spans="1:14" x14ac:dyDescent="0.35">
      <c r="A80" t="s">
        <v>101</v>
      </c>
      <c r="B80" t="s">
        <v>15</v>
      </c>
      <c r="C80" t="s">
        <v>16</v>
      </c>
      <c r="D80">
        <v>7</v>
      </c>
      <c r="E80" t="s">
        <v>91</v>
      </c>
      <c r="F80">
        <v>5419</v>
      </c>
      <c r="G80" t="s">
        <v>18</v>
      </c>
      <c r="H80">
        <v>27</v>
      </c>
      <c r="I80" t="s">
        <v>19</v>
      </c>
      <c r="J80">
        <v>1996</v>
      </c>
      <c r="K80">
        <v>1996</v>
      </c>
      <c r="L80" t="s">
        <v>20</v>
      </c>
      <c r="M80">
        <v>17500</v>
      </c>
      <c r="N80">
        <v>1010</v>
      </c>
    </row>
    <row r="81" spans="1:14" x14ac:dyDescent="0.35">
      <c r="A81" t="s">
        <v>102</v>
      </c>
      <c r="B81" t="s">
        <v>15</v>
      </c>
      <c r="C81" t="s">
        <v>16</v>
      </c>
      <c r="D81">
        <v>7</v>
      </c>
      <c r="E81" t="s">
        <v>91</v>
      </c>
      <c r="F81">
        <v>5419</v>
      </c>
      <c r="G81" t="s">
        <v>18</v>
      </c>
      <c r="H81">
        <v>27</v>
      </c>
      <c r="I81" t="s">
        <v>19</v>
      </c>
      <c r="J81">
        <v>1997</v>
      </c>
      <c r="K81">
        <v>1997</v>
      </c>
      <c r="L81" t="s">
        <v>20</v>
      </c>
      <c r="M81">
        <v>20000</v>
      </c>
      <c r="N81">
        <v>1010</v>
      </c>
    </row>
    <row r="82" spans="1:14" x14ac:dyDescent="0.35">
      <c r="A82" t="s">
        <v>103</v>
      </c>
      <c r="B82" t="s">
        <v>15</v>
      </c>
      <c r="C82" t="s">
        <v>16</v>
      </c>
      <c r="D82">
        <v>7</v>
      </c>
      <c r="E82" t="s">
        <v>91</v>
      </c>
      <c r="F82">
        <v>5419</v>
      </c>
      <c r="G82" t="s">
        <v>18</v>
      </c>
      <c r="H82">
        <v>27</v>
      </c>
      <c r="I82" t="s">
        <v>19</v>
      </c>
      <c r="J82">
        <v>1998</v>
      </c>
      <c r="K82">
        <v>1998</v>
      </c>
      <c r="L82" t="s">
        <v>20</v>
      </c>
      <c r="M82">
        <v>20000</v>
      </c>
      <c r="N82">
        <v>1010</v>
      </c>
    </row>
    <row r="83" spans="1:14" x14ac:dyDescent="0.35">
      <c r="A83" t="s">
        <v>104</v>
      </c>
      <c r="B83" t="s">
        <v>15</v>
      </c>
      <c r="C83" t="s">
        <v>16</v>
      </c>
      <c r="D83">
        <v>7</v>
      </c>
      <c r="E83" t="s">
        <v>91</v>
      </c>
      <c r="F83">
        <v>5419</v>
      </c>
      <c r="G83" t="s">
        <v>18</v>
      </c>
      <c r="H83">
        <v>27</v>
      </c>
      <c r="I83" t="s">
        <v>19</v>
      </c>
      <c r="J83">
        <v>1999</v>
      </c>
      <c r="K83">
        <v>1999</v>
      </c>
      <c r="L83" t="s">
        <v>20</v>
      </c>
      <c r="M83">
        <v>14235</v>
      </c>
      <c r="N83">
        <v>1010</v>
      </c>
    </row>
    <row r="84" spans="1:14" x14ac:dyDescent="0.35">
      <c r="A84" t="s">
        <v>105</v>
      </c>
      <c r="B84" t="s">
        <v>15</v>
      </c>
      <c r="C84" t="s">
        <v>16</v>
      </c>
      <c r="D84">
        <v>7</v>
      </c>
      <c r="E84" t="s">
        <v>91</v>
      </c>
      <c r="F84">
        <v>5419</v>
      </c>
      <c r="G84" t="s">
        <v>18</v>
      </c>
      <c r="H84">
        <v>27</v>
      </c>
      <c r="I84" t="s">
        <v>19</v>
      </c>
      <c r="J84">
        <v>2000</v>
      </c>
      <c r="K84">
        <v>2000</v>
      </c>
      <c r="L84" t="s">
        <v>20</v>
      </c>
      <c r="M84">
        <v>13454</v>
      </c>
      <c r="N84">
        <v>1010</v>
      </c>
    </row>
    <row r="85" spans="1:14" x14ac:dyDescent="0.35">
      <c r="A85" t="s">
        <v>106</v>
      </c>
      <c r="B85" t="s">
        <v>15</v>
      </c>
      <c r="C85" t="s">
        <v>16</v>
      </c>
      <c r="D85">
        <v>7</v>
      </c>
      <c r="E85" t="s">
        <v>91</v>
      </c>
      <c r="F85">
        <v>5419</v>
      </c>
      <c r="G85" t="s">
        <v>18</v>
      </c>
      <c r="H85">
        <v>27</v>
      </c>
      <c r="I85" t="s">
        <v>19</v>
      </c>
      <c r="J85">
        <v>2001</v>
      </c>
      <c r="K85">
        <v>2001</v>
      </c>
      <c r="L85" t="s">
        <v>20</v>
      </c>
      <c r="M85">
        <v>13701</v>
      </c>
      <c r="N85">
        <v>1010</v>
      </c>
    </row>
    <row r="86" spans="1:14" x14ac:dyDescent="0.35">
      <c r="A86" t="s">
        <v>107</v>
      </c>
      <c r="B86" t="s">
        <v>15</v>
      </c>
      <c r="C86" t="s">
        <v>16</v>
      </c>
      <c r="D86">
        <v>7</v>
      </c>
      <c r="E86" t="s">
        <v>91</v>
      </c>
      <c r="F86">
        <v>5419</v>
      </c>
      <c r="G86" t="s">
        <v>18</v>
      </c>
      <c r="H86">
        <v>27</v>
      </c>
      <c r="I86" t="s">
        <v>19</v>
      </c>
      <c r="J86">
        <v>2002</v>
      </c>
      <c r="K86">
        <v>2002</v>
      </c>
      <c r="L86" t="s">
        <v>20</v>
      </c>
      <c r="M86">
        <v>13198</v>
      </c>
      <c r="N86">
        <v>1010</v>
      </c>
    </row>
    <row r="87" spans="1:14" x14ac:dyDescent="0.35">
      <c r="A87" t="s">
        <v>108</v>
      </c>
      <c r="B87" t="s">
        <v>15</v>
      </c>
      <c r="C87" t="s">
        <v>16</v>
      </c>
      <c r="D87">
        <v>7</v>
      </c>
      <c r="E87" t="s">
        <v>91</v>
      </c>
      <c r="F87">
        <v>5419</v>
      </c>
      <c r="G87" t="s">
        <v>18</v>
      </c>
      <c r="H87">
        <v>27</v>
      </c>
      <c r="I87" t="s">
        <v>19</v>
      </c>
      <c r="J87">
        <v>2004</v>
      </c>
      <c r="K87">
        <v>2004</v>
      </c>
      <c r="L87" t="s">
        <v>20</v>
      </c>
      <c r="M87">
        <v>11584</v>
      </c>
      <c r="N87">
        <v>1010</v>
      </c>
    </row>
    <row r="88" spans="1:14" x14ac:dyDescent="0.35">
      <c r="A88" t="s">
        <v>109</v>
      </c>
      <c r="B88" t="s">
        <v>15</v>
      </c>
      <c r="C88" t="s">
        <v>16</v>
      </c>
      <c r="D88">
        <v>7</v>
      </c>
      <c r="E88" t="s">
        <v>91</v>
      </c>
      <c r="F88">
        <v>5419</v>
      </c>
      <c r="G88" t="s">
        <v>18</v>
      </c>
      <c r="H88">
        <v>27</v>
      </c>
      <c r="I88" t="s">
        <v>19</v>
      </c>
      <c r="J88">
        <v>2005</v>
      </c>
      <c r="K88">
        <v>2005</v>
      </c>
      <c r="L88" t="s">
        <v>20</v>
      </c>
      <c r="M88">
        <v>6977</v>
      </c>
      <c r="N88">
        <v>1010</v>
      </c>
    </row>
    <row r="89" spans="1:14" x14ac:dyDescent="0.35">
      <c r="A89" t="s">
        <v>110</v>
      </c>
      <c r="B89" t="s">
        <v>15</v>
      </c>
      <c r="C89" t="s">
        <v>16</v>
      </c>
      <c r="D89">
        <v>7</v>
      </c>
      <c r="E89" t="s">
        <v>91</v>
      </c>
      <c r="F89">
        <v>5419</v>
      </c>
      <c r="G89" t="s">
        <v>18</v>
      </c>
      <c r="H89">
        <v>27</v>
      </c>
      <c r="I89" t="s">
        <v>19</v>
      </c>
      <c r="J89">
        <v>2006</v>
      </c>
      <c r="K89">
        <v>2006</v>
      </c>
      <c r="L89" t="s">
        <v>20</v>
      </c>
      <c r="M89">
        <v>4947</v>
      </c>
      <c r="N89">
        <v>1010</v>
      </c>
    </row>
    <row r="90" spans="1:14" x14ac:dyDescent="0.35">
      <c r="A90" t="s">
        <v>111</v>
      </c>
      <c r="B90" t="s">
        <v>15</v>
      </c>
      <c r="C90" t="s">
        <v>16</v>
      </c>
      <c r="D90">
        <v>7</v>
      </c>
      <c r="E90" t="s">
        <v>91</v>
      </c>
      <c r="F90">
        <v>5419</v>
      </c>
      <c r="G90" t="s">
        <v>18</v>
      </c>
      <c r="H90">
        <v>27</v>
      </c>
      <c r="I90" t="s">
        <v>19</v>
      </c>
      <c r="J90">
        <v>2007</v>
      </c>
      <c r="K90">
        <v>2007</v>
      </c>
      <c r="L90" t="s">
        <v>20</v>
      </c>
      <c r="M90">
        <v>5143</v>
      </c>
      <c r="N90">
        <v>1010</v>
      </c>
    </row>
    <row r="91" spans="1:14" x14ac:dyDescent="0.35">
      <c r="A91" t="s">
        <v>112</v>
      </c>
      <c r="B91" t="s">
        <v>15</v>
      </c>
      <c r="C91" t="s">
        <v>16</v>
      </c>
      <c r="D91">
        <v>7</v>
      </c>
      <c r="E91" t="s">
        <v>91</v>
      </c>
      <c r="F91">
        <v>5419</v>
      </c>
      <c r="G91" t="s">
        <v>18</v>
      </c>
      <c r="H91">
        <v>27</v>
      </c>
      <c r="I91" t="s">
        <v>19</v>
      </c>
      <c r="J91">
        <v>2008</v>
      </c>
      <c r="K91">
        <v>2008</v>
      </c>
      <c r="L91" t="s">
        <v>20</v>
      </c>
      <c r="M91">
        <v>5084</v>
      </c>
      <c r="N91">
        <v>1010</v>
      </c>
    </row>
    <row r="92" spans="1:14" x14ac:dyDescent="0.35">
      <c r="A92" t="s">
        <v>113</v>
      </c>
      <c r="B92" t="s">
        <v>15</v>
      </c>
      <c r="C92" t="s">
        <v>16</v>
      </c>
      <c r="D92">
        <v>7</v>
      </c>
      <c r="E92" t="s">
        <v>91</v>
      </c>
      <c r="F92">
        <v>5419</v>
      </c>
      <c r="G92" t="s">
        <v>18</v>
      </c>
      <c r="H92">
        <v>27</v>
      </c>
      <c r="I92" t="s">
        <v>19</v>
      </c>
      <c r="J92">
        <v>2009</v>
      </c>
      <c r="K92">
        <v>2009</v>
      </c>
      <c r="L92" t="s">
        <v>20</v>
      </c>
      <c r="M92">
        <v>6028</v>
      </c>
      <c r="N92">
        <v>1010</v>
      </c>
    </row>
    <row r="93" spans="1:14" x14ac:dyDescent="0.35">
      <c r="A93" t="s">
        <v>114</v>
      </c>
      <c r="B93" t="s">
        <v>15</v>
      </c>
      <c r="C93" t="s">
        <v>16</v>
      </c>
      <c r="D93">
        <v>7</v>
      </c>
      <c r="E93" t="s">
        <v>91</v>
      </c>
      <c r="F93">
        <v>5419</v>
      </c>
      <c r="G93" t="s">
        <v>18</v>
      </c>
      <c r="H93">
        <v>27</v>
      </c>
      <c r="I93" t="s">
        <v>19</v>
      </c>
      <c r="J93">
        <v>2010</v>
      </c>
      <c r="K93">
        <v>2010</v>
      </c>
      <c r="L93" t="s">
        <v>20</v>
      </c>
      <c r="M93">
        <v>7403</v>
      </c>
      <c r="N93">
        <v>1010</v>
      </c>
    </row>
    <row r="94" spans="1:14" x14ac:dyDescent="0.35">
      <c r="A94" t="s">
        <v>115</v>
      </c>
      <c r="B94" t="s">
        <v>15</v>
      </c>
      <c r="C94" t="s">
        <v>16</v>
      </c>
      <c r="D94">
        <v>7</v>
      </c>
      <c r="E94" t="s">
        <v>91</v>
      </c>
      <c r="F94">
        <v>5419</v>
      </c>
      <c r="G94" t="s">
        <v>18</v>
      </c>
      <c r="H94">
        <v>27</v>
      </c>
      <c r="I94" t="s">
        <v>19</v>
      </c>
      <c r="J94">
        <v>2011</v>
      </c>
      <c r="K94">
        <v>2011</v>
      </c>
      <c r="L94" t="s">
        <v>20</v>
      </c>
      <c r="M94">
        <v>8914</v>
      </c>
      <c r="N94">
        <v>1010</v>
      </c>
    </row>
    <row r="95" spans="1:14" x14ac:dyDescent="0.35">
      <c r="A95" t="s">
        <v>116</v>
      </c>
      <c r="B95" t="s">
        <v>15</v>
      </c>
      <c r="C95" t="s">
        <v>16</v>
      </c>
      <c r="D95">
        <v>7</v>
      </c>
      <c r="E95" t="s">
        <v>91</v>
      </c>
      <c r="F95">
        <v>5419</v>
      </c>
      <c r="G95" t="s">
        <v>18</v>
      </c>
      <c r="H95">
        <v>27</v>
      </c>
      <c r="I95" t="s">
        <v>19</v>
      </c>
      <c r="J95">
        <v>2012</v>
      </c>
      <c r="K95">
        <v>2012</v>
      </c>
      <c r="L95" t="s">
        <v>20</v>
      </c>
      <c r="M95">
        <v>7703</v>
      </c>
      <c r="N95">
        <v>1010</v>
      </c>
    </row>
    <row r="96" spans="1:14" x14ac:dyDescent="0.35">
      <c r="A96" t="s">
        <v>117</v>
      </c>
      <c r="B96" t="s">
        <v>15</v>
      </c>
      <c r="C96" t="s">
        <v>16</v>
      </c>
      <c r="D96">
        <v>7</v>
      </c>
      <c r="E96" t="s">
        <v>91</v>
      </c>
      <c r="F96">
        <v>5419</v>
      </c>
      <c r="G96" t="s">
        <v>18</v>
      </c>
      <c r="H96">
        <v>27</v>
      </c>
      <c r="I96" t="s">
        <v>19</v>
      </c>
      <c r="J96">
        <v>2013</v>
      </c>
      <c r="K96">
        <v>2013</v>
      </c>
      <c r="L96" t="s">
        <v>20</v>
      </c>
      <c r="M96">
        <v>12744</v>
      </c>
      <c r="N96">
        <v>1010</v>
      </c>
    </row>
    <row r="97" spans="1:14" x14ac:dyDescent="0.35">
      <c r="A97" t="s">
        <v>118</v>
      </c>
      <c r="B97" t="s">
        <v>15</v>
      </c>
      <c r="C97" t="s">
        <v>16</v>
      </c>
      <c r="D97">
        <v>7</v>
      </c>
      <c r="E97" t="s">
        <v>91</v>
      </c>
      <c r="F97">
        <v>5419</v>
      </c>
      <c r="G97" t="s">
        <v>18</v>
      </c>
      <c r="H97">
        <v>27</v>
      </c>
      <c r="I97" t="s">
        <v>19</v>
      </c>
      <c r="J97">
        <v>2014</v>
      </c>
      <c r="K97">
        <v>2014</v>
      </c>
      <c r="L97" t="s">
        <v>20</v>
      </c>
      <c r="M97">
        <v>14064</v>
      </c>
      <c r="N97">
        <v>1010</v>
      </c>
    </row>
    <row r="98" spans="1:14" x14ac:dyDescent="0.35">
      <c r="A98" t="s">
        <v>119</v>
      </c>
      <c r="B98" t="s">
        <v>15</v>
      </c>
      <c r="C98" t="s">
        <v>16</v>
      </c>
      <c r="D98">
        <v>7</v>
      </c>
      <c r="E98" t="s">
        <v>91</v>
      </c>
      <c r="F98">
        <v>5419</v>
      </c>
      <c r="G98" t="s">
        <v>18</v>
      </c>
      <c r="H98">
        <v>27</v>
      </c>
      <c r="I98" t="s">
        <v>19</v>
      </c>
      <c r="J98">
        <v>2015</v>
      </c>
      <c r="K98">
        <v>2015</v>
      </c>
      <c r="L98" t="s">
        <v>20</v>
      </c>
      <c r="M98">
        <v>15068</v>
      </c>
      <c r="N98">
        <v>1010</v>
      </c>
    </row>
    <row r="99" spans="1:14" x14ac:dyDescent="0.35">
      <c r="A99" t="s">
        <v>120</v>
      </c>
      <c r="B99" t="s">
        <v>15</v>
      </c>
      <c r="C99" t="s">
        <v>16</v>
      </c>
      <c r="D99">
        <v>7</v>
      </c>
      <c r="E99" t="s">
        <v>91</v>
      </c>
      <c r="F99">
        <v>5419</v>
      </c>
      <c r="G99" t="s">
        <v>18</v>
      </c>
      <c r="H99">
        <v>27</v>
      </c>
      <c r="I99" t="s">
        <v>19</v>
      </c>
      <c r="J99">
        <v>2016</v>
      </c>
      <c r="K99">
        <v>2016</v>
      </c>
      <c r="L99" t="s">
        <v>20</v>
      </c>
      <c r="M99">
        <v>15477</v>
      </c>
      <c r="N99">
        <v>1010</v>
      </c>
    </row>
    <row r="100" spans="1:14" x14ac:dyDescent="0.35">
      <c r="A100" t="s">
        <v>121</v>
      </c>
      <c r="B100" t="s">
        <v>15</v>
      </c>
      <c r="C100" t="s">
        <v>16</v>
      </c>
      <c r="D100">
        <v>9</v>
      </c>
      <c r="E100" t="s">
        <v>122</v>
      </c>
      <c r="F100">
        <v>5419</v>
      </c>
      <c r="G100" t="s">
        <v>18</v>
      </c>
      <c r="H100">
        <v>27</v>
      </c>
      <c r="I100" t="s">
        <v>19</v>
      </c>
      <c r="J100">
        <v>1985</v>
      </c>
      <c r="K100">
        <v>1985</v>
      </c>
      <c r="L100" t="s">
        <v>20</v>
      </c>
      <c r="M100">
        <v>36782</v>
      </c>
      <c r="N100">
        <v>591</v>
      </c>
    </row>
    <row r="101" spans="1:14" x14ac:dyDescent="0.35">
      <c r="A101" t="s">
        <v>123</v>
      </c>
      <c r="B101" t="s">
        <v>15</v>
      </c>
      <c r="C101" t="s">
        <v>16</v>
      </c>
      <c r="D101">
        <v>9</v>
      </c>
      <c r="E101" t="s">
        <v>122</v>
      </c>
      <c r="F101">
        <v>5419</v>
      </c>
      <c r="G101" t="s">
        <v>18</v>
      </c>
      <c r="H101">
        <v>27</v>
      </c>
      <c r="I101" t="s">
        <v>19</v>
      </c>
      <c r="J101">
        <v>1986</v>
      </c>
      <c r="K101">
        <v>1986</v>
      </c>
      <c r="L101" t="s">
        <v>20</v>
      </c>
      <c r="M101">
        <v>38849</v>
      </c>
      <c r="N101">
        <v>591</v>
      </c>
    </row>
    <row r="102" spans="1:14" x14ac:dyDescent="0.35">
      <c r="A102" t="s">
        <v>124</v>
      </c>
      <c r="B102" t="s">
        <v>15</v>
      </c>
      <c r="C102" t="s">
        <v>16</v>
      </c>
      <c r="D102">
        <v>9</v>
      </c>
      <c r="E102" t="s">
        <v>122</v>
      </c>
      <c r="F102">
        <v>5419</v>
      </c>
      <c r="G102" t="s">
        <v>18</v>
      </c>
      <c r="H102">
        <v>27</v>
      </c>
      <c r="I102" t="s">
        <v>19</v>
      </c>
      <c r="J102">
        <v>1987</v>
      </c>
      <c r="K102">
        <v>1987</v>
      </c>
      <c r="L102" t="s">
        <v>20</v>
      </c>
      <c r="M102">
        <v>39185</v>
      </c>
      <c r="N102">
        <v>591</v>
      </c>
    </row>
    <row r="103" spans="1:14" x14ac:dyDescent="0.35">
      <c r="A103" t="s">
        <v>125</v>
      </c>
      <c r="B103" t="s">
        <v>15</v>
      </c>
      <c r="C103" t="s">
        <v>16</v>
      </c>
      <c r="D103">
        <v>9</v>
      </c>
      <c r="E103" t="s">
        <v>122</v>
      </c>
      <c r="F103">
        <v>5419</v>
      </c>
      <c r="G103" t="s">
        <v>18</v>
      </c>
      <c r="H103">
        <v>27</v>
      </c>
      <c r="I103" t="s">
        <v>19</v>
      </c>
      <c r="J103">
        <v>1989</v>
      </c>
      <c r="K103">
        <v>1989</v>
      </c>
      <c r="L103" t="s">
        <v>20</v>
      </c>
      <c r="M103">
        <v>46711</v>
      </c>
      <c r="N103">
        <v>591</v>
      </c>
    </row>
    <row r="104" spans="1:14" x14ac:dyDescent="0.35">
      <c r="A104" t="s">
        <v>126</v>
      </c>
      <c r="B104" t="s">
        <v>15</v>
      </c>
      <c r="C104" t="s">
        <v>16</v>
      </c>
      <c r="D104">
        <v>9</v>
      </c>
      <c r="E104" t="s">
        <v>122</v>
      </c>
      <c r="F104">
        <v>5419</v>
      </c>
      <c r="G104" t="s">
        <v>18</v>
      </c>
      <c r="H104">
        <v>27</v>
      </c>
      <c r="I104" t="s">
        <v>19</v>
      </c>
      <c r="J104">
        <v>1990</v>
      </c>
      <c r="K104">
        <v>1990</v>
      </c>
      <c r="L104" t="s">
        <v>20</v>
      </c>
      <c r="M104">
        <v>36709</v>
      </c>
      <c r="N104">
        <v>591</v>
      </c>
    </row>
    <row r="105" spans="1:14" x14ac:dyDescent="0.35">
      <c r="A105" t="s">
        <v>127</v>
      </c>
      <c r="B105" t="s">
        <v>15</v>
      </c>
      <c r="C105" t="s">
        <v>16</v>
      </c>
      <c r="D105">
        <v>9</v>
      </c>
      <c r="E105" t="s">
        <v>122</v>
      </c>
      <c r="F105">
        <v>5419</v>
      </c>
      <c r="G105" t="s">
        <v>18</v>
      </c>
      <c r="H105">
        <v>27</v>
      </c>
      <c r="I105" t="s">
        <v>19</v>
      </c>
      <c r="J105">
        <v>1991</v>
      </c>
      <c r="K105">
        <v>1991</v>
      </c>
      <c r="L105" t="s">
        <v>20</v>
      </c>
      <c r="M105">
        <v>40294</v>
      </c>
      <c r="N105">
        <v>591</v>
      </c>
    </row>
    <row r="106" spans="1:14" x14ac:dyDescent="0.35">
      <c r="A106" t="s">
        <v>128</v>
      </c>
      <c r="B106" t="s">
        <v>15</v>
      </c>
      <c r="C106" t="s">
        <v>16</v>
      </c>
      <c r="D106">
        <v>9</v>
      </c>
      <c r="E106" t="s">
        <v>122</v>
      </c>
      <c r="F106">
        <v>5419</v>
      </c>
      <c r="G106" t="s">
        <v>18</v>
      </c>
      <c r="H106">
        <v>27</v>
      </c>
      <c r="I106" t="s">
        <v>19</v>
      </c>
      <c r="J106">
        <v>1992</v>
      </c>
      <c r="K106">
        <v>1992</v>
      </c>
      <c r="L106" t="s">
        <v>20</v>
      </c>
      <c r="M106">
        <v>52075</v>
      </c>
      <c r="N106">
        <v>591</v>
      </c>
    </row>
    <row r="107" spans="1:14" x14ac:dyDescent="0.35">
      <c r="A107" t="s">
        <v>129</v>
      </c>
      <c r="B107" t="s">
        <v>15</v>
      </c>
      <c r="C107" t="s">
        <v>16</v>
      </c>
      <c r="D107">
        <v>9</v>
      </c>
      <c r="E107" t="s">
        <v>122</v>
      </c>
      <c r="F107">
        <v>5419</v>
      </c>
      <c r="G107" t="s">
        <v>18</v>
      </c>
      <c r="H107">
        <v>27</v>
      </c>
      <c r="I107" t="s">
        <v>19</v>
      </c>
      <c r="J107">
        <v>1993</v>
      </c>
      <c r="K107">
        <v>1993</v>
      </c>
      <c r="L107" t="s">
        <v>20</v>
      </c>
      <c r="M107">
        <v>43559</v>
      </c>
      <c r="N107">
        <v>591</v>
      </c>
    </row>
    <row r="108" spans="1:14" x14ac:dyDescent="0.35">
      <c r="A108" t="s">
        <v>130</v>
      </c>
      <c r="B108" t="s">
        <v>15</v>
      </c>
      <c r="C108" t="s">
        <v>16</v>
      </c>
      <c r="D108">
        <v>9</v>
      </c>
      <c r="E108" t="s">
        <v>122</v>
      </c>
      <c r="F108">
        <v>5419</v>
      </c>
      <c r="G108" t="s">
        <v>18</v>
      </c>
      <c r="H108">
        <v>27</v>
      </c>
      <c r="I108" t="s">
        <v>19</v>
      </c>
      <c r="J108">
        <v>1994</v>
      </c>
      <c r="K108">
        <v>1994</v>
      </c>
      <c r="L108" t="s">
        <v>20</v>
      </c>
      <c r="M108">
        <v>42989</v>
      </c>
      <c r="N108">
        <v>591</v>
      </c>
    </row>
    <row r="109" spans="1:14" x14ac:dyDescent="0.35">
      <c r="A109" t="s">
        <v>131</v>
      </c>
      <c r="B109" t="s">
        <v>15</v>
      </c>
      <c r="C109" t="s">
        <v>16</v>
      </c>
      <c r="D109">
        <v>9</v>
      </c>
      <c r="E109" t="s">
        <v>122</v>
      </c>
      <c r="F109">
        <v>5419</v>
      </c>
      <c r="G109" t="s">
        <v>18</v>
      </c>
      <c r="H109">
        <v>27</v>
      </c>
      <c r="I109" t="s">
        <v>19</v>
      </c>
      <c r="J109">
        <v>1995</v>
      </c>
      <c r="K109">
        <v>1995</v>
      </c>
      <c r="L109" t="s">
        <v>20</v>
      </c>
      <c r="M109">
        <v>50306</v>
      </c>
      <c r="N109">
        <v>591</v>
      </c>
    </row>
    <row r="110" spans="1:14" x14ac:dyDescent="0.35">
      <c r="A110" t="s">
        <v>132</v>
      </c>
      <c r="B110" t="s">
        <v>15</v>
      </c>
      <c r="C110" t="s">
        <v>16</v>
      </c>
      <c r="D110">
        <v>9</v>
      </c>
      <c r="E110" t="s">
        <v>122</v>
      </c>
      <c r="F110">
        <v>5419</v>
      </c>
      <c r="G110" t="s">
        <v>18</v>
      </c>
      <c r="H110">
        <v>27</v>
      </c>
      <c r="I110" t="s">
        <v>19</v>
      </c>
      <c r="J110">
        <v>1996</v>
      </c>
      <c r="K110">
        <v>1996</v>
      </c>
      <c r="L110" t="s">
        <v>20</v>
      </c>
      <c r="M110">
        <v>51031</v>
      </c>
      <c r="N110">
        <v>591</v>
      </c>
    </row>
    <row r="111" spans="1:14" x14ac:dyDescent="0.35">
      <c r="A111" t="s">
        <v>133</v>
      </c>
      <c r="B111" t="s">
        <v>15</v>
      </c>
      <c r="C111" t="s">
        <v>16</v>
      </c>
      <c r="D111">
        <v>9</v>
      </c>
      <c r="E111" t="s">
        <v>122</v>
      </c>
      <c r="F111">
        <v>5419</v>
      </c>
      <c r="G111" t="s">
        <v>18</v>
      </c>
      <c r="H111">
        <v>27</v>
      </c>
      <c r="I111" t="s">
        <v>19</v>
      </c>
      <c r="J111">
        <v>1997</v>
      </c>
      <c r="K111">
        <v>1997</v>
      </c>
      <c r="L111" t="s">
        <v>20</v>
      </c>
      <c r="M111">
        <v>53703</v>
      </c>
      <c r="N111">
        <v>591</v>
      </c>
    </row>
    <row r="112" spans="1:14" x14ac:dyDescent="0.35">
      <c r="A112" t="s">
        <v>134</v>
      </c>
      <c r="B112" t="s">
        <v>15</v>
      </c>
      <c r="C112" t="s">
        <v>16</v>
      </c>
      <c r="D112">
        <v>9</v>
      </c>
      <c r="E112" t="s">
        <v>122</v>
      </c>
      <c r="F112">
        <v>5419</v>
      </c>
      <c r="G112" t="s">
        <v>18</v>
      </c>
      <c r="H112">
        <v>27</v>
      </c>
      <c r="I112" t="s">
        <v>19</v>
      </c>
      <c r="J112">
        <v>1998</v>
      </c>
      <c r="K112">
        <v>1998</v>
      </c>
      <c r="L112" t="s">
        <v>20</v>
      </c>
      <c r="M112">
        <v>47762</v>
      </c>
      <c r="N112">
        <v>591</v>
      </c>
    </row>
    <row r="113" spans="1:14" x14ac:dyDescent="0.35">
      <c r="A113" t="s">
        <v>135</v>
      </c>
      <c r="B113" t="s">
        <v>15</v>
      </c>
      <c r="C113" t="s">
        <v>16</v>
      </c>
      <c r="D113">
        <v>9</v>
      </c>
      <c r="E113" t="s">
        <v>122</v>
      </c>
      <c r="F113">
        <v>5419</v>
      </c>
      <c r="G113" t="s">
        <v>18</v>
      </c>
      <c r="H113">
        <v>27</v>
      </c>
      <c r="I113" t="s">
        <v>19</v>
      </c>
      <c r="J113">
        <v>1999</v>
      </c>
      <c r="K113">
        <v>1999</v>
      </c>
      <c r="L113" t="s">
        <v>20</v>
      </c>
      <c r="M113">
        <v>57337</v>
      </c>
      <c r="N113">
        <v>591</v>
      </c>
    </row>
    <row r="114" spans="1:14" x14ac:dyDescent="0.35">
      <c r="A114" t="s">
        <v>136</v>
      </c>
      <c r="B114" t="s">
        <v>15</v>
      </c>
      <c r="C114" t="s">
        <v>16</v>
      </c>
      <c r="D114">
        <v>9</v>
      </c>
      <c r="E114" t="s">
        <v>122</v>
      </c>
      <c r="F114">
        <v>5419</v>
      </c>
      <c r="G114" t="s">
        <v>18</v>
      </c>
      <c r="H114">
        <v>27</v>
      </c>
      <c r="I114" t="s">
        <v>19</v>
      </c>
      <c r="J114">
        <v>2000</v>
      </c>
      <c r="K114">
        <v>2000</v>
      </c>
      <c r="L114" t="s">
        <v>20</v>
      </c>
      <c r="M114">
        <v>47798</v>
      </c>
      <c r="N114">
        <v>591</v>
      </c>
    </row>
    <row r="115" spans="1:14" x14ac:dyDescent="0.35">
      <c r="A115" t="s">
        <v>137</v>
      </c>
      <c r="B115" t="s">
        <v>15</v>
      </c>
      <c r="C115" t="s">
        <v>16</v>
      </c>
      <c r="D115">
        <v>9</v>
      </c>
      <c r="E115" t="s">
        <v>122</v>
      </c>
      <c r="F115">
        <v>5419</v>
      </c>
      <c r="G115" t="s">
        <v>18</v>
      </c>
      <c r="H115">
        <v>27</v>
      </c>
      <c r="I115" t="s">
        <v>19</v>
      </c>
      <c r="J115">
        <v>2001</v>
      </c>
      <c r="K115">
        <v>2001</v>
      </c>
      <c r="L115" t="s">
        <v>20</v>
      </c>
      <c r="M115">
        <v>57495</v>
      </c>
      <c r="N115">
        <v>591</v>
      </c>
    </row>
    <row r="116" spans="1:14" x14ac:dyDescent="0.35">
      <c r="A116" t="s">
        <v>138</v>
      </c>
      <c r="B116" t="s">
        <v>15</v>
      </c>
      <c r="C116" t="s">
        <v>16</v>
      </c>
      <c r="D116">
        <v>9</v>
      </c>
      <c r="E116" t="s">
        <v>122</v>
      </c>
      <c r="F116">
        <v>5419</v>
      </c>
      <c r="G116" t="s">
        <v>18</v>
      </c>
      <c r="H116">
        <v>27</v>
      </c>
      <c r="I116" t="s">
        <v>19</v>
      </c>
      <c r="J116">
        <v>2002</v>
      </c>
      <c r="K116">
        <v>2002</v>
      </c>
      <c r="L116" t="s">
        <v>20</v>
      </c>
      <c r="M116">
        <v>57197</v>
      </c>
      <c r="N116">
        <v>591</v>
      </c>
    </row>
    <row r="117" spans="1:14" x14ac:dyDescent="0.35">
      <c r="A117" t="s">
        <v>139</v>
      </c>
      <c r="B117" t="s">
        <v>15</v>
      </c>
      <c r="C117" t="s">
        <v>16</v>
      </c>
      <c r="D117">
        <v>9</v>
      </c>
      <c r="E117" t="s">
        <v>122</v>
      </c>
      <c r="F117">
        <v>5419</v>
      </c>
      <c r="G117" t="s">
        <v>18</v>
      </c>
      <c r="H117">
        <v>27</v>
      </c>
      <c r="I117" t="s">
        <v>19</v>
      </c>
      <c r="J117">
        <v>2004</v>
      </c>
      <c r="K117">
        <v>2004</v>
      </c>
      <c r="L117" t="s">
        <v>20</v>
      </c>
      <c r="M117">
        <v>62661</v>
      </c>
      <c r="N117">
        <v>591</v>
      </c>
    </row>
    <row r="118" spans="1:14" x14ac:dyDescent="0.35">
      <c r="A118" t="s">
        <v>140</v>
      </c>
      <c r="B118" t="s">
        <v>15</v>
      </c>
      <c r="C118" t="s">
        <v>16</v>
      </c>
      <c r="D118">
        <v>9</v>
      </c>
      <c r="E118" t="s">
        <v>122</v>
      </c>
      <c r="F118">
        <v>5419</v>
      </c>
      <c r="G118" t="s">
        <v>18</v>
      </c>
      <c r="H118">
        <v>27</v>
      </c>
      <c r="I118" t="s">
        <v>19</v>
      </c>
      <c r="J118">
        <v>2005</v>
      </c>
      <c r="K118">
        <v>2005</v>
      </c>
      <c r="L118" t="s">
        <v>20</v>
      </c>
      <c r="M118">
        <v>60165</v>
      </c>
      <c r="N118">
        <v>591</v>
      </c>
    </row>
    <row r="119" spans="1:14" x14ac:dyDescent="0.35">
      <c r="A119" t="s">
        <v>141</v>
      </c>
      <c r="B119" t="s">
        <v>15</v>
      </c>
      <c r="C119" t="s">
        <v>16</v>
      </c>
      <c r="D119">
        <v>9</v>
      </c>
      <c r="E119" t="s">
        <v>122</v>
      </c>
      <c r="F119">
        <v>5419</v>
      </c>
      <c r="G119" t="s">
        <v>18</v>
      </c>
      <c r="H119">
        <v>27</v>
      </c>
      <c r="I119" t="s">
        <v>19</v>
      </c>
      <c r="J119">
        <v>2006</v>
      </c>
      <c r="K119">
        <v>2006</v>
      </c>
      <c r="L119" t="s">
        <v>20</v>
      </c>
      <c r="M119">
        <v>70610</v>
      </c>
      <c r="N119">
        <v>591</v>
      </c>
    </row>
    <row r="120" spans="1:14" x14ac:dyDescent="0.35">
      <c r="A120" t="s">
        <v>142</v>
      </c>
      <c r="B120" t="s">
        <v>15</v>
      </c>
      <c r="C120" t="s">
        <v>16</v>
      </c>
      <c r="D120">
        <v>9</v>
      </c>
      <c r="E120" t="s">
        <v>122</v>
      </c>
      <c r="F120">
        <v>5419</v>
      </c>
      <c r="G120" t="s">
        <v>18</v>
      </c>
      <c r="H120">
        <v>27</v>
      </c>
      <c r="I120" t="s">
        <v>19</v>
      </c>
      <c r="J120">
        <v>2007</v>
      </c>
      <c r="K120">
        <v>2007</v>
      </c>
      <c r="L120" t="s">
        <v>20</v>
      </c>
      <c r="M120">
        <v>65604</v>
      </c>
      <c r="N120">
        <v>591</v>
      </c>
    </row>
    <row r="121" spans="1:14" x14ac:dyDescent="0.35">
      <c r="A121" t="s">
        <v>143</v>
      </c>
      <c r="B121" t="s">
        <v>15</v>
      </c>
      <c r="C121" t="s">
        <v>16</v>
      </c>
      <c r="D121">
        <v>9</v>
      </c>
      <c r="E121" t="s">
        <v>122</v>
      </c>
      <c r="F121">
        <v>5419</v>
      </c>
      <c r="G121" t="s">
        <v>18</v>
      </c>
      <c r="H121">
        <v>27</v>
      </c>
      <c r="I121" t="s">
        <v>19</v>
      </c>
      <c r="J121">
        <v>2008</v>
      </c>
      <c r="K121">
        <v>2008</v>
      </c>
      <c r="L121" t="s">
        <v>20</v>
      </c>
      <c r="M121">
        <v>68278</v>
      </c>
      <c r="N121">
        <v>591</v>
      </c>
    </row>
    <row r="122" spans="1:14" x14ac:dyDescent="0.35">
      <c r="A122" t="s">
        <v>144</v>
      </c>
      <c r="B122" t="s">
        <v>15</v>
      </c>
      <c r="C122" t="s">
        <v>16</v>
      </c>
      <c r="D122">
        <v>9</v>
      </c>
      <c r="E122" t="s">
        <v>122</v>
      </c>
      <c r="F122">
        <v>5419</v>
      </c>
      <c r="G122" t="s">
        <v>18</v>
      </c>
      <c r="H122">
        <v>27</v>
      </c>
      <c r="I122" t="s">
        <v>19</v>
      </c>
      <c r="J122">
        <v>2009</v>
      </c>
      <c r="K122">
        <v>2009</v>
      </c>
      <c r="L122" t="s">
        <v>20</v>
      </c>
      <c r="M122">
        <v>68842</v>
      </c>
      <c r="N122">
        <v>591</v>
      </c>
    </row>
    <row r="123" spans="1:14" x14ac:dyDescent="0.35">
      <c r="A123" t="s">
        <v>145</v>
      </c>
      <c r="B123" t="s">
        <v>15</v>
      </c>
      <c r="C123" t="s">
        <v>16</v>
      </c>
      <c r="D123">
        <v>9</v>
      </c>
      <c r="E123" t="s">
        <v>122</v>
      </c>
      <c r="F123">
        <v>5419</v>
      </c>
      <c r="G123" t="s">
        <v>18</v>
      </c>
      <c r="H123">
        <v>27</v>
      </c>
      <c r="I123" t="s">
        <v>19</v>
      </c>
      <c r="J123">
        <v>2010</v>
      </c>
      <c r="K123">
        <v>2010</v>
      </c>
      <c r="L123" t="s">
        <v>20</v>
      </c>
      <c r="M123">
        <v>57646</v>
      </c>
      <c r="N123">
        <v>591</v>
      </c>
    </row>
    <row r="124" spans="1:14" x14ac:dyDescent="0.35">
      <c r="A124" t="s">
        <v>146</v>
      </c>
      <c r="B124" t="s">
        <v>15</v>
      </c>
      <c r="C124" t="s">
        <v>16</v>
      </c>
      <c r="D124">
        <v>9</v>
      </c>
      <c r="E124" t="s">
        <v>122</v>
      </c>
      <c r="F124">
        <v>5419</v>
      </c>
      <c r="G124" t="s">
        <v>18</v>
      </c>
      <c r="H124">
        <v>27</v>
      </c>
      <c r="I124" t="s">
        <v>19</v>
      </c>
      <c r="J124">
        <v>2011</v>
      </c>
      <c r="K124">
        <v>2011</v>
      </c>
      <c r="L124" t="s">
        <v>20</v>
      </c>
      <c r="M124">
        <v>67901</v>
      </c>
      <c r="N124">
        <v>591</v>
      </c>
    </row>
    <row r="125" spans="1:14" x14ac:dyDescent="0.35">
      <c r="A125" t="s">
        <v>147</v>
      </c>
      <c r="B125" t="s">
        <v>15</v>
      </c>
      <c r="C125" t="s">
        <v>16</v>
      </c>
      <c r="D125">
        <v>9</v>
      </c>
      <c r="E125" t="s">
        <v>122</v>
      </c>
      <c r="F125">
        <v>5419</v>
      </c>
      <c r="G125" t="s">
        <v>18</v>
      </c>
      <c r="H125">
        <v>27</v>
      </c>
      <c r="I125" t="s">
        <v>19</v>
      </c>
      <c r="J125">
        <v>2012</v>
      </c>
      <c r="K125">
        <v>2012</v>
      </c>
      <c r="L125" t="s">
        <v>20</v>
      </c>
      <c r="M125">
        <v>66617</v>
      </c>
      <c r="N125">
        <v>591</v>
      </c>
    </row>
    <row r="126" spans="1:14" x14ac:dyDescent="0.35">
      <c r="A126" t="s">
        <v>148</v>
      </c>
      <c r="B126" t="s">
        <v>15</v>
      </c>
      <c r="C126" t="s">
        <v>16</v>
      </c>
      <c r="D126">
        <v>9</v>
      </c>
      <c r="E126" t="s">
        <v>122</v>
      </c>
      <c r="F126">
        <v>5419</v>
      </c>
      <c r="G126" t="s">
        <v>18</v>
      </c>
      <c r="H126">
        <v>27</v>
      </c>
      <c r="I126" t="s">
        <v>19</v>
      </c>
      <c r="J126">
        <v>2013</v>
      </c>
      <c r="K126">
        <v>2013</v>
      </c>
      <c r="L126" t="s">
        <v>20</v>
      </c>
      <c r="M126">
        <v>67187</v>
      </c>
      <c r="N126">
        <v>591</v>
      </c>
    </row>
    <row r="127" spans="1:14" x14ac:dyDescent="0.35">
      <c r="A127" t="s">
        <v>149</v>
      </c>
      <c r="B127" t="s">
        <v>15</v>
      </c>
      <c r="C127" t="s">
        <v>16</v>
      </c>
      <c r="D127">
        <v>9</v>
      </c>
      <c r="E127" t="s">
        <v>122</v>
      </c>
      <c r="F127">
        <v>5419</v>
      </c>
      <c r="G127" t="s">
        <v>18</v>
      </c>
      <c r="H127">
        <v>27</v>
      </c>
      <c r="I127" t="s">
        <v>19</v>
      </c>
      <c r="J127">
        <v>2014</v>
      </c>
      <c r="K127">
        <v>2014</v>
      </c>
      <c r="L127" t="s">
        <v>20</v>
      </c>
      <c r="M127">
        <v>65042</v>
      </c>
      <c r="N127">
        <v>591</v>
      </c>
    </row>
    <row r="128" spans="1:14" x14ac:dyDescent="0.35">
      <c r="A128" t="s">
        <v>150</v>
      </c>
      <c r="B128" t="s">
        <v>15</v>
      </c>
      <c r="C128" t="s">
        <v>16</v>
      </c>
      <c r="D128">
        <v>9</v>
      </c>
      <c r="E128" t="s">
        <v>122</v>
      </c>
      <c r="F128">
        <v>5419</v>
      </c>
      <c r="G128" t="s">
        <v>18</v>
      </c>
      <c r="H128">
        <v>27</v>
      </c>
      <c r="I128" t="s">
        <v>19</v>
      </c>
      <c r="J128">
        <v>2015</v>
      </c>
      <c r="K128">
        <v>2015</v>
      </c>
      <c r="L128" t="s">
        <v>20</v>
      </c>
      <c r="M128">
        <v>66989</v>
      </c>
      <c r="N128">
        <v>591</v>
      </c>
    </row>
    <row r="129" spans="1:14" x14ac:dyDescent="0.35">
      <c r="A129" t="s">
        <v>151</v>
      </c>
      <c r="B129" t="s">
        <v>15</v>
      </c>
      <c r="C129" t="s">
        <v>16</v>
      </c>
      <c r="D129">
        <v>9</v>
      </c>
      <c r="E129" t="s">
        <v>122</v>
      </c>
      <c r="F129">
        <v>5419</v>
      </c>
      <c r="G129" t="s">
        <v>18</v>
      </c>
      <c r="H129">
        <v>27</v>
      </c>
      <c r="I129" t="s">
        <v>19</v>
      </c>
      <c r="J129">
        <v>2016</v>
      </c>
      <c r="K129">
        <v>2016</v>
      </c>
      <c r="L129" t="s">
        <v>20</v>
      </c>
      <c r="M129">
        <v>67632</v>
      </c>
      <c r="N129">
        <v>591</v>
      </c>
    </row>
    <row r="130" spans="1:14" x14ac:dyDescent="0.35">
      <c r="A130" t="s">
        <v>152</v>
      </c>
      <c r="B130" t="s">
        <v>15</v>
      </c>
      <c r="C130" t="s">
        <v>16</v>
      </c>
      <c r="D130">
        <v>10</v>
      </c>
      <c r="E130" t="s">
        <v>153</v>
      </c>
      <c r="F130">
        <v>5419</v>
      </c>
      <c r="G130" t="s">
        <v>18</v>
      </c>
      <c r="H130">
        <v>27</v>
      </c>
      <c r="I130" t="s">
        <v>19</v>
      </c>
      <c r="J130">
        <v>1985</v>
      </c>
      <c r="K130">
        <v>1985</v>
      </c>
      <c r="L130" t="s">
        <v>20</v>
      </c>
      <c r="M130">
        <v>70936</v>
      </c>
      <c r="N130">
        <v>534</v>
      </c>
    </row>
    <row r="131" spans="1:14" x14ac:dyDescent="0.35">
      <c r="A131" t="s">
        <v>154</v>
      </c>
      <c r="B131" t="s">
        <v>15</v>
      </c>
      <c r="C131" t="s">
        <v>16</v>
      </c>
      <c r="D131">
        <v>10</v>
      </c>
      <c r="E131" t="s">
        <v>153</v>
      </c>
      <c r="F131">
        <v>5419</v>
      </c>
      <c r="G131" t="s">
        <v>18</v>
      </c>
      <c r="H131">
        <v>27</v>
      </c>
      <c r="I131" t="s">
        <v>19</v>
      </c>
      <c r="J131">
        <v>1986</v>
      </c>
      <c r="K131">
        <v>1986</v>
      </c>
      <c r="L131" t="s">
        <v>20</v>
      </c>
      <c r="M131">
        <v>64750</v>
      </c>
      <c r="N131">
        <v>534</v>
      </c>
    </row>
    <row r="132" spans="1:14" x14ac:dyDescent="0.35">
      <c r="A132" t="s">
        <v>155</v>
      </c>
      <c r="B132" t="s">
        <v>15</v>
      </c>
      <c r="C132" t="s">
        <v>16</v>
      </c>
      <c r="D132">
        <v>10</v>
      </c>
      <c r="E132" t="s">
        <v>153</v>
      </c>
      <c r="F132">
        <v>5419</v>
      </c>
      <c r="G132" t="s">
        <v>18</v>
      </c>
      <c r="H132">
        <v>27</v>
      </c>
      <c r="I132" t="s">
        <v>19</v>
      </c>
      <c r="J132">
        <v>1987</v>
      </c>
      <c r="K132">
        <v>1987</v>
      </c>
      <c r="L132" t="s">
        <v>20</v>
      </c>
      <c r="M132">
        <v>57247</v>
      </c>
      <c r="N132">
        <v>534</v>
      </c>
    </row>
    <row r="133" spans="1:14" x14ac:dyDescent="0.35">
      <c r="A133" t="s">
        <v>156</v>
      </c>
      <c r="B133" t="s">
        <v>15</v>
      </c>
      <c r="C133" t="s">
        <v>16</v>
      </c>
      <c r="D133">
        <v>10</v>
      </c>
      <c r="E133" t="s">
        <v>153</v>
      </c>
      <c r="F133">
        <v>5419</v>
      </c>
      <c r="G133" t="s">
        <v>18</v>
      </c>
      <c r="H133">
        <v>27</v>
      </c>
      <c r="I133" t="s">
        <v>19</v>
      </c>
      <c r="J133">
        <v>1989</v>
      </c>
      <c r="K133">
        <v>1989</v>
      </c>
      <c r="L133" t="s">
        <v>20</v>
      </c>
      <c r="M133">
        <v>82990</v>
      </c>
      <c r="N133">
        <v>534</v>
      </c>
    </row>
    <row r="134" spans="1:14" x14ac:dyDescent="0.35">
      <c r="A134" t="s">
        <v>157</v>
      </c>
      <c r="B134" t="s">
        <v>15</v>
      </c>
      <c r="C134" t="s">
        <v>16</v>
      </c>
      <c r="D134">
        <v>10</v>
      </c>
      <c r="E134" t="s">
        <v>153</v>
      </c>
      <c r="F134">
        <v>5419</v>
      </c>
      <c r="G134" t="s">
        <v>18</v>
      </c>
      <c r="H134">
        <v>27</v>
      </c>
      <c r="I134" t="s">
        <v>19</v>
      </c>
      <c r="J134">
        <v>1990</v>
      </c>
      <c r="K134">
        <v>1990</v>
      </c>
      <c r="L134" t="s">
        <v>20</v>
      </c>
      <c r="M134">
        <v>88000</v>
      </c>
      <c r="N134">
        <v>534</v>
      </c>
    </row>
    <row r="135" spans="1:14" x14ac:dyDescent="0.35">
      <c r="A135" t="s">
        <v>158</v>
      </c>
      <c r="B135" t="s">
        <v>15</v>
      </c>
      <c r="C135" t="s">
        <v>16</v>
      </c>
      <c r="D135">
        <v>10</v>
      </c>
      <c r="E135" t="s">
        <v>153</v>
      </c>
      <c r="F135">
        <v>5419</v>
      </c>
      <c r="G135" t="s">
        <v>18</v>
      </c>
      <c r="H135">
        <v>27</v>
      </c>
      <c r="I135" t="s">
        <v>19</v>
      </c>
      <c r="J135">
        <v>1991</v>
      </c>
      <c r="K135">
        <v>1991</v>
      </c>
      <c r="L135" t="s">
        <v>20</v>
      </c>
      <c r="M135">
        <v>88427</v>
      </c>
      <c r="N135">
        <v>534</v>
      </c>
    </row>
    <row r="136" spans="1:14" x14ac:dyDescent="0.35">
      <c r="A136" t="s">
        <v>159</v>
      </c>
      <c r="B136" t="s">
        <v>15</v>
      </c>
      <c r="C136" t="s">
        <v>16</v>
      </c>
      <c r="D136">
        <v>10</v>
      </c>
      <c r="E136" t="s">
        <v>153</v>
      </c>
      <c r="F136">
        <v>5419</v>
      </c>
      <c r="G136" t="s">
        <v>18</v>
      </c>
      <c r="H136">
        <v>27</v>
      </c>
      <c r="I136" t="s">
        <v>19</v>
      </c>
      <c r="J136">
        <v>1992</v>
      </c>
      <c r="K136">
        <v>1992</v>
      </c>
      <c r="L136" t="s">
        <v>20</v>
      </c>
      <c r="M136">
        <v>88346</v>
      </c>
      <c r="N136">
        <v>534</v>
      </c>
    </row>
    <row r="137" spans="1:14" x14ac:dyDescent="0.35">
      <c r="A137" t="s">
        <v>160</v>
      </c>
      <c r="B137" t="s">
        <v>15</v>
      </c>
      <c r="C137" t="s">
        <v>16</v>
      </c>
      <c r="D137">
        <v>10</v>
      </c>
      <c r="E137" t="s">
        <v>153</v>
      </c>
      <c r="F137">
        <v>5419</v>
      </c>
      <c r="G137" t="s">
        <v>18</v>
      </c>
      <c r="H137">
        <v>27</v>
      </c>
      <c r="I137" t="s">
        <v>19</v>
      </c>
      <c r="J137">
        <v>1993</v>
      </c>
      <c r="K137">
        <v>1993</v>
      </c>
      <c r="L137" t="s">
        <v>20</v>
      </c>
      <c r="M137">
        <v>76400</v>
      </c>
      <c r="N137">
        <v>534</v>
      </c>
    </row>
    <row r="138" spans="1:14" x14ac:dyDescent="0.35">
      <c r="A138" t="s">
        <v>161</v>
      </c>
      <c r="B138" t="s">
        <v>15</v>
      </c>
      <c r="C138" t="s">
        <v>16</v>
      </c>
      <c r="D138">
        <v>10</v>
      </c>
      <c r="E138" t="s">
        <v>153</v>
      </c>
      <c r="F138">
        <v>5419</v>
      </c>
      <c r="G138" t="s">
        <v>18</v>
      </c>
      <c r="H138">
        <v>27</v>
      </c>
      <c r="I138" t="s">
        <v>19</v>
      </c>
      <c r="J138">
        <v>1994</v>
      </c>
      <c r="K138">
        <v>1994</v>
      </c>
      <c r="L138" t="s">
        <v>20</v>
      </c>
      <c r="M138">
        <v>81537</v>
      </c>
      <c r="N138">
        <v>534</v>
      </c>
    </row>
    <row r="139" spans="1:14" x14ac:dyDescent="0.35">
      <c r="A139" t="s">
        <v>162</v>
      </c>
      <c r="B139" t="s">
        <v>15</v>
      </c>
      <c r="C139" t="s">
        <v>16</v>
      </c>
      <c r="D139">
        <v>10</v>
      </c>
      <c r="E139" t="s">
        <v>153</v>
      </c>
      <c r="F139">
        <v>5419</v>
      </c>
      <c r="G139" t="s">
        <v>18</v>
      </c>
      <c r="H139">
        <v>27</v>
      </c>
      <c r="I139" t="s">
        <v>19</v>
      </c>
      <c r="J139">
        <v>1995</v>
      </c>
      <c r="K139">
        <v>1995</v>
      </c>
      <c r="L139" t="s">
        <v>20</v>
      </c>
      <c r="M139">
        <v>88003</v>
      </c>
      <c r="N139">
        <v>534</v>
      </c>
    </row>
    <row r="140" spans="1:14" x14ac:dyDescent="0.35">
      <c r="A140" t="s">
        <v>163</v>
      </c>
      <c r="B140" t="s">
        <v>15</v>
      </c>
      <c r="C140" t="s">
        <v>16</v>
      </c>
      <c r="D140">
        <v>10</v>
      </c>
      <c r="E140" t="s">
        <v>153</v>
      </c>
      <c r="F140">
        <v>5419</v>
      </c>
      <c r="G140" t="s">
        <v>18</v>
      </c>
      <c r="H140">
        <v>27</v>
      </c>
      <c r="I140" t="s">
        <v>19</v>
      </c>
      <c r="J140">
        <v>1996</v>
      </c>
      <c r="K140">
        <v>1996</v>
      </c>
      <c r="L140" t="s">
        <v>20</v>
      </c>
      <c r="M140">
        <v>63540</v>
      </c>
      <c r="N140">
        <v>534</v>
      </c>
    </row>
    <row r="141" spans="1:14" x14ac:dyDescent="0.35">
      <c r="A141" t="s">
        <v>164</v>
      </c>
      <c r="B141" t="s">
        <v>15</v>
      </c>
      <c r="C141" t="s">
        <v>16</v>
      </c>
      <c r="D141">
        <v>10</v>
      </c>
      <c r="E141" t="s">
        <v>153</v>
      </c>
      <c r="F141">
        <v>5419</v>
      </c>
      <c r="G141" t="s">
        <v>18</v>
      </c>
      <c r="H141">
        <v>27</v>
      </c>
      <c r="I141" t="s">
        <v>19</v>
      </c>
      <c r="J141">
        <v>1997</v>
      </c>
      <c r="K141">
        <v>1997</v>
      </c>
      <c r="L141" t="s">
        <v>20</v>
      </c>
      <c r="M141">
        <v>83263</v>
      </c>
      <c r="N141">
        <v>534</v>
      </c>
    </row>
    <row r="142" spans="1:14" x14ac:dyDescent="0.35">
      <c r="A142" t="s">
        <v>165</v>
      </c>
      <c r="B142" t="s">
        <v>15</v>
      </c>
      <c r="C142" t="s">
        <v>16</v>
      </c>
      <c r="D142">
        <v>10</v>
      </c>
      <c r="E142" t="s">
        <v>153</v>
      </c>
      <c r="F142">
        <v>5419</v>
      </c>
      <c r="G142" t="s">
        <v>18</v>
      </c>
      <c r="H142">
        <v>27</v>
      </c>
      <c r="I142" t="s">
        <v>19</v>
      </c>
      <c r="J142">
        <v>1998</v>
      </c>
      <c r="K142">
        <v>1998</v>
      </c>
      <c r="L142" t="s">
        <v>20</v>
      </c>
      <c r="M142">
        <v>94256</v>
      </c>
      <c r="N142">
        <v>534</v>
      </c>
    </row>
    <row r="143" spans="1:14" x14ac:dyDescent="0.35">
      <c r="A143" t="s">
        <v>166</v>
      </c>
      <c r="B143" t="s">
        <v>15</v>
      </c>
      <c r="C143" t="s">
        <v>16</v>
      </c>
      <c r="D143">
        <v>10</v>
      </c>
      <c r="E143" t="s">
        <v>153</v>
      </c>
      <c r="F143">
        <v>5419</v>
      </c>
      <c r="G143" t="s">
        <v>18</v>
      </c>
      <c r="H143">
        <v>27</v>
      </c>
      <c r="I143" t="s">
        <v>19</v>
      </c>
      <c r="J143">
        <v>1999</v>
      </c>
      <c r="K143">
        <v>1999</v>
      </c>
      <c r="L143" t="s">
        <v>20</v>
      </c>
      <c r="M143">
        <v>91615</v>
      </c>
      <c r="N143">
        <v>534</v>
      </c>
    </row>
    <row r="144" spans="1:14" x14ac:dyDescent="0.35">
      <c r="A144" t="s">
        <v>167</v>
      </c>
      <c r="B144" t="s">
        <v>15</v>
      </c>
      <c r="C144" t="s">
        <v>16</v>
      </c>
      <c r="D144">
        <v>10</v>
      </c>
      <c r="E144" t="s">
        <v>153</v>
      </c>
      <c r="F144">
        <v>5419</v>
      </c>
      <c r="G144" t="s">
        <v>18</v>
      </c>
      <c r="H144">
        <v>27</v>
      </c>
      <c r="I144" t="s">
        <v>19</v>
      </c>
      <c r="J144">
        <v>2000</v>
      </c>
      <c r="K144">
        <v>2000</v>
      </c>
      <c r="L144" t="s">
        <v>20</v>
      </c>
      <c r="M144">
        <v>82573</v>
      </c>
      <c r="N144">
        <v>534</v>
      </c>
    </row>
    <row r="145" spans="1:14" x14ac:dyDescent="0.35">
      <c r="A145" t="s">
        <v>168</v>
      </c>
      <c r="B145" t="s">
        <v>15</v>
      </c>
      <c r="C145" t="s">
        <v>16</v>
      </c>
      <c r="D145">
        <v>10</v>
      </c>
      <c r="E145" t="s">
        <v>153</v>
      </c>
      <c r="F145">
        <v>5419</v>
      </c>
      <c r="G145" t="s">
        <v>18</v>
      </c>
      <c r="H145">
        <v>27</v>
      </c>
      <c r="I145" t="s">
        <v>19</v>
      </c>
      <c r="J145">
        <v>2001</v>
      </c>
      <c r="K145">
        <v>2001</v>
      </c>
      <c r="L145" t="s">
        <v>20</v>
      </c>
      <c r="M145">
        <v>93071</v>
      </c>
      <c r="N145">
        <v>534</v>
      </c>
    </row>
    <row r="146" spans="1:14" x14ac:dyDescent="0.35">
      <c r="A146" t="s">
        <v>169</v>
      </c>
      <c r="B146" t="s">
        <v>15</v>
      </c>
      <c r="C146" t="s">
        <v>16</v>
      </c>
      <c r="D146">
        <v>10</v>
      </c>
      <c r="E146" t="s">
        <v>153</v>
      </c>
      <c r="F146">
        <v>5419</v>
      </c>
      <c r="G146" t="s">
        <v>18</v>
      </c>
      <c r="H146">
        <v>27</v>
      </c>
      <c r="I146" t="s">
        <v>19</v>
      </c>
      <c r="J146">
        <v>2002</v>
      </c>
      <c r="K146">
        <v>2002</v>
      </c>
      <c r="L146" t="s">
        <v>20</v>
      </c>
      <c r="M146">
        <v>82580</v>
      </c>
      <c r="N146">
        <v>534</v>
      </c>
    </row>
    <row r="147" spans="1:14" x14ac:dyDescent="0.35">
      <c r="A147" t="s">
        <v>170</v>
      </c>
      <c r="B147" t="s">
        <v>15</v>
      </c>
      <c r="C147" t="s">
        <v>16</v>
      </c>
      <c r="D147">
        <v>10</v>
      </c>
      <c r="E147" t="s">
        <v>153</v>
      </c>
      <c r="F147">
        <v>5419</v>
      </c>
      <c r="G147" t="s">
        <v>18</v>
      </c>
      <c r="H147">
        <v>27</v>
      </c>
      <c r="I147" t="s">
        <v>19</v>
      </c>
      <c r="J147">
        <v>2004</v>
      </c>
      <c r="K147">
        <v>2004</v>
      </c>
      <c r="L147" t="s">
        <v>20</v>
      </c>
      <c r="M147">
        <v>83305</v>
      </c>
      <c r="N147">
        <v>534</v>
      </c>
    </row>
    <row r="148" spans="1:14" x14ac:dyDescent="0.35">
      <c r="A148" t="s">
        <v>171</v>
      </c>
      <c r="B148" t="s">
        <v>15</v>
      </c>
      <c r="C148" t="s">
        <v>16</v>
      </c>
      <c r="D148">
        <v>10</v>
      </c>
      <c r="E148" t="s">
        <v>153</v>
      </c>
      <c r="F148">
        <v>5419</v>
      </c>
      <c r="G148" t="s">
        <v>18</v>
      </c>
      <c r="H148">
        <v>27</v>
      </c>
      <c r="I148" t="s">
        <v>19</v>
      </c>
      <c r="J148">
        <v>2005</v>
      </c>
      <c r="K148">
        <v>2005</v>
      </c>
      <c r="L148" t="s">
        <v>20</v>
      </c>
      <c r="M148">
        <v>66168</v>
      </c>
      <c r="N148">
        <v>534</v>
      </c>
    </row>
    <row r="149" spans="1:14" x14ac:dyDescent="0.35">
      <c r="A149" t="s">
        <v>172</v>
      </c>
      <c r="B149" t="s">
        <v>15</v>
      </c>
      <c r="C149" t="s">
        <v>16</v>
      </c>
      <c r="D149">
        <v>10</v>
      </c>
      <c r="E149" t="s">
        <v>153</v>
      </c>
      <c r="F149">
        <v>5419</v>
      </c>
      <c r="G149" t="s">
        <v>18</v>
      </c>
      <c r="H149">
        <v>27</v>
      </c>
      <c r="I149" t="s">
        <v>19</v>
      </c>
      <c r="J149">
        <v>2006</v>
      </c>
      <c r="K149">
        <v>2006</v>
      </c>
      <c r="L149" t="s">
        <v>20</v>
      </c>
      <c r="M149">
        <v>98176</v>
      </c>
      <c r="N149">
        <v>534</v>
      </c>
    </row>
    <row r="150" spans="1:14" x14ac:dyDescent="0.35">
      <c r="A150" t="s">
        <v>173</v>
      </c>
      <c r="B150" t="s">
        <v>15</v>
      </c>
      <c r="C150" t="s">
        <v>16</v>
      </c>
      <c r="D150">
        <v>10</v>
      </c>
      <c r="E150" t="s">
        <v>153</v>
      </c>
      <c r="F150">
        <v>5419</v>
      </c>
      <c r="G150" t="s">
        <v>18</v>
      </c>
      <c r="H150">
        <v>27</v>
      </c>
      <c r="I150" t="s">
        <v>19</v>
      </c>
      <c r="J150">
        <v>2007</v>
      </c>
      <c r="K150">
        <v>2007</v>
      </c>
      <c r="L150" t="s">
        <v>20</v>
      </c>
      <c r="M150">
        <v>82609</v>
      </c>
      <c r="N150">
        <v>534</v>
      </c>
    </row>
    <row r="151" spans="1:14" x14ac:dyDescent="0.35">
      <c r="A151" t="s">
        <v>174</v>
      </c>
      <c r="B151" t="s">
        <v>15</v>
      </c>
      <c r="C151" t="s">
        <v>16</v>
      </c>
      <c r="D151">
        <v>10</v>
      </c>
      <c r="E151" t="s">
        <v>153</v>
      </c>
      <c r="F151">
        <v>5419</v>
      </c>
      <c r="G151" t="s">
        <v>18</v>
      </c>
      <c r="H151">
        <v>27</v>
      </c>
      <c r="I151" t="s">
        <v>19</v>
      </c>
      <c r="J151">
        <v>2008</v>
      </c>
      <c r="K151">
        <v>2008</v>
      </c>
      <c r="L151" t="s">
        <v>20</v>
      </c>
      <c r="M151">
        <v>75988</v>
      </c>
      <c r="N151">
        <v>534</v>
      </c>
    </row>
    <row r="152" spans="1:14" x14ac:dyDescent="0.35">
      <c r="A152" t="s">
        <v>175</v>
      </c>
      <c r="B152" t="s">
        <v>15</v>
      </c>
      <c r="C152" t="s">
        <v>16</v>
      </c>
      <c r="D152">
        <v>10</v>
      </c>
      <c r="E152" t="s">
        <v>153</v>
      </c>
      <c r="F152">
        <v>5419</v>
      </c>
      <c r="G152" t="s">
        <v>18</v>
      </c>
      <c r="H152">
        <v>27</v>
      </c>
      <c r="I152" t="s">
        <v>19</v>
      </c>
      <c r="J152">
        <v>2009</v>
      </c>
      <c r="K152">
        <v>2009</v>
      </c>
      <c r="L152" t="s">
        <v>20</v>
      </c>
      <c r="M152">
        <v>84609</v>
      </c>
      <c r="N152">
        <v>534</v>
      </c>
    </row>
    <row r="153" spans="1:14" x14ac:dyDescent="0.35">
      <c r="A153" t="s">
        <v>176</v>
      </c>
      <c r="B153" t="s">
        <v>15</v>
      </c>
      <c r="C153" t="s">
        <v>16</v>
      </c>
      <c r="D153">
        <v>10</v>
      </c>
      <c r="E153" t="s">
        <v>153</v>
      </c>
      <c r="F153">
        <v>5419</v>
      </c>
      <c r="G153" t="s">
        <v>18</v>
      </c>
      <c r="H153">
        <v>27</v>
      </c>
      <c r="I153" t="s">
        <v>19</v>
      </c>
      <c r="J153">
        <v>2010</v>
      </c>
      <c r="K153">
        <v>2010</v>
      </c>
      <c r="L153" t="s">
        <v>20</v>
      </c>
      <c r="M153">
        <v>103895</v>
      </c>
      <c r="N153">
        <v>534</v>
      </c>
    </row>
    <row r="154" spans="1:14" x14ac:dyDescent="0.35">
      <c r="A154" t="s">
        <v>177</v>
      </c>
      <c r="B154" t="s">
        <v>15</v>
      </c>
      <c r="C154" t="s">
        <v>16</v>
      </c>
      <c r="D154">
        <v>10</v>
      </c>
      <c r="E154" t="s">
        <v>153</v>
      </c>
      <c r="F154">
        <v>5419</v>
      </c>
      <c r="G154" t="s">
        <v>18</v>
      </c>
      <c r="H154">
        <v>27</v>
      </c>
      <c r="I154" t="s">
        <v>19</v>
      </c>
      <c r="J154">
        <v>2011</v>
      </c>
      <c r="K154">
        <v>2011</v>
      </c>
      <c r="L154" t="s">
        <v>20</v>
      </c>
      <c r="M154">
        <v>95441</v>
      </c>
      <c r="N154">
        <v>534</v>
      </c>
    </row>
    <row r="155" spans="1:14" x14ac:dyDescent="0.35">
      <c r="A155" t="s">
        <v>178</v>
      </c>
      <c r="B155" t="s">
        <v>15</v>
      </c>
      <c r="C155" t="s">
        <v>16</v>
      </c>
      <c r="D155">
        <v>10</v>
      </c>
      <c r="E155" t="s">
        <v>153</v>
      </c>
      <c r="F155">
        <v>5419</v>
      </c>
      <c r="G155" t="s">
        <v>18</v>
      </c>
      <c r="H155">
        <v>27</v>
      </c>
      <c r="I155" t="s">
        <v>19</v>
      </c>
      <c r="J155">
        <v>2012</v>
      </c>
      <c r="K155">
        <v>2012</v>
      </c>
      <c r="L155" t="s">
        <v>20</v>
      </c>
      <c r="M155">
        <v>89098</v>
      </c>
      <c r="N155">
        <v>534</v>
      </c>
    </row>
    <row r="156" spans="1:14" x14ac:dyDescent="0.35">
      <c r="A156" t="s">
        <v>179</v>
      </c>
      <c r="B156" t="s">
        <v>15</v>
      </c>
      <c r="C156" t="s">
        <v>16</v>
      </c>
      <c r="D156">
        <v>10</v>
      </c>
      <c r="E156" t="s">
        <v>153</v>
      </c>
      <c r="F156">
        <v>5419</v>
      </c>
      <c r="G156" t="s">
        <v>18</v>
      </c>
      <c r="H156">
        <v>27</v>
      </c>
      <c r="I156" t="s">
        <v>19</v>
      </c>
      <c r="J156">
        <v>2013</v>
      </c>
      <c r="K156">
        <v>2013</v>
      </c>
      <c r="L156" t="s">
        <v>20</v>
      </c>
      <c r="M156">
        <v>102177</v>
      </c>
      <c r="N156">
        <v>534</v>
      </c>
    </row>
    <row r="157" spans="1:14" x14ac:dyDescent="0.35">
      <c r="A157" t="s">
        <v>180</v>
      </c>
      <c r="B157" t="s">
        <v>15</v>
      </c>
      <c r="C157" t="s">
        <v>16</v>
      </c>
      <c r="D157">
        <v>10</v>
      </c>
      <c r="E157" t="s">
        <v>153</v>
      </c>
      <c r="F157">
        <v>5419</v>
      </c>
      <c r="G157" t="s">
        <v>18</v>
      </c>
      <c r="H157">
        <v>27</v>
      </c>
      <c r="I157" t="s">
        <v>19</v>
      </c>
      <c r="J157">
        <v>2014</v>
      </c>
      <c r="K157">
        <v>2014</v>
      </c>
      <c r="L157" t="s">
        <v>20</v>
      </c>
      <c r="M157">
        <v>106827</v>
      </c>
      <c r="N157">
        <v>534</v>
      </c>
    </row>
    <row r="158" spans="1:14" x14ac:dyDescent="0.35">
      <c r="A158" t="s">
        <v>181</v>
      </c>
      <c r="B158" t="s">
        <v>15</v>
      </c>
      <c r="C158" t="s">
        <v>16</v>
      </c>
      <c r="D158">
        <v>10</v>
      </c>
      <c r="E158" t="s">
        <v>153</v>
      </c>
      <c r="F158">
        <v>5419</v>
      </c>
      <c r="G158" t="s">
        <v>18</v>
      </c>
      <c r="H158">
        <v>27</v>
      </c>
      <c r="I158" t="s">
        <v>19</v>
      </c>
      <c r="J158">
        <v>2015</v>
      </c>
      <c r="K158">
        <v>2015</v>
      </c>
      <c r="L158" t="s">
        <v>20</v>
      </c>
      <c r="M158">
        <v>99103</v>
      </c>
      <c r="N158">
        <v>534</v>
      </c>
    </row>
    <row r="159" spans="1:14" x14ac:dyDescent="0.35">
      <c r="A159" t="s">
        <v>182</v>
      </c>
      <c r="B159" t="s">
        <v>15</v>
      </c>
      <c r="C159" t="s">
        <v>16</v>
      </c>
      <c r="D159">
        <v>10</v>
      </c>
      <c r="E159" t="s">
        <v>153</v>
      </c>
      <c r="F159">
        <v>5419</v>
      </c>
      <c r="G159" t="s">
        <v>18</v>
      </c>
      <c r="H159">
        <v>27</v>
      </c>
      <c r="I159" t="s">
        <v>19</v>
      </c>
      <c r="J159">
        <v>2016</v>
      </c>
      <c r="K159">
        <v>2016</v>
      </c>
      <c r="L159" t="s">
        <v>20</v>
      </c>
      <c r="M159">
        <v>102889</v>
      </c>
      <c r="N159">
        <v>534</v>
      </c>
    </row>
    <row r="160" spans="1:14" x14ac:dyDescent="0.35">
      <c r="A160" t="s">
        <v>183</v>
      </c>
      <c r="B160" t="s">
        <v>15</v>
      </c>
      <c r="C160" t="s">
        <v>16</v>
      </c>
      <c r="D160">
        <v>52</v>
      </c>
      <c r="E160" t="s">
        <v>184</v>
      </c>
      <c r="F160">
        <v>5419</v>
      </c>
      <c r="G160" t="s">
        <v>18</v>
      </c>
      <c r="H160">
        <v>27</v>
      </c>
      <c r="I160" t="s">
        <v>19</v>
      </c>
      <c r="J160">
        <v>1992</v>
      </c>
      <c r="K160">
        <v>1992</v>
      </c>
      <c r="L160" t="s">
        <v>20</v>
      </c>
      <c r="M160">
        <v>7292</v>
      </c>
      <c r="N160">
        <v>447</v>
      </c>
    </row>
    <row r="161" spans="1:14" x14ac:dyDescent="0.35">
      <c r="A161" t="s">
        <v>185</v>
      </c>
      <c r="B161" t="s">
        <v>15</v>
      </c>
      <c r="C161" t="s">
        <v>16</v>
      </c>
      <c r="D161">
        <v>52</v>
      </c>
      <c r="E161" t="s">
        <v>184</v>
      </c>
      <c r="F161">
        <v>5419</v>
      </c>
      <c r="G161" t="s">
        <v>18</v>
      </c>
      <c r="H161">
        <v>27</v>
      </c>
      <c r="I161" t="s">
        <v>19</v>
      </c>
      <c r="J161">
        <v>1993</v>
      </c>
      <c r="K161">
        <v>1993</v>
      </c>
      <c r="L161" t="s">
        <v>20</v>
      </c>
      <c r="M161">
        <v>9461</v>
      </c>
      <c r="N161">
        <v>447</v>
      </c>
    </row>
    <row r="162" spans="1:14" x14ac:dyDescent="0.35">
      <c r="A162" t="s">
        <v>186</v>
      </c>
      <c r="B162" t="s">
        <v>15</v>
      </c>
      <c r="C162" t="s">
        <v>16</v>
      </c>
      <c r="D162">
        <v>52</v>
      </c>
      <c r="E162" t="s">
        <v>184</v>
      </c>
      <c r="F162">
        <v>5419</v>
      </c>
      <c r="G162" t="s">
        <v>18</v>
      </c>
      <c r="H162">
        <v>27</v>
      </c>
      <c r="I162" t="s">
        <v>19</v>
      </c>
      <c r="J162">
        <v>1994</v>
      </c>
      <c r="K162">
        <v>1994</v>
      </c>
      <c r="L162" t="s">
        <v>20</v>
      </c>
      <c r="M162">
        <v>10059</v>
      </c>
      <c r="N162">
        <v>447</v>
      </c>
    </row>
    <row r="163" spans="1:14" x14ac:dyDescent="0.35">
      <c r="A163" t="s">
        <v>187</v>
      </c>
      <c r="B163" t="s">
        <v>15</v>
      </c>
      <c r="C163" t="s">
        <v>16</v>
      </c>
      <c r="D163">
        <v>52</v>
      </c>
      <c r="E163" t="s">
        <v>184</v>
      </c>
      <c r="F163">
        <v>5419</v>
      </c>
      <c r="G163" t="s">
        <v>18</v>
      </c>
      <c r="H163">
        <v>27</v>
      </c>
      <c r="I163" t="s">
        <v>19</v>
      </c>
      <c r="J163">
        <v>1995</v>
      </c>
      <c r="K163">
        <v>1995</v>
      </c>
      <c r="L163" t="s">
        <v>20</v>
      </c>
      <c r="M163">
        <v>19890</v>
      </c>
      <c r="N163">
        <v>447</v>
      </c>
    </row>
    <row r="164" spans="1:14" x14ac:dyDescent="0.35">
      <c r="A164" t="s">
        <v>188</v>
      </c>
      <c r="B164" t="s">
        <v>15</v>
      </c>
      <c r="C164" t="s">
        <v>16</v>
      </c>
      <c r="D164">
        <v>52</v>
      </c>
      <c r="E164" t="s">
        <v>184</v>
      </c>
      <c r="F164">
        <v>5419</v>
      </c>
      <c r="G164" t="s">
        <v>18</v>
      </c>
      <c r="H164">
        <v>27</v>
      </c>
      <c r="I164" t="s">
        <v>19</v>
      </c>
      <c r="J164">
        <v>1996</v>
      </c>
      <c r="K164">
        <v>1996</v>
      </c>
      <c r="L164" t="s">
        <v>20</v>
      </c>
      <c r="M164">
        <v>36917</v>
      </c>
      <c r="N164">
        <v>447</v>
      </c>
    </row>
    <row r="165" spans="1:14" x14ac:dyDescent="0.35">
      <c r="A165" t="s">
        <v>189</v>
      </c>
      <c r="B165" t="s">
        <v>15</v>
      </c>
      <c r="C165" t="s">
        <v>16</v>
      </c>
      <c r="D165">
        <v>52</v>
      </c>
      <c r="E165" t="s">
        <v>184</v>
      </c>
      <c r="F165">
        <v>5419</v>
      </c>
      <c r="G165" t="s">
        <v>18</v>
      </c>
      <c r="H165">
        <v>27</v>
      </c>
      <c r="I165" t="s">
        <v>19</v>
      </c>
      <c r="J165">
        <v>1997</v>
      </c>
      <c r="K165">
        <v>1997</v>
      </c>
      <c r="L165" t="s">
        <v>20</v>
      </c>
      <c r="M165">
        <v>46082</v>
      </c>
      <c r="N165">
        <v>447</v>
      </c>
    </row>
    <row r="166" spans="1:14" x14ac:dyDescent="0.35">
      <c r="A166" t="s">
        <v>190</v>
      </c>
      <c r="B166" t="s">
        <v>15</v>
      </c>
      <c r="C166" t="s">
        <v>16</v>
      </c>
      <c r="D166">
        <v>52</v>
      </c>
      <c r="E166" t="s">
        <v>184</v>
      </c>
      <c r="F166">
        <v>5419</v>
      </c>
      <c r="G166" t="s">
        <v>18</v>
      </c>
      <c r="H166">
        <v>27</v>
      </c>
      <c r="I166" t="s">
        <v>19</v>
      </c>
      <c r="J166">
        <v>1998</v>
      </c>
      <c r="K166">
        <v>1998</v>
      </c>
      <c r="L166" t="s">
        <v>20</v>
      </c>
      <c r="M166">
        <v>48046</v>
      </c>
      <c r="N166">
        <v>447</v>
      </c>
    </row>
    <row r="167" spans="1:14" x14ac:dyDescent="0.35">
      <c r="A167" t="s">
        <v>191</v>
      </c>
      <c r="B167" t="s">
        <v>15</v>
      </c>
      <c r="C167" t="s">
        <v>16</v>
      </c>
      <c r="D167">
        <v>52</v>
      </c>
      <c r="E167" t="s">
        <v>184</v>
      </c>
      <c r="F167">
        <v>5419</v>
      </c>
      <c r="G167" t="s">
        <v>18</v>
      </c>
      <c r="H167">
        <v>27</v>
      </c>
      <c r="I167" t="s">
        <v>19</v>
      </c>
      <c r="J167">
        <v>1999</v>
      </c>
      <c r="K167">
        <v>1999</v>
      </c>
      <c r="L167" t="s">
        <v>20</v>
      </c>
      <c r="M167">
        <v>44415</v>
      </c>
      <c r="N167">
        <v>447</v>
      </c>
    </row>
    <row r="168" spans="1:14" x14ac:dyDescent="0.35">
      <c r="A168" t="s">
        <v>192</v>
      </c>
      <c r="B168" t="s">
        <v>15</v>
      </c>
      <c r="C168" t="s">
        <v>16</v>
      </c>
      <c r="D168">
        <v>52</v>
      </c>
      <c r="E168" t="s">
        <v>184</v>
      </c>
      <c r="F168">
        <v>5419</v>
      </c>
      <c r="G168" t="s">
        <v>18</v>
      </c>
      <c r="H168">
        <v>27</v>
      </c>
      <c r="I168" t="s">
        <v>19</v>
      </c>
      <c r="J168">
        <v>2000</v>
      </c>
      <c r="K168">
        <v>2000</v>
      </c>
      <c r="L168" t="s">
        <v>20</v>
      </c>
      <c r="M168">
        <v>50191</v>
      </c>
      <c r="N168">
        <v>447</v>
      </c>
    </row>
    <row r="169" spans="1:14" x14ac:dyDescent="0.35">
      <c r="A169" t="s">
        <v>193</v>
      </c>
      <c r="B169" t="s">
        <v>15</v>
      </c>
      <c r="C169" t="s">
        <v>16</v>
      </c>
      <c r="D169">
        <v>52</v>
      </c>
      <c r="E169" t="s">
        <v>184</v>
      </c>
      <c r="F169">
        <v>5419</v>
      </c>
      <c r="G169" t="s">
        <v>18</v>
      </c>
      <c r="H169">
        <v>27</v>
      </c>
      <c r="I169" t="s">
        <v>19</v>
      </c>
      <c r="J169">
        <v>2001</v>
      </c>
      <c r="K169">
        <v>2001</v>
      </c>
      <c r="L169" t="s">
        <v>20</v>
      </c>
      <c r="M169">
        <v>48495</v>
      </c>
      <c r="N169">
        <v>447</v>
      </c>
    </row>
    <row r="170" spans="1:14" x14ac:dyDescent="0.35">
      <c r="A170" t="s">
        <v>194</v>
      </c>
      <c r="B170" t="s">
        <v>15</v>
      </c>
      <c r="C170" t="s">
        <v>16</v>
      </c>
      <c r="D170">
        <v>52</v>
      </c>
      <c r="E170" t="s">
        <v>184</v>
      </c>
      <c r="F170">
        <v>5419</v>
      </c>
      <c r="G170" t="s">
        <v>18</v>
      </c>
      <c r="H170">
        <v>27</v>
      </c>
      <c r="I170" t="s">
        <v>19</v>
      </c>
      <c r="J170">
        <v>2002</v>
      </c>
      <c r="K170">
        <v>2002</v>
      </c>
      <c r="L170" t="s">
        <v>20</v>
      </c>
      <c r="M170">
        <v>46532</v>
      </c>
      <c r="N170">
        <v>447</v>
      </c>
    </row>
    <row r="171" spans="1:14" x14ac:dyDescent="0.35">
      <c r="A171" t="s">
        <v>195</v>
      </c>
      <c r="B171" t="s">
        <v>15</v>
      </c>
      <c r="C171" t="s">
        <v>16</v>
      </c>
      <c r="D171">
        <v>52</v>
      </c>
      <c r="E171" t="s">
        <v>184</v>
      </c>
      <c r="F171">
        <v>5419</v>
      </c>
      <c r="G171" t="s">
        <v>18</v>
      </c>
      <c r="H171">
        <v>27</v>
      </c>
      <c r="I171" t="s">
        <v>19</v>
      </c>
      <c r="J171">
        <v>2004</v>
      </c>
      <c r="K171">
        <v>2004</v>
      </c>
      <c r="L171" t="s">
        <v>20</v>
      </c>
      <c r="M171">
        <v>39810</v>
      </c>
      <c r="N171">
        <v>447</v>
      </c>
    </row>
    <row r="172" spans="1:14" x14ac:dyDescent="0.35">
      <c r="A172" t="s">
        <v>196</v>
      </c>
      <c r="B172" t="s">
        <v>15</v>
      </c>
      <c r="C172" t="s">
        <v>16</v>
      </c>
      <c r="D172">
        <v>52</v>
      </c>
      <c r="E172" t="s">
        <v>184</v>
      </c>
      <c r="F172">
        <v>5419</v>
      </c>
      <c r="G172" t="s">
        <v>18</v>
      </c>
      <c r="H172">
        <v>27</v>
      </c>
      <c r="I172" t="s">
        <v>19</v>
      </c>
      <c r="J172">
        <v>2005</v>
      </c>
      <c r="K172">
        <v>2005</v>
      </c>
      <c r="L172" t="s">
        <v>20</v>
      </c>
      <c r="M172">
        <v>35903</v>
      </c>
      <c r="N172">
        <v>447</v>
      </c>
    </row>
    <row r="173" spans="1:14" x14ac:dyDescent="0.35">
      <c r="A173" t="s">
        <v>197</v>
      </c>
      <c r="B173" t="s">
        <v>15</v>
      </c>
      <c r="C173" t="s">
        <v>16</v>
      </c>
      <c r="D173">
        <v>52</v>
      </c>
      <c r="E173" t="s">
        <v>184</v>
      </c>
      <c r="F173">
        <v>5419</v>
      </c>
      <c r="G173" t="s">
        <v>18</v>
      </c>
      <c r="H173">
        <v>27</v>
      </c>
      <c r="I173" t="s">
        <v>19</v>
      </c>
      <c r="J173">
        <v>2006</v>
      </c>
      <c r="K173">
        <v>2006</v>
      </c>
      <c r="L173" t="s">
        <v>20</v>
      </c>
      <c r="M173">
        <v>42375</v>
      </c>
      <c r="N173">
        <v>447</v>
      </c>
    </row>
    <row r="174" spans="1:14" x14ac:dyDescent="0.35">
      <c r="A174" t="s">
        <v>198</v>
      </c>
      <c r="B174" t="s">
        <v>15</v>
      </c>
      <c r="C174" t="s">
        <v>16</v>
      </c>
      <c r="D174">
        <v>52</v>
      </c>
      <c r="E174" t="s">
        <v>184</v>
      </c>
      <c r="F174">
        <v>5419</v>
      </c>
      <c r="G174" t="s">
        <v>18</v>
      </c>
      <c r="H174">
        <v>27</v>
      </c>
      <c r="I174" t="s">
        <v>19</v>
      </c>
      <c r="J174">
        <v>2007</v>
      </c>
      <c r="K174">
        <v>2007</v>
      </c>
      <c r="L174" t="s">
        <v>20</v>
      </c>
      <c r="M174">
        <v>33886</v>
      </c>
      <c r="N174">
        <v>447</v>
      </c>
    </row>
    <row r="175" spans="1:14" x14ac:dyDescent="0.35">
      <c r="A175" t="s">
        <v>199</v>
      </c>
      <c r="B175" t="s">
        <v>15</v>
      </c>
      <c r="C175" t="s">
        <v>16</v>
      </c>
      <c r="D175">
        <v>52</v>
      </c>
      <c r="E175" t="s">
        <v>184</v>
      </c>
      <c r="F175">
        <v>5419</v>
      </c>
      <c r="G175" t="s">
        <v>18</v>
      </c>
      <c r="H175">
        <v>27</v>
      </c>
      <c r="I175" t="s">
        <v>19</v>
      </c>
      <c r="J175">
        <v>2008</v>
      </c>
      <c r="K175">
        <v>2008</v>
      </c>
      <c r="L175" t="s">
        <v>20</v>
      </c>
      <c r="M175">
        <v>27973</v>
      </c>
      <c r="N175">
        <v>447</v>
      </c>
    </row>
    <row r="176" spans="1:14" x14ac:dyDescent="0.35">
      <c r="A176" t="s">
        <v>200</v>
      </c>
      <c r="B176" t="s">
        <v>15</v>
      </c>
      <c r="C176" t="s">
        <v>16</v>
      </c>
      <c r="D176">
        <v>52</v>
      </c>
      <c r="E176" t="s">
        <v>184</v>
      </c>
      <c r="F176">
        <v>5419</v>
      </c>
      <c r="G176" t="s">
        <v>18</v>
      </c>
      <c r="H176">
        <v>27</v>
      </c>
      <c r="I176" t="s">
        <v>19</v>
      </c>
      <c r="J176">
        <v>2009</v>
      </c>
      <c r="K176">
        <v>2009</v>
      </c>
      <c r="L176" t="s">
        <v>20</v>
      </c>
      <c r="M176">
        <v>25279</v>
      </c>
      <c r="N176">
        <v>447</v>
      </c>
    </row>
    <row r="177" spans="1:14" x14ac:dyDescent="0.35">
      <c r="A177" t="s">
        <v>201</v>
      </c>
      <c r="B177" t="s">
        <v>15</v>
      </c>
      <c r="C177" t="s">
        <v>16</v>
      </c>
      <c r="D177">
        <v>52</v>
      </c>
      <c r="E177" t="s">
        <v>184</v>
      </c>
      <c r="F177">
        <v>5419</v>
      </c>
      <c r="G177" t="s">
        <v>18</v>
      </c>
      <c r="H177">
        <v>27</v>
      </c>
      <c r="I177" t="s">
        <v>19</v>
      </c>
      <c r="J177">
        <v>2010</v>
      </c>
      <c r="K177">
        <v>2010</v>
      </c>
      <c r="L177" t="s">
        <v>20</v>
      </c>
      <c r="M177">
        <v>23963</v>
      </c>
      <c r="N177">
        <v>447</v>
      </c>
    </row>
    <row r="178" spans="1:14" x14ac:dyDescent="0.35">
      <c r="A178" t="s">
        <v>202</v>
      </c>
      <c r="B178" t="s">
        <v>15</v>
      </c>
      <c r="C178" t="s">
        <v>16</v>
      </c>
      <c r="D178">
        <v>52</v>
      </c>
      <c r="E178" t="s">
        <v>184</v>
      </c>
      <c r="F178">
        <v>5419</v>
      </c>
      <c r="G178" t="s">
        <v>18</v>
      </c>
      <c r="H178">
        <v>27</v>
      </c>
      <c r="I178" t="s">
        <v>19</v>
      </c>
      <c r="J178">
        <v>2011</v>
      </c>
      <c r="K178">
        <v>2011</v>
      </c>
      <c r="L178" t="s">
        <v>20</v>
      </c>
      <c r="M178">
        <v>20947</v>
      </c>
      <c r="N178">
        <v>447</v>
      </c>
    </row>
    <row r="179" spans="1:14" x14ac:dyDescent="0.35">
      <c r="A179" t="s">
        <v>203</v>
      </c>
      <c r="B179" t="s">
        <v>15</v>
      </c>
      <c r="C179" t="s">
        <v>16</v>
      </c>
      <c r="D179">
        <v>52</v>
      </c>
      <c r="E179" t="s">
        <v>184</v>
      </c>
      <c r="F179">
        <v>5419</v>
      </c>
      <c r="G179" t="s">
        <v>18</v>
      </c>
      <c r="H179">
        <v>27</v>
      </c>
      <c r="I179" t="s">
        <v>19</v>
      </c>
      <c r="J179">
        <v>2012</v>
      </c>
      <c r="K179">
        <v>2012</v>
      </c>
      <c r="L179" t="s">
        <v>20</v>
      </c>
      <c r="M179">
        <v>22249</v>
      </c>
      <c r="N179">
        <v>447</v>
      </c>
    </row>
    <row r="180" spans="1:14" x14ac:dyDescent="0.35">
      <c r="A180" t="s">
        <v>204</v>
      </c>
      <c r="B180" t="s">
        <v>15</v>
      </c>
      <c r="C180" t="s">
        <v>16</v>
      </c>
      <c r="D180">
        <v>52</v>
      </c>
      <c r="E180" t="s">
        <v>184</v>
      </c>
      <c r="F180">
        <v>5419</v>
      </c>
      <c r="G180" t="s">
        <v>18</v>
      </c>
      <c r="H180">
        <v>27</v>
      </c>
      <c r="I180" t="s">
        <v>19</v>
      </c>
      <c r="J180">
        <v>2013</v>
      </c>
      <c r="K180">
        <v>2013</v>
      </c>
      <c r="L180" t="s">
        <v>20</v>
      </c>
      <c r="M180">
        <v>22808</v>
      </c>
      <c r="N180">
        <v>447</v>
      </c>
    </row>
    <row r="181" spans="1:14" x14ac:dyDescent="0.35">
      <c r="A181" t="s">
        <v>205</v>
      </c>
      <c r="B181" t="s">
        <v>15</v>
      </c>
      <c r="C181" t="s">
        <v>16</v>
      </c>
      <c r="D181">
        <v>52</v>
      </c>
      <c r="E181" t="s">
        <v>184</v>
      </c>
      <c r="F181">
        <v>5419</v>
      </c>
      <c r="G181" t="s">
        <v>18</v>
      </c>
      <c r="H181">
        <v>27</v>
      </c>
      <c r="I181" t="s">
        <v>19</v>
      </c>
      <c r="J181">
        <v>2014</v>
      </c>
      <c r="K181">
        <v>2014</v>
      </c>
      <c r="L181" t="s">
        <v>20</v>
      </c>
      <c r="M181">
        <v>24646</v>
      </c>
      <c r="N181">
        <v>447</v>
      </c>
    </row>
    <row r="182" spans="1:14" x14ac:dyDescent="0.35">
      <c r="A182" t="s">
        <v>206</v>
      </c>
      <c r="B182" t="s">
        <v>15</v>
      </c>
      <c r="C182" t="s">
        <v>16</v>
      </c>
      <c r="D182">
        <v>52</v>
      </c>
      <c r="E182" t="s">
        <v>184</v>
      </c>
      <c r="F182">
        <v>5419</v>
      </c>
      <c r="G182" t="s">
        <v>18</v>
      </c>
      <c r="H182">
        <v>27</v>
      </c>
      <c r="I182" t="s">
        <v>19</v>
      </c>
      <c r="J182">
        <v>2015</v>
      </c>
      <c r="K182">
        <v>2015</v>
      </c>
      <c r="L182" t="s">
        <v>20</v>
      </c>
      <c r="M182">
        <v>23696</v>
      </c>
      <c r="N182">
        <v>447</v>
      </c>
    </row>
    <row r="183" spans="1:14" x14ac:dyDescent="0.35">
      <c r="A183" t="s">
        <v>207</v>
      </c>
      <c r="B183" t="s">
        <v>15</v>
      </c>
      <c r="C183" t="s">
        <v>16</v>
      </c>
      <c r="D183">
        <v>52</v>
      </c>
      <c r="E183" t="s">
        <v>184</v>
      </c>
      <c r="F183">
        <v>5419</v>
      </c>
      <c r="G183" t="s">
        <v>18</v>
      </c>
      <c r="H183">
        <v>27</v>
      </c>
      <c r="I183" t="s">
        <v>19</v>
      </c>
      <c r="J183">
        <v>2016</v>
      </c>
      <c r="K183">
        <v>2016</v>
      </c>
      <c r="L183" t="s">
        <v>20</v>
      </c>
      <c r="M183">
        <v>21538</v>
      </c>
      <c r="N183">
        <v>447</v>
      </c>
    </row>
    <row r="184" spans="1:14" x14ac:dyDescent="0.35">
      <c r="A184" t="s">
        <v>208</v>
      </c>
      <c r="B184" t="s">
        <v>15</v>
      </c>
      <c r="C184" t="s">
        <v>16</v>
      </c>
      <c r="D184">
        <v>16</v>
      </c>
      <c r="E184" t="s">
        <v>209</v>
      </c>
      <c r="F184">
        <v>5419</v>
      </c>
      <c r="G184" t="s">
        <v>18</v>
      </c>
      <c r="H184">
        <v>27</v>
      </c>
      <c r="I184" t="s">
        <v>19</v>
      </c>
      <c r="J184">
        <v>1985</v>
      </c>
      <c r="K184">
        <v>1985</v>
      </c>
      <c r="L184" t="s">
        <v>20</v>
      </c>
      <c r="M184">
        <v>21693</v>
      </c>
      <c r="N184">
        <v>2666</v>
      </c>
    </row>
    <row r="185" spans="1:14" x14ac:dyDescent="0.35">
      <c r="A185" t="s">
        <v>210</v>
      </c>
      <c r="B185" t="s">
        <v>15</v>
      </c>
      <c r="C185" t="s">
        <v>16</v>
      </c>
      <c r="D185">
        <v>16</v>
      </c>
      <c r="E185" t="s">
        <v>209</v>
      </c>
      <c r="F185">
        <v>5419</v>
      </c>
      <c r="G185" t="s">
        <v>18</v>
      </c>
      <c r="H185">
        <v>27</v>
      </c>
      <c r="I185" t="s">
        <v>19</v>
      </c>
      <c r="J185">
        <v>1986</v>
      </c>
      <c r="K185">
        <v>1986</v>
      </c>
      <c r="L185" t="s">
        <v>20</v>
      </c>
      <c r="M185">
        <v>21783</v>
      </c>
      <c r="N185">
        <v>2666</v>
      </c>
    </row>
    <row r="186" spans="1:14" x14ac:dyDescent="0.35">
      <c r="A186" t="s">
        <v>211</v>
      </c>
      <c r="B186" t="s">
        <v>15</v>
      </c>
      <c r="C186" t="s">
        <v>16</v>
      </c>
      <c r="D186">
        <v>16</v>
      </c>
      <c r="E186" t="s">
        <v>209</v>
      </c>
      <c r="F186">
        <v>5419</v>
      </c>
      <c r="G186" t="s">
        <v>18</v>
      </c>
      <c r="H186">
        <v>27</v>
      </c>
      <c r="I186" t="s">
        <v>19</v>
      </c>
      <c r="J186">
        <v>1987</v>
      </c>
      <c r="K186">
        <v>1987</v>
      </c>
      <c r="L186" t="s">
        <v>20</v>
      </c>
      <c r="M186">
        <v>22399</v>
      </c>
      <c r="N186">
        <v>2666</v>
      </c>
    </row>
    <row r="187" spans="1:14" x14ac:dyDescent="0.35">
      <c r="A187" t="s">
        <v>212</v>
      </c>
      <c r="B187" t="s">
        <v>15</v>
      </c>
      <c r="C187" t="s">
        <v>16</v>
      </c>
      <c r="D187">
        <v>16</v>
      </c>
      <c r="E187" t="s">
        <v>209</v>
      </c>
      <c r="F187">
        <v>5419</v>
      </c>
      <c r="G187" t="s">
        <v>18</v>
      </c>
      <c r="H187">
        <v>27</v>
      </c>
      <c r="I187" t="s">
        <v>19</v>
      </c>
      <c r="J187">
        <v>1989</v>
      </c>
      <c r="K187">
        <v>1989</v>
      </c>
      <c r="L187" t="s">
        <v>20</v>
      </c>
      <c r="M187">
        <v>25562</v>
      </c>
      <c r="N187">
        <v>2666</v>
      </c>
    </row>
    <row r="188" spans="1:14" x14ac:dyDescent="0.35">
      <c r="A188" t="s">
        <v>213</v>
      </c>
      <c r="B188" t="s">
        <v>15</v>
      </c>
      <c r="C188" t="s">
        <v>16</v>
      </c>
      <c r="D188">
        <v>16</v>
      </c>
      <c r="E188" t="s">
        <v>209</v>
      </c>
      <c r="F188">
        <v>5419</v>
      </c>
      <c r="G188" t="s">
        <v>18</v>
      </c>
      <c r="H188">
        <v>27</v>
      </c>
      <c r="I188" t="s">
        <v>19</v>
      </c>
      <c r="J188">
        <v>1990</v>
      </c>
      <c r="K188">
        <v>1990</v>
      </c>
      <c r="L188" t="s">
        <v>20</v>
      </c>
      <c r="M188">
        <v>25661</v>
      </c>
      <c r="N188">
        <v>2666</v>
      </c>
    </row>
    <row r="189" spans="1:14" x14ac:dyDescent="0.35">
      <c r="A189" t="s">
        <v>214</v>
      </c>
      <c r="B189" t="s">
        <v>15</v>
      </c>
      <c r="C189" t="s">
        <v>16</v>
      </c>
      <c r="D189">
        <v>16</v>
      </c>
      <c r="E189" t="s">
        <v>209</v>
      </c>
      <c r="F189">
        <v>5419</v>
      </c>
      <c r="G189" t="s">
        <v>18</v>
      </c>
      <c r="H189">
        <v>27</v>
      </c>
      <c r="I189" t="s">
        <v>19</v>
      </c>
      <c r="J189">
        <v>1991</v>
      </c>
      <c r="K189">
        <v>1991</v>
      </c>
      <c r="L189" t="s">
        <v>20</v>
      </c>
      <c r="M189">
        <v>26592</v>
      </c>
      <c r="N189">
        <v>2666</v>
      </c>
    </row>
    <row r="190" spans="1:14" x14ac:dyDescent="0.35">
      <c r="A190" t="s">
        <v>215</v>
      </c>
      <c r="B190" t="s">
        <v>15</v>
      </c>
      <c r="C190" t="s">
        <v>16</v>
      </c>
      <c r="D190">
        <v>16</v>
      </c>
      <c r="E190" t="s">
        <v>209</v>
      </c>
      <c r="F190">
        <v>5419</v>
      </c>
      <c r="G190" t="s">
        <v>18</v>
      </c>
      <c r="H190">
        <v>27</v>
      </c>
      <c r="I190" t="s">
        <v>19</v>
      </c>
      <c r="J190">
        <v>1992</v>
      </c>
      <c r="K190">
        <v>1992</v>
      </c>
      <c r="L190" t="s">
        <v>20</v>
      </c>
      <c r="M190">
        <v>26893</v>
      </c>
      <c r="N190">
        <v>2666</v>
      </c>
    </row>
    <row r="191" spans="1:14" x14ac:dyDescent="0.35">
      <c r="A191" t="s">
        <v>216</v>
      </c>
      <c r="B191" t="s">
        <v>15</v>
      </c>
      <c r="C191" t="s">
        <v>16</v>
      </c>
      <c r="D191">
        <v>16</v>
      </c>
      <c r="E191" t="s">
        <v>209</v>
      </c>
      <c r="F191">
        <v>5419</v>
      </c>
      <c r="G191" t="s">
        <v>18</v>
      </c>
      <c r="H191">
        <v>27</v>
      </c>
      <c r="I191" t="s">
        <v>19</v>
      </c>
      <c r="J191">
        <v>1993</v>
      </c>
      <c r="K191">
        <v>1993</v>
      </c>
      <c r="L191" t="s">
        <v>20</v>
      </c>
      <c r="M191">
        <v>27185</v>
      </c>
      <c r="N191">
        <v>2666</v>
      </c>
    </row>
    <row r="192" spans="1:14" x14ac:dyDescent="0.35">
      <c r="A192" t="s">
        <v>217</v>
      </c>
      <c r="B192" t="s">
        <v>15</v>
      </c>
      <c r="C192" t="s">
        <v>16</v>
      </c>
      <c r="D192">
        <v>16</v>
      </c>
      <c r="E192" t="s">
        <v>209</v>
      </c>
      <c r="F192">
        <v>5419</v>
      </c>
      <c r="G192" t="s">
        <v>18</v>
      </c>
      <c r="H192">
        <v>27</v>
      </c>
      <c r="I192" t="s">
        <v>19</v>
      </c>
      <c r="J192">
        <v>1994</v>
      </c>
      <c r="K192">
        <v>1994</v>
      </c>
      <c r="L192" t="s">
        <v>20</v>
      </c>
      <c r="M192">
        <v>25328</v>
      </c>
      <c r="N192">
        <v>2666</v>
      </c>
    </row>
    <row r="193" spans="1:14" x14ac:dyDescent="0.35">
      <c r="A193" t="s">
        <v>218</v>
      </c>
      <c r="B193" t="s">
        <v>15</v>
      </c>
      <c r="C193" t="s">
        <v>16</v>
      </c>
      <c r="D193">
        <v>16</v>
      </c>
      <c r="E193" t="s">
        <v>209</v>
      </c>
      <c r="F193">
        <v>5419</v>
      </c>
      <c r="G193" t="s">
        <v>18</v>
      </c>
      <c r="H193">
        <v>27</v>
      </c>
      <c r="I193" t="s">
        <v>19</v>
      </c>
      <c r="J193">
        <v>1995</v>
      </c>
      <c r="K193">
        <v>1995</v>
      </c>
      <c r="L193" t="s">
        <v>20</v>
      </c>
      <c r="M193">
        <v>26527</v>
      </c>
      <c r="N193">
        <v>2666</v>
      </c>
    </row>
    <row r="194" spans="1:14" x14ac:dyDescent="0.35">
      <c r="A194" t="s">
        <v>219</v>
      </c>
      <c r="B194" t="s">
        <v>15</v>
      </c>
      <c r="C194" t="s">
        <v>16</v>
      </c>
      <c r="D194">
        <v>16</v>
      </c>
      <c r="E194" t="s">
        <v>209</v>
      </c>
      <c r="F194">
        <v>5419</v>
      </c>
      <c r="G194" t="s">
        <v>18</v>
      </c>
      <c r="H194">
        <v>27</v>
      </c>
      <c r="I194" t="s">
        <v>19</v>
      </c>
      <c r="J194">
        <v>1996</v>
      </c>
      <c r="K194">
        <v>1996</v>
      </c>
      <c r="L194" t="s">
        <v>20</v>
      </c>
      <c r="M194">
        <v>27629</v>
      </c>
      <c r="N194">
        <v>2666</v>
      </c>
    </row>
    <row r="195" spans="1:14" x14ac:dyDescent="0.35">
      <c r="A195" t="s">
        <v>220</v>
      </c>
      <c r="B195" t="s">
        <v>15</v>
      </c>
      <c r="C195" t="s">
        <v>16</v>
      </c>
      <c r="D195">
        <v>16</v>
      </c>
      <c r="E195" t="s">
        <v>209</v>
      </c>
      <c r="F195">
        <v>5419</v>
      </c>
      <c r="G195" t="s">
        <v>18</v>
      </c>
      <c r="H195">
        <v>27</v>
      </c>
      <c r="I195" t="s">
        <v>19</v>
      </c>
      <c r="J195">
        <v>1997</v>
      </c>
      <c r="K195">
        <v>1997</v>
      </c>
      <c r="L195" t="s">
        <v>20</v>
      </c>
      <c r="M195">
        <v>27431</v>
      </c>
      <c r="N195">
        <v>2666</v>
      </c>
    </row>
    <row r="196" spans="1:14" x14ac:dyDescent="0.35">
      <c r="A196" t="s">
        <v>221</v>
      </c>
      <c r="B196" t="s">
        <v>15</v>
      </c>
      <c r="C196" t="s">
        <v>16</v>
      </c>
      <c r="D196">
        <v>16</v>
      </c>
      <c r="E196" t="s">
        <v>209</v>
      </c>
      <c r="F196">
        <v>5419</v>
      </c>
      <c r="G196" t="s">
        <v>18</v>
      </c>
      <c r="H196">
        <v>27</v>
      </c>
      <c r="I196" t="s">
        <v>19</v>
      </c>
      <c r="J196">
        <v>1998</v>
      </c>
      <c r="K196">
        <v>1998</v>
      </c>
      <c r="L196" t="s">
        <v>20</v>
      </c>
      <c r="M196">
        <v>29358</v>
      </c>
      <c r="N196">
        <v>2666</v>
      </c>
    </row>
    <row r="197" spans="1:14" x14ac:dyDescent="0.35">
      <c r="A197" t="s">
        <v>222</v>
      </c>
      <c r="B197" t="s">
        <v>15</v>
      </c>
      <c r="C197" t="s">
        <v>16</v>
      </c>
      <c r="D197">
        <v>16</v>
      </c>
      <c r="E197" t="s">
        <v>209</v>
      </c>
      <c r="F197">
        <v>5419</v>
      </c>
      <c r="G197" t="s">
        <v>18</v>
      </c>
      <c r="H197">
        <v>27</v>
      </c>
      <c r="I197" t="s">
        <v>19</v>
      </c>
      <c r="J197">
        <v>1999</v>
      </c>
      <c r="K197">
        <v>1999</v>
      </c>
      <c r="L197" t="s">
        <v>20</v>
      </c>
      <c r="M197">
        <v>32139</v>
      </c>
      <c r="N197">
        <v>2666</v>
      </c>
    </row>
    <row r="198" spans="1:14" x14ac:dyDescent="0.35">
      <c r="A198" t="s">
        <v>223</v>
      </c>
      <c r="B198" t="s">
        <v>15</v>
      </c>
      <c r="C198" t="s">
        <v>16</v>
      </c>
      <c r="D198">
        <v>16</v>
      </c>
      <c r="E198" t="s">
        <v>209</v>
      </c>
      <c r="F198">
        <v>5419</v>
      </c>
      <c r="G198" t="s">
        <v>18</v>
      </c>
      <c r="H198">
        <v>27</v>
      </c>
      <c r="I198" t="s">
        <v>19</v>
      </c>
      <c r="J198">
        <v>2000</v>
      </c>
      <c r="K198">
        <v>2000</v>
      </c>
      <c r="L198" t="s">
        <v>20</v>
      </c>
      <c r="M198">
        <v>34836</v>
      </c>
      <c r="N198">
        <v>2666</v>
      </c>
    </row>
    <row r="199" spans="1:14" x14ac:dyDescent="0.35">
      <c r="A199" t="s">
        <v>224</v>
      </c>
      <c r="B199" t="s">
        <v>15</v>
      </c>
      <c r="C199" t="s">
        <v>16</v>
      </c>
      <c r="D199">
        <v>16</v>
      </c>
      <c r="E199" t="s">
        <v>209</v>
      </c>
      <c r="F199">
        <v>5419</v>
      </c>
      <c r="G199" t="s">
        <v>18</v>
      </c>
      <c r="H199">
        <v>27</v>
      </c>
      <c r="I199" t="s">
        <v>19</v>
      </c>
      <c r="J199">
        <v>2001</v>
      </c>
      <c r="K199">
        <v>2001</v>
      </c>
      <c r="L199" t="s">
        <v>20</v>
      </c>
      <c r="M199">
        <v>34020</v>
      </c>
      <c r="N199">
        <v>2666</v>
      </c>
    </row>
    <row r="200" spans="1:14" x14ac:dyDescent="0.35">
      <c r="A200" t="s">
        <v>225</v>
      </c>
      <c r="B200" t="s">
        <v>15</v>
      </c>
      <c r="C200" t="s">
        <v>16</v>
      </c>
      <c r="D200">
        <v>16</v>
      </c>
      <c r="E200" t="s">
        <v>209</v>
      </c>
      <c r="F200">
        <v>5419</v>
      </c>
      <c r="G200" t="s">
        <v>18</v>
      </c>
      <c r="H200">
        <v>27</v>
      </c>
      <c r="I200" t="s">
        <v>19</v>
      </c>
      <c r="J200">
        <v>2002</v>
      </c>
      <c r="K200">
        <v>2002</v>
      </c>
      <c r="L200" t="s">
        <v>20</v>
      </c>
      <c r="M200">
        <v>34902</v>
      </c>
      <c r="N200">
        <v>2666</v>
      </c>
    </row>
    <row r="201" spans="1:14" x14ac:dyDescent="0.35">
      <c r="A201" t="s">
        <v>226</v>
      </c>
      <c r="B201" t="s">
        <v>15</v>
      </c>
      <c r="C201" t="s">
        <v>16</v>
      </c>
      <c r="D201">
        <v>16</v>
      </c>
      <c r="E201" t="s">
        <v>209</v>
      </c>
      <c r="F201">
        <v>5419</v>
      </c>
      <c r="G201" t="s">
        <v>18</v>
      </c>
      <c r="H201">
        <v>27</v>
      </c>
      <c r="I201" t="s">
        <v>19</v>
      </c>
      <c r="J201">
        <v>2004</v>
      </c>
      <c r="K201">
        <v>2004</v>
      </c>
      <c r="L201" t="s">
        <v>20</v>
      </c>
      <c r="M201">
        <v>35359</v>
      </c>
      <c r="N201">
        <v>2666</v>
      </c>
    </row>
    <row r="202" spans="1:14" x14ac:dyDescent="0.35">
      <c r="A202" t="s">
        <v>227</v>
      </c>
      <c r="B202" t="s">
        <v>15</v>
      </c>
      <c r="C202" t="s">
        <v>16</v>
      </c>
      <c r="D202">
        <v>16</v>
      </c>
      <c r="E202" t="s">
        <v>209</v>
      </c>
      <c r="F202">
        <v>5419</v>
      </c>
      <c r="G202" t="s">
        <v>18</v>
      </c>
      <c r="H202">
        <v>27</v>
      </c>
      <c r="I202" t="s">
        <v>19</v>
      </c>
      <c r="J202">
        <v>2005</v>
      </c>
      <c r="K202">
        <v>2005</v>
      </c>
      <c r="L202" t="s">
        <v>20</v>
      </c>
      <c r="M202">
        <v>37814</v>
      </c>
      <c r="N202">
        <v>2666</v>
      </c>
    </row>
    <row r="203" spans="1:14" x14ac:dyDescent="0.35">
      <c r="A203" t="s">
        <v>228</v>
      </c>
      <c r="B203" t="s">
        <v>15</v>
      </c>
      <c r="C203" t="s">
        <v>16</v>
      </c>
      <c r="D203">
        <v>16</v>
      </c>
      <c r="E203" t="s">
        <v>209</v>
      </c>
      <c r="F203">
        <v>5419</v>
      </c>
      <c r="G203" t="s">
        <v>18</v>
      </c>
      <c r="H203">
        <v>27</v>
      </c>
      <c r="I203" t="s">
        <v>19</v>
      </c>
      <c r="J203">
        <v>2006</v>
      </c>
      <c r="K203">
        <v>2006</v>
      </c>
      <c r="L203" t="s">
        <v>20</v>
      </c>
      <c r="M203">
        <v>38541</v>
      </c>
      <c r="N203">
        <v>2666</v>
      </c>
    </row>
    <row r="204" spans="1:14" x14ac:dyDescent="0.35">
      <c r="A204" t="s">
        <v>229</v>
      </c>
      <c r="B204" t="s">
        <v>15</v>
      </c>
      <c r="C204" t="s">
        <v>16</v>
      </c>
      <c r="D204">
        <v>16</v>
      </c>
      <c r="E204" t="s">
        <v>209</v>
      </c>
      <c r="F204">
        <v>5419</v>
      </c>
      <c r="G204" t="s">
        <v>18</v>
      </c>
      <c r="H204">
        <v>27</v>
      </c>
      <c r="I204" t="s">
        <v>19</v>
      </c>
      <c r="J204">
        <v>2007</v>
      </c>
      <c r="K204">
        <v>2007</v>
      </c>
      <c r="L204" t="s">
        <v>20</v>
      </c>
      <c r="M204">
        <v>40833</v>
      </c>
      <c r="N204">
        <v>2666</v>
      </c>
    </row>
    <row r="205" spans="1:14" x14ac:dyDescent="0.35">
      <c r="A205" t="s">
        <v>230</v>
      </c>
      <c r="B205" t="s">
        <v>15</v>
      </c>
      <c r="C205" t="s">
        <v>16</v>
      </c>
      <c r="D205">
        <v>16</v>
      </c>
      <c r="E205" t="s">
        <v>209</v>
      </c>
      <c r="F205">
        <v>5419</v>
      </c>
      <c r="G205" t="s">
        <v>18</v>
      </c>
      <c r="H205">
        <v>27</v>
      </c>
      <c r="I205" t="s">
        <v>19</v>
      </c>
      <c r="J205">
        <v>2008</v>
      </c>
      <c r="K205">
        <v>2008</v>
      </c>
      <c r="L205" t="s">
        <v>20</v>
      </c>
      <c r="M205">
        <v>41441</v>
      </c>
      <c r="N205">
        <v>2666</v>
      </c>
    </row>
    <row r="206" spans="1:14" x14ac:dyDescent="0.35">
      <c r="A206" t="s">
        <v>231</v>
      </c>
      <c r="B206" t="s">
        <v>15</v>
      </c>
      <c r="C206" t="s">
        <v>16</v>
      </c>
      <c r="D206">
        <v>16</v>
      </c>
      <c r="E206" t="s">
        <v>209</v>
      </c>
      <c r="F206">
        <v>5419</v>
      </c>
      <c r="G206" t="s">
        <v>18</v>
      </c>
      <c r="H206">
        <v>27</v>
      </c>
      <c r="I206" t="s">
        <v>19</v>
      </c>
      <c r="J206">
        <v>2009</v>
      </c>
      <c r="K206">
        <v>2009</v>
      </c>
      <c r="L206" t="s">
        <v>20</v>
      </c>
      <c r="M206">
        <v>42404</v>
      </c>
      <c r="N206">
        <v>2666</v>
      </c>
    </row>
    <row r="207" spans="1:14" x14ac:dyDescent="0.35">
      <c r="A207" t="s">
        <v>232</v>
      </c>
      <c r="B207" t="s">
        <v>15</v>
      </c>
      <c r="C207" t="s">
        <v>16</v>
      </c>
      <c r="D207">
        <v>16</v>
      </c>
      <c r="E207" t="s">
        <v>209</v>
      </c>
      <c r="F207">
        <v>5419</v>
      </c>
      <c r="G207" t="s">
        <v>18</v>
      </c>
      <c r="H207">
        <v>27</v>
      </c>
      <c r="I207" t="s">
        <v>19</v>
      </c>
      <c r="J207">
        <v>2010</v>
      </c>
      <c r="K207">
        <v>2010</v>
      </c>
      <c r="L207" t="s">
        <v>20</v>
      </c>
      <c r="M207">
        <v>43422</v>
      </c>
      <c r="N207">
        <v>2666</v>
      </c>
    </row>
    <row r="208" spans="1:14" x14ac:dyDescent="0.35">
      <c r="A208" t="s">
        <v>233</v>
      </c>
      <c r="B208" t="s">
        <v>15</v>
      </c>
      <c r="C208" t="s">
        <v>16</v>
      </c>
      <c r="D208">
        <v>16</v>
      </c>
      <c r="E208" t="s">
        <v>209</v>
      </c>
      <c r="F208">
        <v>5419</v>
      </c>
      <c r="G208" t="s">
        <v>18</v>
      </c>
      <c r="H208">
        <v>27</v>
      </c>
      <c r="I208" t="s">
        <v>19</v>
      </c>
      <c r="J208">
        <v>2011</v>
      </c>
      <c r="K208">
        <v>2011</v>
      </c>
      <c r="L208" t="s">
        <v>20</v>
      </c>
      <c r="M208">
        <v>43917</v>
      </c>
      <c r="N208">
        <v>2666</v>
      </c>
    </row>
    <row r="209" spans="1:14" x14ac:dyDescent="0.35">
      <c r="A209" t="s">
        <v>234</v>
      </c>
      <c r="B209" t="s">
        <v>15</v>
      </c>
      <c r="C209" t="s">
        <v>16</v>
      </c>
      <c r="D209">
        <v>16</v>
      </c>
      <c r="E209" t="s">
        <v>209</v>
      </c>
      <c r="F209">
        <v>5419</v>
      </c>
      <c r="G209" t="s">
        <v>18</v>
      </c>
      <c r="H209">
        <v>27</v>
      </c>
      <c r="I209" t="s">
        <v>19</v>
      </c>
      <c r="J209">
        <v>2012</v>
      </c>
      <c r="K209">
        <v>2012</v>
      </c>
      <c r="L209" t="s">
        <v>20</v>
      </c>
      <c r="M209">
        <v>44206</v>
      </c>
      <c r="N209">
        <v>2666</v>
      </c>
    </row>
    <row r="210" spans="1:14" x14ac:dyDescent="0.35">
      <c r="A210" t="s">
        <v>235</v>
      </c>
      <c r="B210" t="s">
        <v>15</v>
      </c>
      <c r="C210" t="s">
        <v>16</v>
      </c>
      <c r="D210">
        <v>16</v>
      </c>
      <c r="E210" t="s">
        <v>209</v>
      </c>
      <c r="F210">
        <v>5419</v>
      </c>
      <c r="G210" t="s">
        <v>18</v>
      </c>
      <c r="H210">
        <v>27</v>
      </c>
      <c r="I210" t="s">
        <v>19</v>
      </c>
      <c r="J210">
        <v>2013</v>
      </c>
      <c r="K210">
        <v>2013</v>
      </c>
      <c r="L210" t="s">
        <v>20</v>
      </c>
      <c r="M210">
        <v>45317</v>
      </c>
      <c r="N210">
        <v>2666</v>
      </c>
    </row>
    <row r="211" spans="1:14" x14ac:dyDescent="0.35">
      <c r="A211" t="s">
        <v>236</v>
      </c>
      <c r="B211" t="s">
        <v>15</v>
      </c>
      <c r="C211" t="s">
        <v>16</v>
      </c>
      <c r="D211">
        <v>16</v>
      </c>
      <c r="E211" t="s">
        <v>209</v>
      </c>
      <c r="F211">
        <v>5419</v>
      </c>
      <c r="G211" t="s">
        <v>18</v>
      </c>
      <c r="H211">
        <v>27</v>
      </c>
      <c r="I211" t="s">
        <v>19</v>
      </c>
      <c r="J211">
        <v>2014</v>
      </c>
      <c r="K211">
        <v>2014</v>
      </c>
      <c r="L211" t="s">
        <v>20</v>
      </c>
      <c r="M211">
        <v>46226</v>
      </c>
      <c r="N211">
        <v>2666</v>
      </c>
    </row>
    <row r="212" spans="1:14" x14ac:dyDescent="0.35">
      <c r="A212" t="s">
        <v>237</v>
      </c>
      <c r="B212" t="s">
        <v>15</v>
      </c>
      <c r="C212" t="s">
        <v>16</v>
      </c>
      <c r="D212">
        <v>16</v>
      </c>
      <c r="E212" t="s">
        <v>209</v>
      </c>
      <c r="F212">
        <v>5419</v>
      </c>
      <c r="G212" t="s">
        <v>18</v>
      </c>
      <c r="H212">
        <v>27</v>
      </c>
      <c r="I212" t="s">
        <v>19</v>
      </c>
      <c r="J212">
        <v>2015</v>
      </c>
      <c r="K212">
        <v>2015</v>
      </c>
      <c r="L212" t="s">
        <v>20</v>
      </c>
      <c r="M212">
        <v>45093</v>
      </c>
      <c r="N212">
        <v>2666</v>
      </c>
    </row>
    <row r="213" spans="1:14" x14ac:dyDescent="0.35">
      <c r="A213" t="s">
        <v>238</v>
      </c>
      <c r="B213" t="s">
        <v>15</v>
      </c>
      <c r="C213" t="s">
        <v>16</v>
      </c>
      <c r="D213">
        <v>16</v>
      </c>
      <c r="E213" t="s">
        <v>209</v>
      </c>
      <c r="F213">
        <v>5419</v>
      </c>
      <c r="G213" t="s">
        <v>18</v>
      </c>
      <c r="H213">
        <v>27</v>
      </c>
      <c r="I213" t="s">
        <v>19</v>
      </c>
      <c r="J213">
        <v>2016</v>
      </c>
      <c r="K213">
        <v>2016</v>
      </c>
      <c r="L213" t="s">
        <v>20</v>
      </c>
      <c r="M213">
        <v>46188</v>
      </c>
      <c r="N213">
        <v>2666</v>
      </c>
    </row>
    <row r="214" spans="1:14" x14ac:dyDescent="0.35">
      <c r="A214" t="s">
        <v>239</v>
      </c>
      <c r="B214" t="s">
        <v>15</v>
      </c>
      <c r="C214" t="s">
        <v>16</v>
      </c>
      <c r="D214">
        <v>23</v>
      </c>
      <c r="E214" t="s">
        <v>240</v>
      </c>
      <c r="F214">
        <v>5419</v>
      </c>
      <c r="G214" t="s">
        <v>18</v>
      </c>
      <c r="H214">
        <v>27</v>
      </c>
      <c r="I214" t="s">
        <v>19</v>
      </c>
      <c r="J214">
        <v>1985</v>
      </c>
      <c r="K214">
        <v>1985</v>
      </c>
      <c r="L214" t="s">
        <v>20</v>
      </c>
      <c r="M214">
        <v>22749</v>
      </c>
      <c r="N214">
        <v>1705</v>
      </c>
    </row>
    <row r="215" spans="1:14" x14ac:dyDescent="0.35">
      <c r="A215" t="s">
        <v>241</v>
      </c>
      <c r="B215" t="s">
        <v>15</v>
      </c>
      <c r="C215" t="s">
        <v>16</v>
      </c>
      <c r="D215">
        <v>23</v>
      </c>
      <c r="E215" t="s">
        <v>240</v>
      </c>
      <c r="F215">
        <v>5419</v>
      </c>
      <c r="G215" t="s">
        <v>18</v>
      </c>
      <c r="H215">
        <v>27</v>
      </c>
      <c r="I215" t="s">
        <v>19</v>
      </c>
      <c r="J215">
        <v>1986</v>
      </c>
      <c r="K215">
        <v>1986</v>
      </c>
      <c r="L215" t="s">
        <v>20</v>
      </c>
      <c r="M215">
        <v>28784</v>
      </c>
      <c r="N215">
        <v>1705</v>
      </c>
    </row>
    <row r="216" spans="1:14" x14ac:dyDescent="0.35">
      <c r="A216" t="s">
        <v>242</v>
      </c>
      <c r="B216" t="s">
        <v>15</v>
      </c>
      <c r="C216" t="s">
        <v>16</v>
      </c>
      <c r="D216">
        <v>23</v>
      </c>
      <c r="E216" t="s">
        <v>240</v>
      </c>
      <c r="F216">
        <v>5419</v>
      </c>
      <c r="G216" t="s">
        <v>18</v>
      </c>
      <c r="H216">
        <v>27</v>
      </c>
      <c r="I216" t="s">
        <v>19</v>
      </c>
      <c r="J216">
        <v>1987</v>
      </c>
      <c r="K216">
        <v>1987</v>
      </c>
      <c r="L216" t="s">
        <v>20</v>
      </c>
      <c r="M216">
        <v>25517</v>
      </c>
      <c r="N216">
        <v>1705</v>
      </c>
    </row>
    <row r="217" spans="1:14" x14ac:dyDescent="0.35">
      <c r="A217" t="s">
        <v>243</v>
      </c>
      <c r="B217" t="s">
        <v>15</v>
      </c>
      <c r="C217" t="s">
        <v>16</v>
      </c>
      <c r="D217">
        <v>23</v>
      </c>
      <c r="E217" t="s">
        <v>240</v>
      </c>
      <c r="F217">
        <v>5419</v>
      </c>
      <c r="G217" t="s">
        <v>18</v>
      </c>
      <c r="H217">
        <v>27</v>
      </c>
      <c r="I217" t="s">
        <v>19</v>
      </c>
      <c r="J217">
        <v>1989</v>
      </c>
      <c r="K217">
        <v>1989</v>
      </c>
      <c r="L217" t="s">
        <v>20</v>
      </c>
      <c r="M217">
        <v>12117</v>
      </c>
      <c r="N217">
        <v>1705</v>
      </c>
    </row>
    <row r="218" spans="1:14" x14ac:dyDescent="0.35">
      <c r="A218" t="s">
        <v>244</v>
      </c>
      <c r="B218" t="s">
        <v>15</v>
      </c>
      <c r="C218" t="s">
        <v>16</v>
      </c>
      <c r="D218">
        <v>23</v>
      </c>
      <c r="E218" t="s">
        <v>240</v>
      </c>
      <c r="F218">
        <v>5419</v>
      </c>
      <c r="G218" t="s">
        <v>18</v>
      </c>
      <c r="H218">
        <v>27</v>
      </c>
      <c r="I218" t="s">
        <v>19</v>
      </c>
      <c r="J218">
        <v>1990</v>
      </c>
      <c r="K218">
        <v>1990</v>
      </c>
      <c r="L218" t="s">
        <v>20</v>
      </c>
      <c r="M218">
        <v>14419</v>
      </c>
      <c r="N218">
        <v>1705</v>
      </c>
    </row>
    <row r="219" spans="1:14" x14ac:dyDescent="0.35">
      <c r="A219" t="s">
        <v>245</v>
      </c>
      <c r="B219" t="s">
        <v>15</v>
      </c>
      <c r="C219" t="s">
        <v>16</v>
      </c>
      <c r="D219">
        <v>23</v>
      </c>
      <c r="E219" t="s">
        <v>240</v>
      </c>
      <c r="F219">
        <v>5419</v>
      </c>
      <c r="G219" t="s">
        <v>18</v>
      </c>
      <c r="H219">
        <v>27</v>
      </c>
      <c r="I219" t="s">
        <v>19</v>
      </c>
      <c r="J219">
        <v>1991</v>
      </c>
      <c r="K219">
        <v>1991</v>
      </c>
      <c r="L219" t="s">
        <v>20</v>
      </c>
      <c r="M219">
        <v>12896</v>
      </c>
      <c r="N219">
        <v>1705</v>
      </c>
    </row>
    <row r="220" spans="1:14" x14ac:dyDescent="0.35">
      <c r="A220" t="s">
        <v>246</v>
      </c>
      <c r="B220" t="s">
        <v>15</v>
      </c>
      <c r="C220" t="s">
        <v>16</v>
      </c>
      <c r="D220">
        <v>23</v>
      </c>
      <c r="E220" t="s">
        <v>240</v>
      </c>
      <c r="F220">
        <v>5419</v>
      </c>
      <c r="G220" t="s">
        <v>18</v>
      </c>
      <c r="H220">
        <v>27</v>
      </c>
      <c r="I220" t="s">
        <v>19</v>
      </c>
      <c r="J220">
        <v>1992</v>
      </c>
      <c r="K220">
        <v>1992</v>
      </c>
      <c r="L220" t="s">
        <v>20</v>
      </c>
      <c r="M220">
        <v>22756</v>
      </c>
      <c r="N220">
        <v>1705</v>
      </c>
    </row>
    <row r="221" spans="1:14" x14ac:dyDescent="0.35">
      <c r="A221" t="s">
        <v>247</v>
      </c>
      <c r="B221" t="s">
        <v>15</v>
      </c>
      <c r="C221" t="s">
        <v>16</v>
      </c>
      <c r="D221">
        <v>23</v>
      </c>
      <c r="E221" t="s">
        <v>240</v>
      </c>
      <c r="F221">
        <v>5419</v>
      </c>
      <c r="G221" t="s">
        <v>18</v>
      </c>
      <c r="H221">
        <v>27</v>
      </c>
      <c r="I221" t="s">
        <v>19</v>
      </c>
      <c r="J221">
        <v>1993</v>
      </c>
      <c r="K221">
        <v>1993</v>
      </c>
      <c r="L221" t="s">
        <v>20</v>
      </c>
      <c r="M221">
        <v>21874</v>
      </c>
      <c r="N221">
        <v>1705</v>
      </c>
    </row>
    <row r="222" spans="1:14" x14ac:dyDescent="0.35">
      <c r="A222" t="s">
        <v>248</v>
      </c>
      <c r="B222" t="s">
        <v>15</v>
      </c>
      <c r="C222" t="s">
        <v>16</v>
      </c>
      <c r="D222">
        <v>23</v>
      </c>
      <c r="E222" t="s">
        <v>240</v>
      </c>
      <c r="F222">
        <v>5419</v>
      </c>
      <c r="G222" t="s">
        <v>18</v>
      </c>
      <c r="H222">
        <v>27</v>
      </c>
      <c r="I222" t="s">
        <v>19</v>
      </c>
      <c r="J222">
        <v>1994</v>
      </c>
      <c r="K222">
        <v>1994</v>
      </c>
      <c r="L222" t="s">
        <v>20</v>
      </c>
      <c r="M222">
        <v>15005</v>
      </c>
      <c r="N222">
        <v>1705</v>
      </c>
    </row>
    <row r="223" spans="1:14" x14ac:dyDescent="0.35">
      <c r="A223" t="s">
        <v>249</v>
      </c>
      <c r="B223" t="s">
        <v>15</v>
      </c>
      <c r="C223" t="s">
        <v>16</v>
      </c>
      <c r="D223">
        <v>23</v>
      </c>
      <c r="E223" t="s">
        <v>240</v>
      </c>
      <c r="F223">
        <v>5419</v>
      </c>
      <c r="G223" t="s">
        <v>18</v>
      </c>
      <c r="H223">
        <v>27</v>
      </c>
      <c r="I223" t="s">
        <v>19</v>
      </c>
      <c r="J223">
        <v>1995</v>
      </c>
      <c r="K223">
        <v>1995</v>
      </c>
      <c r="L223" t="s">
        <v>20</v>
      </c>
      <c r="M223">
        <v>19521</v>
      </c>
      <c r="N223">
        <v>1705</v>
      </c>
    </row>
    <row r="224" spans="1:14" x14ac:dyDescent="0.35">
      <c r="A224" t="s">
        <v>250</v>
      </c>
      <c r="B224" t="s">
        <v>15</v>
      </c>
      <c r="C224" t="s">
        <v>16</v>
      </c>
      <c r="D224">
        <v>23</v>
      </c>
      <c r="E224" t="s">
        <v>240</v>
      </c>
      <c r="F224">
        <v>5419</v>
      </c>
      <c r="G224" t="s">
        <v>18</v>
      </c>
      <c r="H224">
        <v>27</v>
      </c>
      <c r="I224" t="s">
        <v>19</v>
      </c>
      <c r="J224">
        <v>1996</v>
      </c>
      <c r="K224">
        <v>1996</v>
      </c>
      <c r="L224" t="s">
        <v>20</v>
      </c>
      <c r="M224">
        <v>22010</v>
      </c>
      <c r="N224">
        <v>1705</v>
      </c>
    </row>
    <row r="225" spans="1:14" x14ac:dyDescent="0.35">
      <c r="A225" t="s">
        <v>251</v>
      </c>
      <c r="B225" t="s">
        <v>15</v>
      </c>
      <c r="C225" t="s">
        <v>16</v>
      </c>
      <c r="D225">
        <v>23</v>
      </c>
      <c r="E225" t="s">
        <v>240</v>
      </c>
      <c r="F225">
        <v>5419</v>
      </c>
      <c r="G225" t="s">
        <v>18</v>
      </c>
      <c r="H225">
        <v>27</v>
      </c>
      <c r="I225" t="s">
        <v>19</v>
      </c>
      <c r="J225">
        <v>1997</v>
      </c>
      <c r="K225">
        <v>1997</v>
      </c>
      <c r="L225" t="s">
        <v>20</v>
      </c>
      <c r="M225">
        <v>26767</v>
      </c>
      <c r="N225">
        <v>1705</v>
      </c>
    </row>
    <row r="226" spans="1:14" x14ac:dyDescent="0.35">
      <c r="A226" t="s">
        <v>252</v>
      </c>
      <c r="B226" t="s">
        <v>15</v>
      </c>
      <c r="C226" t="s">
        <v>16</v>
      </c>
      <c r="D226">
        <v>23</v>
      </c>
      <c r="E226" t="s">
        <v>240</v>
      </c>
      <c r="F226">
        <v>5419</v>
      </c>
      <c r="G226" t="s">
        <v>18</v>
      </c>
      <c r="H226">
        <v>27</v>
      </c>
      <c r="I226" t="s">
        <v>19</v>
      </c>
      <c r="J226">
        <v>1998</v>
      </c>
      <c r="K226">
        <v>1998</v>
      </c>
      <c r="L226" t="s">
        <v>20</v>
      </c>
      <c r="M226">
        <v>18107</v>
      </c>
      <c r="N226">
        <v>1705</v>
      </c>
    </row>
    <row r="227" spans="1:14" x14ac:dyDescent="0.35">
      <c r="A227" t="s">
        <v>253</v>
      </c>
      <c r="B227" t="s">
        <v>15</v>
      </c>
      <c r="C227" t="s">
        <v>16</v>
      </c>
      <c r="D227">
        <v>23</v>
      </c>
      <c r="E227" t="s">
        <v>240</v>
      </c>
      <c r="F227">
        <v>5419</v>
      </c>
      <c r="G227" t="s">
        <v>18</v>
      </c>
      <c r="H227">
        <v>27</v>
      </c>
      <c r="I227" t="s">
        <v>19</v>
      </c>
      <c r="J227">
        <v>1999</v>
      </c>
      <c r="K227">
        <v>1999</v>
      </c>
      <c r="L227" t="s">
        <v>20</v>
      </c>
      <c r="M227">
        <v>27409</v>
      </c>
      <c r="N227">
        <v>1705</v>
      </c>
    </row>
    <row r="228" spans="1:14" x14ac:dyDescent="0.35">
      <c r="A228" t="s">
        <v>254</v>
      </c>
      <c r="B228" t="s">
        <v>15</v>
      </c>
      <c r="C228" t="s">
        <v>16</v>
      </c>
      <c r="D228">
        <v>23</v>
      </c>
      <c r="E228" t="s">
        <v>240</v>
      </c>
      <c r="F228">
        <v>5419</v>
      </c>
      <c r="G228" t="s">
        <v>18</v>
      </c>
      <c r="H228">
        <v>27</v>
      </c>
      <c r="I228" t="s">
        <v>19</v>
      </c>
      <c r="J228">
        <v>2000</v>
      </c>
      <c r="K228">
        <v>2000</v>
      </c>
      <c r="L228" t="s">
        <v>20</v>
      </c>
      <c r="M228">
        <v>27172</v>
      </c>
      <c r="N228">
        <v>1705</v>
      </c>
    </row>
    <row r="229" spans="1:14" x14ac:dyDescent="0.35">
      <c r="A229" t="s">
        <v>255</v>
      </c>
      <c r="B229" t="s">
        <v>15</v>
      </c>
      <c r="C229" t="s">
        <v>16</v>
      </c>
      <c r="D229">
        <v>23</v>
      </c>
      <c r="E229" t="s">
        <v>240</v>
      </c>
      <c r="F229">
        <v>5419</v>
      </c>
      <c r="G229" t="s">
        <v>18</v>
      </c>
      <c r="H229">
        <v>27</v>
      </c>
      <c r="I229" t="s">
        <v>19</v>
      </c>
      <c r="J229">
        <v>2001</v>
      </c>
      <c r="K229">
        <v>2001</v>
      </c>
      <c r="L229" t="s">
        <v>20</v>
      </c>
      <c r="M229">
        <v>30137</v>
      </c>
      <c r="N229">
        <v>1705</v>
      </c>
    </row>
    <row r="230" spans="1:14" x14ac:dyDescent="0.35">
      <c r="A230" t="s">
        <v>256</v>
      </c>
      <c r="B230" t="s">
        <v>15</v>
      </c>
      <c r="C230" t="s">
        <v>16</v>
      </c>
      <c r="D230">
        <v>23</v>
      </c>
      <c r="E230" t="s">
        <v>240</v>
      </c>
      <c r="F230">
        <v>5419</v>
      </c>
      <c r="G230" t="s">
        <v>18</v>
      </c>
      <c r="H230">
        <v>27</v>
      </c>
      <c r="I230" t="s">
        <v>19</v>
      </c>
      <c r="J230">
        <v>2002</v>
      </c>
      <c r="K230">
        <v>2002</v>
      </c>
      <c r="L230" t="s">
        <v>20</v>
      </c>
      <c r="M230">
        <v>22935</v>
      </c>
      <c r="N230">
        <v>1705</v>
      </c>
    </row>
    <row r="231" spans="1:14" x14ac:dyDescent="0.35">
      <c r="A231" t="s">
        <v>257</v>
      </c>
      <c r="B231" t="s">
        <v>15</v>
      </c>
      <c r="C231" t="s">
        <v>16</v>
      </c>
      <c r="D231">
        <v>23</v>
      </c>
      <c r="E231" t="s">
        <v>240</v>
      </c>
      <c r="F231">
        <v>5419</v>
      </c>
      <c r="G231" t="s">
        <v>18</v>
      </c>
      <c r="H231">
        <v>27</v>
      </c>
      <c r="I231" t="s">
        <v>19</v>
      </c>
      <c r="J231">
        <v>2004</v>
      </c>
      <c r="K231">
        <v>2004</v>
      </c>
      <c r="L231" t="s">
        <v>20</v>
      </c>
      <c r="M231">
        <v>33294</v>
      </c>
      <c r="N231">
        <v>1705</v>
      </c>
    </row>
    <row r="232" spans="1:14" x14ac:dyDescent="0.35">
      <c r="A232" t="s">
        <v>258</v>
      </c>
      <c r="B232" t="s">
        <v>15</v>
      </c>
      <c r="C232" t="s">
        <v>16</v>
      </c>
      <c r="D232">
        <v>23</v>
      </c>
      <c r="E232" t="s">
        <v>240</v>
      </c>
      <c r="F232">
        <v>5419</v>
      </c>
      <c r="G232" t="s">
        <v>18</v>
      </c>
      <c r="H232">
        <v>27</v>
      </c>
      <c r="I232" t="s">
        <v>19</v>
      </c>
      <c r="J232">
        <v>2005</v>
      </c>
      <c r="K232">
        <v>2005</v>
      </c>
      <c r="L232" t="s">
        <v>20</v>
      </c>
      <c r="M232">
        <v>46984</v>
      </c>
      <c r="N232">
        <v>1705</v>
      </c>
    </row>
    <row r="233" spans="1:14" x14ac:dyDescent="0.35">
      <c r="A233" t="s">
        <v>259</v>
      </c>
      <c r="B233" t="s">
        <v>15</v>
      </c>
      <c r="C233" t="s">
        <v>16</v>
      </c>
      <c r="D233">
        <v>23</v>
      </c>
      <c r="E233" t="s">
        <v>240</v>
      </c>
      <c r="F233">
        <v>5419</v>
      </c>
      <c r="G233" t="s">
        <v>18</v>
      </c>
      <c r="H233">
        <v>27</v>
      </c>
      <c r="I233" t="s">
        <v>19</v>
      </c>
      <c r="J233">
        <v>2006</v>
      </c>
      <c r="K233">
        <v>2006</v>
      </c>
      <c r="L233" t="s">
        <v>20</v>
      </c>
      <c r="M233">
        <v>40697</v>
      </c>
      <c r="N233">
        <v>1705</v>
      </c>
    </row>
    <row r="234" spans="1:14" x14ac:dyDescent="0.35">
      <c r="A234" t="s">
        <v>260</v>
      </c>
      <c r="B234" t="s">
        <v>15</v>
      </c>
      <c r="C234" t="s">
        <v>16</v>
      </c>
      <c r="D234">
        <v>23</v>
      </c>
      <c r="E234" t="s">
        <v>240</v>
      </c>
      <c r="F234">
        <v>5419</v>
      </c>
      <c r="G234" t="s">
        <v>18</v>
      </c>
      <c r="H234">
        <v>27</v>
      </c>
      <c r="I234" t="s">
        <v>19</v>
      </c>
      <c r="J234">
        <v>2007</v>
      </c>
      <c r="K234">
        <v>2007</v>
      </c>
      <c r="L234" t="s">
        <v>20</v>
      </c>
      <c r="M234">
        <v>47872</v>
      </c>
      <c r="N234">
        <v>1705</v>
      </c>
    </row>
    <row r="235" spans="1:14" x14ac:dyDescent="0.35">
      <c r="A235" t="s">
        <v>261</v>
      </c>
      <c r="B235" t="s">
        <v>15</v>
      </c>
      <c r="C235" t="s">
        <v>16</v>
      </c>
      <c r="D235">
        <v>23</v>
      </c>
      <c r="E235" t="s">
        <v>240</v>
      </c>
      <c r="F235">
        <v>5419</v>
      </c>
      <c r="G235" t="s">
        <v>18</v>
      </c>
      <c r="H235">
        <v>27</v>
      </c>
      <c r="I235" t="s">
        <v>19</v>
      </c>
      <c r="J235">
        <v>2008</v>
      </c>
      <c r="K235">
        <v>2008</v>
      </c>
      <c r="L235" t="s">
        <v>20</v>
      </c>
      <c r="M235">
        <v>34749</v>
      </c>
      <c r="N235">
        <v>1705</v>
      </c>
    </row>
    <row r="236" spans="1:14" x14ac:dyDescent="0.35">
      <c r="A236" t="s">
        <v>262</v>
      </c>
      <c r="B236" t="s">
        <v>15</v>
      </c>
      <c r="C236" t="s">
        <v>16</v>
      </c>
      <c r="D236">
        <v>23</v>
      </c>
      <c r="E236" t="s">
        <v>240</v>
      </c>
      <c r="F236">
        <v>5419</v>
      </c>
      <c r="G236" t="s">
        <v>18</v>
      </c>
      <c r="H236">
        <v>27</v>
      </c>
      <c r="I236" t="s">
        <v>19</v>
      </c>
      <c r="J236">
        <v>2009</v>
      </c>
      <c r="K236">
        <v>2009</v>
      </c>
      <c r="L236" t="s">
        <v>20</v>
      </c>
      <c r="M236">
        <v>45021</v>
      </c>
      <c r="N236">
        <v>1705</v>
      </c>
    </row>
    <row r="237" spans="1:14" x14ac:dyDescent="0.35">
      <c r="A237" t="s">
        <v>263</v>
      </c>
      <c r="B237" t="s">
        <v>15</v>
      </c>
      <c r="C237" t="s">
        <v>16</v>
      </c>
      <c r="D237">
        <v>23</v>
      </c>
      <c r="E237" t="s">
        <v>240</v>
      </c>
      <c r="F237">
        <v>5419</v>
      </c>
      <c r="G237" t="s">
        <v>18</v>
      </c>
      <c r="H237">
        <v>27</v>
      </c>
      <c r="I237" t="s">
        <v>19</v>
      </c>
      <c r="J237">
        <v>2010</v>
      </c>
      <c r="K237">
        <v>2010</v>
      </c>
      <c r="L237" t="s">
        <v>20</v>
      </c>
      <c r="M237">
        <v>44538</v>
      </c>
      <c r="N237">
        <v>1705</v>
      </c>
    </row>
    <row r="238" spans="1:14" x14ac:dyDescent="0.35">
      <c r="A238" t="s">
        <v>264</v>
      </c>
      <c r="B238" t="s">
        <v>15</v>
      </c>
      <c r="C238" t="s">
        <v>16</v>
      </c>
      <c r="D238">
        <v>23</v>
      </c>
      <c r="E238" t="s">
        <v>240</v>
      </c>
      <c r="F238">
        <v>5419</v>
      </c>
      <c r="G238" t="s">
        <v>18</v>
      </c>
      <c r="H238">
        <v>27</v>
      </c>
      <c r="I238" t="s">
        <v>19</v>
      </c>
      <c r="J238">
        <v>2011</v>
      </c>
      <c r="K238">
        <v>2011</v>
      </c>
      <c r="L238" t="s">
        <v>20</v>
      </c>
      <c r="M238">
        <v>42831</v>
      </c>
      <c r="N238">
        <v>1705</v>
      </c>
    </row>
    <row r="239" spans="1:14" x14ac:dyDescent="0.35">
      <c r="A239" t="s">
        <v>265</v>
      </c>
      <c r="B239" t="s">
        <v>15</v>
      </c>
      <c r="C239" t="s">
        <v>16</v>
      </c>
      <c r="D239">
        <v>23</v>
      </c>
      <c r="E239" t="s">
        <v>240</v>
      </c>
      <c r="F239">
        <v>5419</v>
      </c>
      <c r="G239" t="s">
        <v>18</v>
      </c>
      <c r="H239">
        <v>27</v>
      </c>
      <c r="I239" t="s">
        <v>19</v>
      </c>
      <c r="J239">
        <v>2012</v>
      </c>
      <c r="K239">
        <v>2012</v>
      </c>
      <c r="L239" t="s">
        <v>20</v>
      </c>
      <c r="M239">
        <v>45437</v>
      </c>
      <c r="N239">
        <v>1705</v>
      </c>
    </row>
    <row r="240" spans="1:14" x14ac:dyDescent="0.35">
      <c r="A240" t="s">
        <v>266</v>
      </c>
      <c r="B240" t="s">
        <v>15</v>
      </c>
      <c r="C240" t="s">
        <v>16</v>
      </c>
      <c r="D240">
        <v>23</v>
      </c>
      <c r="E240" t="s">
        <v>240</v>
      </c>
      <c r="F240">
        <v>5419</v>
      </c>
      <c r="G240" t="s">
        <v>18</v>
      </c>
      <c r="H240">
        <v>27</v>
      </c>
      <c r="I240" t="s">
        <v>19</v>
      </c>
      <c r="J240">
        <v>2013</v>
      </c>
      <c r="K240">
        <v>2013</v>
      </c>
      <c r="L240" t="s">
        <v>20</v>
      </c>
      <c r="M240">
        <v>52229</v>
      </c>
      <c r="N240">
        <v>1705</v>
      </c>
    </row>
    <row r="241" spans="1:14" x14ac:dyDescent="0.35">
      <c r="A241" t="s">
        <v>267</v>
      </c>
      <c r="B241" t="s">
        <v>15</v>
      </c>
      <c r="C241" t="s">
        <v>16</v>
      </c>
      <c r="D241">
        <v>23</v>
      </c>
      <c r="E241" t="s">
        <v>240</v>
      </c>
      <c r="F241">
        <v>5419</v>
      </c>
      <c r="G241" t="s">
        <v>18</v>
      </c>
      <c r="H241">
        <v>27</v>
      </c>
      <c r="I241" t="s">
        <v>19</v>
      </c>
      <c r="J241">
        <v>2014</v>
      </c>
      <c r="K241">
        <v>2014</v>
      </c>
      <c r="L241" t="s">
        <v>20</v>
      </c>
      <c r="M241">
        <v>46309</v>
      </c>
      <c r="N241">
        <v>1705</v>
      </c>
    </row>
    <row r="242" spans="1:14" x14ac:dyDescent="0.35">
      <c r="A242" t="s">
        <v>268</v>
      </c>
      <c r="B242" t="s">
        <v>15</v>
      </c>
      <c r="C242" t="s">
        <v>16</v>
      </c>
      <c r="D242">
        <v>23</v>
      </c>
      <c r="E242" t="s">
        <v>240</v>
      </c>
      <c r="F242">
        <v>5419</v>
      </c>
      <c r="G242" t="s">
        <v>18</v>
      </c>
      <c r="H242">
        <v>27</v>
      </c>
      <c r="I242" t="s">
        <v>19</v>
      </c>
      <c r="J242">
        <v>2015</v>
      </c>
      <c r="K242">
        <v>2015</v>
      </c>
      <c r="L242" t="s">
        <v>20</v>
      </c>
      <c r="M242">
        <v>42422</v>
      </c>
      <c r="N242">
        <v>1705</v>
      </c>
    </row>
    <row r="243" spans="1:14" x14ac:dyDescent="0.35">
      <c r="A243" t="s">
        <v>269</v>
      </c>
      <c r="B243" t="s">
        <v>15</v>
      </c>
      <c r="C243" t="s">
        <v>16</v>
      </c>
      <c r="D243">
        <v>23</v>
      </c>
      <c r="E243" t="s">
        <v>240</v>
      </c>
      <c r="F243">
        <v>5419</v>
      </c>
      <c r="G243" t="s">
        <v>18</v>
      </c>
      <c r="H243">
        <v>27</v>
      </c>
      <c r="I243" t="s">
        <v>19</v>
      </c>
      <c r="J243">
        <v>2016</v>
      </c>
      <c r="K243">
        <v>2016</v>
      </c>
      <c r="L243" t="s">
        <v>20</v>
      </c>
      <c r="M243">
        <v>47752</v>
      </c>
      <c r="N243">
        <v>1705</v>
      </c>
    </row>
    <row r="244" spans="1:14" x14ac:dyDescent="0.35">
      <c r="A244" t="s">
        <v>270</v>
      </c>
      <c r="B244" t="s">
        <v>15</v>
      </c>
      <c r="C244" t="s">
        <v>16</v>
      </c>
      <c r="D244">
        <v>53</v>
      </c>
      <c r="E244" t="s">
        <v>271</v>
      </c>
      <c r="F244">
        <v>5419</v>
      </c>
      <c r="G244" t="s">
        <v>18</v>
      </c>
      <c r="H244">
        <v>27</v>
      </c>
      <c r="I244" t="s">
        <v>19</v>
      </c>
      <c r="J244">
        <v>1985</v>
      </c>
      <c r="K244">
        <v>1985</v>
      </c>
      <c r="L244" t="s">
        <v>20</v>
      </c>
      <c r="M244">
        <v>12783</v>
      </c>
      <c r="N244">
        <v>1039</v>
      </c>
    </row>
    <row r="245" spans="1:14" x14ac:dyDescent="0.35">
      <c r="A245" t="s">
        <v>272</v>
      </c>
      <c r="B245" t="s">
        <v>15</v>
      </c>
      <c r="C245" t="s">
        <v>16</v>
      </c>
      <c r="D245">
        <v>53</v>
      </c>
      <c r="E245" t="s">
        <v>271</v>
      </c>
      <c r="F245">
        <v>5419</v>
      </c>
      <c r="G245" t="s">
        <v>18</v>
      </c>
      <c r="H245">
        <v>27</v>
      </c>
      <c r="I245" t="s">
        <v>19</v>
      </c>
      <c r="J245">
        <v>1986</v>
      </c>
      <c r="K245">
        <v>1986</v>
      </c>
      <c r="L245" t="s">
        <v>20</v>
      </c>
      <c r="M245">
        <v>12119</v>
      </c>
      <c r="N245">
        <v>1039</v>
      </c>
    </row>
    <row r="246" spans="1:14" x14ac:dyDescent="0.35">
      <c r="A246" t="s">
        <v>273</v>
      </c>
      <c r="B246" t="s">
        <v>15</v>
      </c>
      <c r="C246" t="s">
        <v>16</v>
      </c>
      <c r="D246">
        <v>53</v>
      </c>
      <c r="E246" t="s">
        <v>271</v>
      </c>
      <c r="F246">
        <v>5419</v>
      </c>
      <c r="G246" t="s">
        <v>18</v>
      </c>
      <c r="H246">
        <v>27</v>
      </c>
      <c r="I246" t="s">
        <v>19</v>
      </c>
      <c r="J246">
        <v>1987</v>
      </c>
      <c r="K246">
        <v>1987</v>
      </c>
      <c r="L246" t="s">
        <v>20</v>
      </c>
      <c r="M246">
        <v>11704</v>
      </c>
      <c r="N246">
        <v>1039</v>
      </c>
    </row>
    <row r="247" spans="1:14" x14ac:dyDescent="0.35">
      <c r="A247" t="s">
        <v>274</v>
      </c>
      <c r="B247" t="s">
        <v>15</v>
      </c>
      <c r="C247" t="s">
        <v>16</v>
      </c>
      <c r="D247">
        <v>53</v>
      </c>
      <c r="E247" t="s">
        <v>271</v>
      </c>
      <c r="F247">
        <v>5419</v>
      </c>
      <c r="G247" t="s">
        <v>18</v>
      </c>
      <c r="H247">
        <v>27</v>
      </c>
      <c r="I247" t="s">
        <v>19</v>
      </c>
      <c r="J247">
        <v>1989</v>
      </c>
      <c r="K247">
        <v>1989</v>
      </c>
      <c r="L247" t="s">
        <v>20</v>
      </c>
      <c r="M247">
        <v>13752</v>
      </c>
      <c r="N247">
        <v>1039</v>
      </c>
    </row>
    <row r="248" spans="1:14" x14ac:dyDescent="0.35">
      <c r="A248" t="s">
        <v>275</v>
      </c>
      <c r="B248" t="s">
        <v>15</v>
      </c>
      <c r="C248" t="s">
        <v>16</v>
      </c>
      <c r="D248">
        <v>53</v>
      </c>
      <c r="E248" t="s">
        <v>271</v>
      </c>
      <c r="F248">
        <v>5419</v>
      </c>
      <c r="G248" t="s">
        <v>18</v>
      </c>
      <c r="H248">
        <v>27</v>
      </c>
      <c r="I248" t="s">
        <v>19</v>
      </c>
      <c r="J248">
        <v>1990</v>
      </c>
      <c r="K248">
        <v>1990</v>
      </c>
      <c r="L248" t="s">
        <v>20</v>
      </c>
      <c r="M248">
        <v>13961</v>
      </c>
      <c r="N248">
        <v>1039</v>
      </c>
    </row>
    <row r="249" spans="1:14" x14ac:dyDescent="0.35">
      <c r="A249" t="s">
        <v>276</v>
      </c>
      <c r="B249" t="s">
        <v>15</v>
      </c>
      <c r="C249" t="s">
        <v>16</v>
      </c>
      <c r="D249">
        <v>53</v>
      </c>
      <c r="E249" t="s">
        <v>271</v>
      </c>
      <c r="F249">
        <v>5419</v>
      </c>
      <c r="G249" t="s">
        <v>18</v>
      </c>
      <c r="H249">
        <v>27</v>
      </c>
      <c r="I249" t="s">
        <v>19</v>
      </c>
      <c r="J249">
        <v>1991</v>
      </c>
      <c r="K249">
        <v>1991</v>
      </c>
      <c r="L249" t="s">
        <v>20</v>
      </c>
      <c r="M249">
        <v>13423</v>
      </c>
      <c r="N249">
        <v>1039</v>
      </c>
    </row>
    <row r="250" spans="1:14" x14ac:dyDescent="0.35">
      <c r="A250" t="s">
        <v>277</v>
      </c>
      <c r="B250" t="s">
        <v>15</v>
      </c>
      <c r="C250" t="s">
        <v>16</v>
      </c>
      <c r="D250">
        <v>53</v>
      </c>
      <c r="E250" t="s">
        <v>271</v>
      </c>
      <c r="F250">
        <v>5419</v>
      </c>
      <c r="G250" t="s">
        <v>18</v>
      </c>
      <c r="H250">
        <v>27</v>
      </c>
      <c r="I250" t="s">
        <v>19</v>
      </c>
      <c r="J250">
        <v>1992</v>
      </c>
      <c r="K250">
        <v>1992</v>
      </c>
      <c r="L250" t="s">
        <v>20</v>
      </c>
      <c r="M250">
        <v>13344</v>
      </c>
      <c r="N250">
        <v>1039</v>
      </c>
    </row>
    <row r="251" spans="1:14" x14ac:dyDescent="0.35">
      <c r="A251" t="s">
        <v>278</v>
      </c>
      <c r="B251" t="s">
        <v>15</v>
      </c>
      <c r="C251" t="s">
        <v>16</v>
      </c>
      <c r="D251">
        <v>53</v>
      </c>
      <c r="E251" t="s">
        <v>271</v>
      </c>
      <c r="F251">
        <v>5419</v>
      </c>
      <c r="G251" t="s">
        <v>18</v>
      </c>
      <c r="H251">
        <v>27</v>
      </c>
      <c r="I251" t="s">
        <v>19</v>
      </c>
      <c r="J251">
        <v>1993</v>
      </c>
      <c r="K251">
        <v>1993</v>
      </c>
      <c r="L251" t="s">
        <v>20</v>
      </c>
      <c r="M251">
        <v>13177</v>
      </c>
      <c r="N251">
        <v>1039</v>
      </c>
    </row>
    <row r="252" spans="1:14" x14ac:dyDescent="0.35">
      <c r="A252" t="s">
        <v>279</v>
      </c>
      <c r="B252" t="s">
        <v>15</v>
      </c>
      <c r="C252" t="s">
        <v>16</v>
      </c>
      <c r="D252">
        <v>53</v>
      </c>
      <c r="E252" t="s">
        <v>271</v>
      </c>
      <c r="F252">
        <v>5419</v>
      </c>
      <c r="G252" t="s">
        <v>18</v>
      </c>
      <c r="H252">
        <v>27</v>
      </c>
      <c r="I252" t="s">
        <v>19</v>
      </c>
      <c r="J252">
        <v>1994</v>
      </c>
      <c r="K252">
        <v>1994</v>
      </c>
      <c r="L252" t="s">
        <v>20</v>
      </c>
      <c r="M252">
        <v>15666</v>
      </c>
      <c r="N252">
        <v>1039</v>
      </c>
    </row>
    <row r="253" spans="1:14" x14ac:dyDescent="0.35">
      <c r="A253" t="s">
        <v>280</v>
      </c>
      <c r="B253" t="s">
        <v>15</v>
      </c>
      <c r="C253" t="s">
        <v>16</v>
      </c>
      <c r="D253">
        <v>53</v>
      </c>
      <c r="E253" t="s">
        <v>271</v>
      </c>
      <c r="F253">
        <v>5419</v>
      </c>
      <c r="G253" t="s">
        <v>18</v>
      </c>
      <c r="H253">
        <v>27</v>
      </c>
      <c r="I253" t="s">
        <v>19</v>
      </c>
      <c r="J253">
        <v>1995</v>
      </c>
      <c r="K253">
        <v>1995</v>
      </c>
      <c r="L253" t="s">
        <v>20</v>
      </c>
      <c r="M253">
        <v>16654</v>
      </c>
      <c r="N253">
        <v>1039</v>
      </c>
    </row>
    <row r="254" spans="1:14" x14ac:dyDescent="0.35">
      <c r="A254" t="s">
        <v>281</v>
      </c>
      <c r="B254" t="s">
        <v>15</v>
      </c>
      <c r="C254" t="s">
        <v>16</v>
      </c>
      <c r="D254">
        <v>53</v>
      </c>
      <c r="E254" t="s">
        <v>271</v>
      </c>
      <c r="F254">
        <v>5419</v>
      </c>
      <c r="G254" t="s">
        <v>18</v>
      </c>
      <c r="H254">
        <v>27</v>
      </c>
      <c r="I254" t="s">
        <v>19</v>
      </c>
      <c r="J254">
        <v>1996</v>
      </c>
      <c r="K254">
        <v>1996</v>
      </c>
      <c r="L254" t="s">
        <v>20</v>
      </c>
      <c r="M254">
        <v>18498</v>
      </c>
      <c r="N254">
        <v>1039</v>
      </c>
    </row>
    <row r="255" spans="1:14" x14ac:dyDescent="0.35">
      <c r="A255" t="s">
        <v>282</v>
      </c>
      <c r="B255" t="s">
        <v>15</v>
      </c>
      <c r="C255" t="s">
        <v>16</v>
      </c>
      <c r="D255">
        <v>53</v>
      </c>
      <c r="E255" t="s">
        <v>271</v>
      </c>
      <c r="F255">
        <v>5419</v>
      </c>
      <c r="G255" t="s">
        <v>18</v>
      </c>
      <c r="H255">
        <v>27</v>
      </c>
      <c r="I255" t="s">
        <v>19</v>
      </c>
      <c r="J255">
        <v>1997</v>
      </c>
      <c r="K255">
        <v>1997</v>
      </c>
      <c r="L255" t="s">
        <v>20</v>
      </c>
      <c r="M255">
        <v>18827</v>
      </c>
      <c r="N255">
        <v>1039</v>
      </c>
    </row>
    <row r="256" spans="1:14" x14ac:dyDescent="0.35">
      <c r="A256" t="s">
        <v>283</v>
      </c>
      <c r="B256" t="s">
        <v>15</v>
      </c>
      <c r="C256" t="s">
        <v>16</v>
      </c>
      <c r="D256">
        <v>53</v>
      </c>
      <c r="E256" t="s">
        <v>271</v>
      </c>
      <c r="F256">
        <v>5419</v>
      </c>
      <c r="G256" t="s">
        <v>18</v>
      </c>
      <c r="H256">
        <v>27</v>
      </c>
      <c r="I256" t="s">
        <v>19</v>
      </c>
      <c r="J256">
        <v>1998</v>
      </c>
      <c r="K256">
        <v>1998</v>
      </c>
      <c r="L256" t="s">
        <v>20</v>
      </c>
      <c r="M256">
        <v>20822</v>
      </c>
      <c r="N256">
        <v>1039</v>
      </c>
    </row>
    <row r="257" spans="1:14" x14ac:dyDescent="0.35">
      <c r="A257" t="s">
        <v>284</v>
      </c>
      <c r="B257" t="s">
        <v>15</v>
      </c>
      <c r="C257" t="s">
        <v>16</v>
      </c>
      <c r="D257">
        <v>53</v>
      </c>
      <c r="E257" t="s">
        <v>271</v>
      </c>
      <c r="F257">
        <v>5419</v>
      </c>
      <c r="G257" t="s">
        <v>18</v>
      </c>
      <c r="H257">
        <v>27</v>
      </c>
      <c r="I257" t="s">
        <v>19</v>
      </c>
      <c r="J257">
        <v>1999</v>
      </c>
      <c r="K257">
        <v>1999</v>
      </c>
      <c r="L257" t="s">
        <v>20</v>
      </c>
      <c r="M257">
        <v>19384</v>
      </c>
      <c r="N257">
        <v>1039</v>
      </c>
    </row>
    <row r="258" spans="1:14" x14ac:dyDescent="0.35">
      <c r="A258" t="s">
        <v>285</v>
      </c>
      <c r="B258" t="s">
        <v>15</v>
      </c>
      <c r="C258" t="s">
        <v>16</v>
      </c>
      <c r="D258">
        <v>53</v>
      </c>
      <c r="E258" t="s">
        <v>271</v>
      </c>
      <c r="F258">
        <v>5419</v>
      </c>
      <c r="G258" t="s">
        <v>18</v>
      </c>
      <c r="H258">
        <v>27</v>
      </c>
      <c r="I258" t="s">
        <v>19</v>
      </c>
      <c r="J258">
        <v>2000</v>
      </c>
      <c r="K258">
        <v>2000</v>
      </c>
      <c r="L258" t="s">
        <v>20</v>
      </c>
      <c r="M258">
        <v>21114</v>
      </c>
      <c r="N258">
        <v>1039</v>
      </c>
    </row>
    <row r="259" spans="1:14" x14ac:dyDescent="0.35">
      <c r="A259" t="s">
        <v>286</v>
      </c>
      <c r="B259" t="s">
        <v>15</v>
      </c>
      <c r="C259" t="s">
        <v>16</v>
      </c>
      <c r="D259">
        <v>53</v>
      </c>
      <c r="E259" t="s">
        <v>271</v>
      </c>
      <c r="F259">
        <v>5419</v>
      </c>
      <c r="G259" t="s">
        <v>18</v>
      </c>
      <c r="H259">
        <v>27</v>
      </c>
      <c r="I259" t="s">
        <v>19</v>
      </c>
      <c r="J259">
        <v>2001</v>
      </c>
      <c r="K259">
        <v>2001</v>
      </c>
      <c r="L259" t="s">
        <v>20</v>
      </c>
      <c r="M259">
        <v>20714</v>
      </c>
      <c r="N259">
        <v>1039</v>
      </c>
    </row>
    <row r="260" spans="1:14" x14ac:dyDescent="0.35">
      <c r="A260" t="s">
        <v>287</v>
      </c>
      <c r="B260" t="s">
        <v>15</v>
      </c>
      <c r="C260" t="s">
        <v>16</v>
      </c>
      <c r="D260">
        <v>53</v>
      </c>
      <c r="E260" t="s">
        <v>271</v>
      </c>
      <c r="F260">
        <v>5419</v>
      </c>
      <c r="G260" t="s">
        <v>18</v>
      </c>
      <c r="H260">
        <v>27</v>
      </c>
      <c r="I260" t="s">
        <v>19</v>
      </c>
      <c r="J260">
        <v>2002</v>
      </c>
      <c r="K260">
        <v>2002</v>
      </c>
      <c r="L260" t="s">
        <v>20</v>
      </c>
      <c r="M260">
        <v>21961</v>
      </c>
      <c r="N260">
        <v>1039</v>
      </c>
    </row>
    <row r="261" spans="1:14" x14ac:dyDescent="0.35">
      <c r="A261" t="s">
        <v>288</v>
      </c>
      <c r="B261" t="s">
        <v>15</v>
      </c>
      <c r="C261" t="s">
        <v>16</v>
      </c>
      <c r="D261">
        <v>53</v>
      </c>
      <c r="E261" t="s">
        <v>271</v>
      </c>
      <c r="F261">
        <v>5419</v>
      </c>
      <c r="G261" t="s">
        <v>18</v>
      </c>
      <c r="H261">
        <v>27</v>
      </c>
      <c r="I261" t="s">
        <v>19</v>
      </c>
      <c r="J261">
        <v>2004</v>
      </c>
      <c r="K261">
        <v>2004</v>
      </c>
      <c r="L261" t="s">
        <v>20</v>
      </c>
      <c r="M261">
        <v>26137</v>
      </c>
      <c r="N261">
        <v>1039</v>
      </c>
    </row>
    <row r="262" spans="1:14" x14ac:dyDescent="0.35">
      <c r="A262" t="s">
        <v>289</v>
      </c>
      <c r="B262" t="s">
        <v>15</v>
      </c>
      <c r="C262" t="s">
        <v>16</v>
      </c>
      <c r="D262">
        <v>53</v>
      </c>
      <c r="E262" t="s">
        <v>271</v>
      </c>
      <c r="F262">
        <v>5419</v>
      </c>
      <c r="G262" t="s">
        <v>18</v>
      </c>
      <c r="H262">
        <v>27</v>
      </c>
      <c r="I262" t="s">
        <v>19</v>
      </c>
      <c r="J262">
        <v>2005</v>
      </c>
      <c r="K262">
        <v>2005</v>
      </c>
      <c r="L262" t="s">
        <v>20</v>
      </c>
      <c r="M262">
        <v>27100</v>
      </c>
      <c r="N262">
        <v>1039</v>
      </c>
    </row>
    <row r="263" spans="1:14" x14ac:dyDescent="0.35">
      <c r="A263" t="s">
        <v>290</v>
      </c>
      <c r="B263" t="s">
        <v>15</v>
      </c>
      <c r="C263" t="s">
        <v>16</v>
      </c>
      <c r="D263">
        <v>53</v>
      </c>
      <c r="E263" t="s">
        <v>271</v>
      </c>
      <c r="F263">
        <v>5419</v>
      </c>
      <c r="G263" t="s">
        <v>18</v>
      </c>
      <c r="H263">
        <v>27</v>
      </c>
      <c r="I263" t="s">
        <v>19</v>
      </c>
      <c r="J263">
        <v>2006</v>
      </c>
      <c r="K263">
        <v>2006</v>
      </c>
      <c r="L263" t="s">
        <v>20</v>
      </c>
      <c r="M263">
        <v>23678</v>
      </c>
      <c r="N263">
        <v>1039</v>
      </c>
    </row>
    <row r="264" spans="1:14" x14ac:dyDescent="0.35">
      <c r="A264" t="s">
        <v>291</v>
      </c>
      <c r="B264" t="s">
        <v>15</v>
      </c>
      <c r="C264" t="s">
        <v>16</v>
      </c>
      <c r="D264">
        <v>53</v>
      </c>
      <c r="E264" t="s">
        <v>271</v>
      </c>
      <c r="F264">
        <v>5419</v>
      </c>
      <c r="G264" t="s">
        <v>18</v>
      </c>
      <c r="H264">
        <v>27</v>
      </c>
      <c r="I264" t="s">
        <v>19</v>
      </c>
      <c r="J264">
        <v>2007</v>
      </c>
      <c r="K264">
        <v>2007</v>
      </c>
      <c r="L264" t="s">
        <v>20</v>
      </c>
      <c r="M264">
        <v>26633</v>
      </c>
      <c r="N264">
        <v>1039</v>
      </c>
    </row>
    <row r="265" spans="1:14" x14ac:dyDescent="0.35">
      <c r="A265" t="s">
        <v>292</v>
      </c>
      <c r="B265" t="s">
        <v>15</v>
      </c>
      <c r="C265" t="s">
        <v>16</v>
      </c>
      <c r="D265">
        <v>53</v>
      </c>
      <c r="E265" t="s">
        <v>271</v>
      </c>
      <c r="F265">
        <v>5419</v>
      </c>
      <c r="G265" t="s">
        <v>18</v>
      </c>
      <c r="H265">
        <v>27</v>
      </c>
      <c r="I265" t="s">
        <v>19</v>
      </c>
      <c r="J265">
        <v>2008</v>
      </c>
      <c r="K265">
        <v>2008</v>
      </c>
      <c r="L265" t="s">
        <v>20</v>
      </c>
      <c r="M265">
        <v>32850</v>
      </c>
      <c r="N265">
        <v>1039</v>
      </c>
    </row>
    <row r="266" spans="1:14" x14ac:dyDescent="0.35">
      <c r="A266" t="s">
        <v>293</v>
      </c>
      <c r="B266" t="s">
        <v>15</v>
      </c>
      <c r="C266" t="s">
        <v>16</v>
      </c>
      <c r="D266">
        <v>53</v>
      </c>
      <c r="E266" t="s">
        <v>271</v>
      </c>
      <c r="F266">
        <v>5419</v>
      </c>
      <c r="G266" t="s">
        <v>18</v>
      </c>
      <c r="H266">
        <v>27</v>
      </c>
      <c r="I266" t="s">
        <v>19</v>
      </c>
      <c r="J266">
        <v>2009</v>
      </c>
      <c r="K266">
        <v>2009</v>
      </c>
      <c r="L266" t="s">
        <v>20</v>
      </c>
      <c r="M266">
        <v>37395</v>
      </c>
      <c r="N266">
        <v>1039</v>
      </c>
    </row>
    <row r="267" spans="1:14" x14ac:dyDescent="0.35">
      <c r="A267" t="s">
        <v>294</v>
      </c>
      <c r="B267" t="s">
        <v>15</v>
      </c>
      <c r="C267" t="s">
        <v>16</v>
      </c>
      <c r="D267">
        <v>53</v>
      </c>
      <c r="E267" t="s">
        <v>271</v>
      </c>
      <c r="F267">
        <v>5419</v>
      </c>
      <c r="G267" t="s">
        <v>18</v>
      </c>
      <c r="H267">
        <v>27</v>
      </c>
      <c r="I267" t="s">
        <v>19</v>
      </c>
      <c r="J267">
        <v>2010</v>
      </c>
      <c r="K267">
        <v>2010</v>
      </c>
      <c r="L267" t="s">
        <v>20</v>
      </c>
      <c r="M267">
        <v>26558</v>
      </c>
      <c r="N267">
        <v>1039</v>
      </c>
    </row>
    <row r="268" spans="1:14" x14ac:dyDescent="0.35">
      <c r="A268" t="s">
        <v>295</v>
      </c>
      <c r="B268" t="s">
        <v>15</v>
      </c>
      <c r="C268" t="s">
        <v>16</v>
      </c>
      <c r="D268">
        <v>53</v>
      </c>
      <c r="E268" t="s">
        <v>271</v>
      </c>
      <c r="F268">
        <v>5419</v>
      </c>
      <c r="G268" t="s">
        <v>18</v>
      </c>
      <c r="H268">
        <v>27</v>
      </c>
      <c r="I268" t="s">
        <v>19</v>
      </c>
      <c r="J268">
        <v>2011</v>
      </c>
      <c r="K268">
        <v>2011</v>
      </c>
      <c r="L268" t="s">
        <v>20</v>
      </c>
      <c r="M268">
        <v>39362</v>
      </c>
      <c r="N268">
        <v>1039</v>
      </c>
    </row>
    <row r="269" spans="1:14" x14ac:dyDescent="0.35">
      <c r="A269" t="s">
        <v>296</v>
      </c>
      <c r="B269" t="s">
        <v>15</v>
      </c>
      <c r="C269" t="s">
        <v>16</v>
      </c>
      <c r="D269">
        <v>53</v>
      </c>
      <c r="E269" t="s">
        <v>271</v>
      </c>
      <c r="F269">
        <v>5419</v>
      </c>
      <c r="G269" t="s">
        <v>18</v>
      </c>
      <c r="H269">
        <v>27</v>
      </c>
      <c r="I269" t="s">
        <v>19</v>
      </c>
      <c r="J269">
        <v>2012</v>
      </c>
      <c r="K269">
        <v>2012</v>
      </c>
      <c r="L269" t="s">
        <v>20</v>
      </c>
      <c r="M269">
        <v>32960</v>
      </c>
      <c r="N269">
        <v>1039</v>
      </c>
    </row>
    <row r="270" spans="1:14" x14ac:dyDescent="0.35">
      <c r="A270" t="s">
        <v>297</v>
      </c>
      <c r="B270" t="s">
        <v>15</v>
      </c>
      <c r="C270" t="s">
        <v>16</v>
      </c>
      <c r="D270">
        <v>53</v>
      </c>
      <c r="E270" t="s">
        <v>271</v>
      </c>
      <c r="F270">
        <v>5419</v>
      </c>
      <c r="G270" t="s">
        <v>18</v>
      </c>
      <c r="H270">
        <v>27</v>
      </c>
      <c r="I270" t="s">
        <v>19</v>
      </c>
      <c r="J270">
        <v>2013</v>
      </c>
      <c r="K270">
        <v>2013</v>
      </c>
      <c r="L270" t="s">
        <v>20</v>
      </c>
      <c r="M270">
        <v>32960</v>
      </c>
      <c r="N270">
        <v>1039</v>
      </c>
    </row>
    <row r="271" spans="1:14" x14ac:dyDescent="0.35">
      <c r="A271" t="s">
        <v>298</v>
      </c>
      <c r="B271" t="s">
        <v>15</v>
      </c>
      <c r="C271" t="s">
        <v>16</v>
      </c>
      <c r="D271">
        <v>53</v>
      </c>
      <c r="E271" t="s">
        <v>271</v>
      </c>
      <c r="F271">
        <v>5419</v>
      </c>
      <c r="G271" t="s">
        <v>18</v>
      </c>
      <c r="H271">
        <v>27</v>
      </c>
      <c r="I271" t="s">
        <v>19</v>
      </c>
      <c r="J271">
        <v>2014</v>
      </c>
      <c r="K271">
        <v>2014</v>
      </c>
      <c r="L271" t="s">
        <v>20</v>
      </c>
      <c r="M271">
        <v>31393</v>
      </c>
      <c r="N271">
        <v>1039</v>
      </c>
    </row>
    <row r="272" spans="1:14" x14ac:dyDescent="0.35">
      <c r="A272" t="s">
        <v>299</v>
      </c>
      <c r="B272" t="s">
        <v>15</v>
      </c>
      <c r="C272" t="s">
        <v>16</v>
      </c>
      <c r="D272">
        <v>53</v>
      </c>
      <c r="E272" t="s">
        <v>271</v>
      </c>
      <c r="F272">
        <v>5419</v>
      </c>
      <c r="G272" t="s">
        <v>18</v>
      </c>
      <c r="H272">
        <v>27</v>
      </c>
      <c r="I272" t="s">
        <v>19</v>
      </c>
      <c r="J272">
        <v>2015</v>
      </c>
      <c r="K272">
        <v>2015</v>
      </c>
      <c r="L272" t="s">
        <v>20</v>
      </c>
      <c r="M272">
        <v>31285</v>
      </c>
      <c r="N272">
        <v>1039</v>
      </c>
    </row>
    <row r="273" spans="1:14" x14ac:dyDescent="0.35">
      <c r="A273" t="s">
        <v>300</v>
      </c>
      <c r="B273" t="s">
        <v>15</v>
      </c>
      <c r="C273" t="s">
        <v>16</v>
      </c>
      <c r="D273">
        <v>53</v>
      </c>
      <c r="E273" t="s">
        <v>271</v>
      </c>
      <c r="F273">
        <v>5419</v>
      </c>
      <c r="G273" t="s">
        <v>18</v>
      </c>
      <c r="H273">
        <v>27</v>
      </c>
      <c r="I273" t="s">
        <v>19</v>
      </c>
      <c r="J273">
        <v>2016</v>
      </c>
      <c r="K273">
        <v>2016</v>
      </c>
      <c r="L273" t="s">
        <v>20</v>
      </c>
      <c r="M273">
        <v>34174</v>
      </c>
      <c r="N273">
        <v>1039</v>
      </c>
    </row>
    <row r="274" spans="1:14" x14ac:dyDescent="0.35">
      <c r="A274" t="s">
        <v>301</v>
      </c>
      <c r="B274" t="s">
        <v>15</v>
      </c>
      <c r="C274" t="s">
        <v>16</v>
      </c>
      <c r="D274">
        <v>18</v>
      </c>
      <c r="E274" t="s">
        <v>302</v>
      </c>
      <c r="F274">
        <v>5419</v>
      </c>
      <c r="G274" t="s">
        <v>18</v>
      </c>
      <c r="H274">
        <v>27</v>
      </c>
      <c r="I274" t="s">
        <v>19</v>
      </c>
      <c r="J274">
        <v>1985</v>
      </c>
      <c r="K274">
        <v>1985</v>
      </c>
      <c r="L274" t="s">
        <v>20</v>
      </c>
      <c r="M274">
        <v>19375</v>
      </c>
      <c r="N274">
        <v>2200</v>
      </c>
    </row>
    <row r="275" spans="1:14" x14ac:dyDescent="0.35">
      <c r="A275" t="s">
        <v>303</v>
      </c>
      <c r="B275" t="s">
        <v>15</v>
      </c>
      <c r="C275" t="s">
        <v>16</v>
      </c>
      <c r="D275">
        <v>18</v>
      </c>
      <c r="E275" t="s">
        <v>302</v>
      </c>
      <c r="F275">
        <v>5419</v>
      </c>
      <c r="G275" t="s">
        <v>18</v>
      </c>
      <c r="H275">
        <v>27</v>
      </c>
      <c r="I275" t="s">
        <v>19</v>
      </c>
      <c r="J275">
        <v>1986</v>
      </c>
      <c r="K275">
        <v>1986</v>
      </c>
      <c r="L275" t="s">
        <v>20</v>
      </c>
      <c r="M275">
        <v>18000</v>
      </c>
      <c r="N275">
        <v>2200</v>
      </c>
    </row>
    <row r="276" spans="1:14" x14ac:dyDescent="0.35">
      <c r="A276" t="s">
        <v>304</v>
      </c>
      <c r="B276" t="s">
        <v>15</v>
      </c>
      <c r="C276" t="s">
        <v>16</v>
      </c>
      <c r="D276">
        <v>18</v>
      </c>
      <c r="E276" t="s">
        <v>302</v>
      </c>
      <c r="F276">
        <v>5419</v>
      </c>
      <c r="G276" t="s">
        <v>18</v>
      </c>
      <c r="H276">
        <v>27</v>
      </c>
      <c r="I276" t="s">
        <v>19</v>
      </c>
      <c r="J276">
        <v>1987</v>
      </c>
      <c r="K276">
        <v>1987</v>
      </c>
      <c r="L276" t="s">
        <v>20</v>
      </c>
      <c r="M276">
        <v>17568</v>
      </c>
      <c r="N276">
        <v>2200</v>
      </c>
    </row>
    <row r="277" spans="1:14" x14ac:dyDescent="0.35">
      <c r="A277" t="s">
        <v>305</v>
      </c>
      <c r="B277" t="s">
        <v>15</v>
      </c>
      <c r="C277" t="s">
        <v>16</v>
      </c>
      <c r="D277">
        <v>18</v>
      </c>
      <c r="E277" t="s">
        <v>302</v>
      </c>
      <c r="F277">
        <v>5419</v>
      </c>
      <c r="G277" t="s">
        <v>18</v>
      </c>
      <c r="H277">
        <v>27</v>
      </c>
      <c r="I277" t="s">
        <v>19</v>
      </c>
      <c r="J277">
        <v>1989</v>
      </c>
      <c r="K277">
        <v>1989</v>
      </c>
      <c r="L277" t="s">
        <v>20</v>
      </c>
      <c r="M277">
        <v>16538</v>
      </c>
      <c r="N277">
        <v>2200</v>
      </c>
    </row>
    <row r="278" spans="1:14" x14ac:dyDescent="0.35">
      <c r="A278" t="s">
        <v>306</v>
      </c>
      <c r="B278" t="s">
        <v>15</v>
      </c>
      <c r="C278" t="s">
        <v>16</v>
      </c>
      <c r="D278">
        <v>18</v>
      </c>
      <c r="E278" t="s">
        <v>302</v>
      </c>
      <c r="F278">
        <v>5419</v>
      </c>
      <c r="G278" t="s">
        <v>18</v>
      </c>
      <c r="H278">
        <v>27</v>
      </c>
      <c r="I278" t="s">
        <v>19</v>
      </c>
      <c r="J278">
        <v>1990</v>
      </c>
      <c r="K278">
        <v>1990</v>
      </c>
      <c r="L278" t="s">
        <v>20</v>
      </c>
      <c r="M278">
        <v>20976</v>
      </c>
      <c r="N278">
        <v>2200</v>
      </c>
    </row>
    <row r="279" spans="1:14" x14ac:dyDescent="0.35">
      <c r="A279" t="s">
        <v>307</v>
      </c>
      <c r="B279" t="s">
        <v>15</v>
      </c>
      <c r="C279" t="s">
        <v>16</v>
      </c>
      <c r="D279">
        <v>18</v>
      </c>
      <c r="E279" t="s">
        <v>302</v>
      </c>
      <c r="F279">
        <v>5419</v>
      </c>
      <c r="G279" t="s">
        <v>18</v>
      </c>
      <c r="H279">
        <v>27</v>
      </c>
      <c r="I279" t="s">
        <v>19</v>
      </c>
      <c r="J279">
        <v>1991</v>
      </c>
      <c r="K279">
        <v>1991</v>
      </c>
      <c r="L279" t="s">
        <v>20</v>
      </c>
      <c r="M279">
        <v>12702</v>
      </c>
      <c r="N279">
        <v>2200</v>
      </c>
    </row>
    <row r="280" spans="1:14" x14ac:dyDescent="0.35">
      <c r="A280" t="s">
        <v>308</v>
      </c>
      <c r="B280" t="s">
        <v>15</v>
      </c>
      <c r="C280" t="s">
        <v>16</v>
      </c>
      <c r="D280">
        <v>18</v>
      </c>
      <c r="E280" t="s">
        <v>302</v>
      </c>
      <c r="F280">
        <v>5419</v>
      </c>
      <c r="G280" t="s">
        <v>18</v>
      </c>
      <c r="H280">
        <v>27</v>
      </c>
      <c r="I280" t="s">
        <v>19</v>
      </c>
      <c r="J280">
        <v>1992</v>
      </c>
      <c r="K280">
        <v>1992</v>
      </c>
      <c r="L280" t="s">
        <v>20</v>
      </c>
      <c r="M280">
        <v>13491</v>
      </c>
      <c r="N280">
        <v>2200</v>
      </c>
    </row>
    <row r="281" spans="1:14" x14ac:dyDescent="0.35">
      <c r="A281" t="s">
        <v>309</v>
      </c>
      <c r="B281" t="s">
        <v>15</v>
      </c>
      <c r="C281" t="s">
        <v>16</v>
      </c>
      <c r="D281">
        <v>18</v>
      </c>
      <c r="E281" t="s">
        <v>302</v>
      </c>
      <c r="F281">
        <v>5419</v>
      </c>
      <c r="G281" t="s">
        <v>18</v>
      </c>
      <c r="H281">
        <v>27</v>
      </c>
      <c r="I281" t="s">
        <v>19</v>
      </c>
      <c r="J281">
        <v>1993</v>
      </c>
      <c r="K281">
        <v>1993</v>
      </c>
      <c r="L281" t="s">
        <v>20</v>
      </c>
      <c r="M281">
        <v>14704</v>
      </c>
      <c r="N281">
        <v>2200</v>
      </c>
    </row>
    <row r="282" spans="1:14" x14ac:dyDescent="0.35">
      <c r="A282" t="s">
        <v>310</v>
      </c>
      <c r="B282" t="s">
        <v>15</v>
      </c>
      <c r="C282" t="s">
        <v>16</v>
      </c>
      <c r="D282">
        <v>18</v>
      </c>
      <c r="E282" t="s">
        <v>302</v>
      </c>
      <c r="F282">
        <v>5419</v>
      </c>
      <c r="G282" t="s">
        <v>18</v>
      </c>
      <c r="H282">
        <v>27</v>
      </c>
      <c r="I282" t="s">
        <v>19</v>
      </c>
      <c r="J282">
        <v>1994</v>
      </c>
      <c r="K282">
        <v>1994</v>
      </c>
      <c r="L282" t="s">
        <v>20</v>
      </c>
      <c r="M282">
        <v>16071</v>
      </c>
      <c r="N282">
        <v>2200</v>
      </c>
    </row>
    <row r="283" spans="1:14" x14ac:dyDescent="0.35">
      <c r="A283" t="s">
        <v>311</v>
      </c>
      <c r="B283" t="s">
        <v>15</v>
      </c>
      <c r="C283" t="s">
        <v>16</v>
      </c>
      <c r="D283">
        <v>18</v>
      </c>
      <c r="E283" t="s">
        <v>302</v>
      </c>
      <c r="F283">
        <v>5419</v>
      </c>
      <c r="G283" t="s">
        <v>18</v>
      </c>
      <c r="H283">
        <v>27</v>
      </c>
      <c r="I283" t="s">
        <v>19</v>
      </c>
      <c r="J283">
        <v>1995</v>
      </c>
      <c r="K283">
        <v>1995</v>
      </c>
      <c r="L283" t="s">
        <v>20</v>
      </c>
      <c r="M283">
        <v>16667</v>
      </c>
      <c r="N283">
        <v>2200</v>
      </c>
    </row>
    <row r="284" spans="1:14" x14ac:dyDescent="0.35">
      <c r="A284" t="s">
        <v>312</v>
      </c>
      <c r="B284" t="s">
        <v>15</v>
      </c>
      <c r="C284" t="s">
        <v>16</v>
      </c>
      <c r="D284">
        <v>18</v>
      </c>
      <c r="E284" t="s">
        <v>302</v>
      </c>
      <c r="F284">
        <v>5419</v>
      </c>
      <c r="G284" t="s">
        <v>18</v>
      </c>
      <c r="H284">
        <v>27</v>
      </c>
      <c r="I284" t="s">
        <v>19</v>
      </c>
      <c r="J284">
        <v>1996</v>
      </c>
      <c r="K284">
        <v>1996</v>
      </c>
      <c r="L284" t="s">
        <v>20</v>
      </c>
      <c r="M284">
        <v>16570</v>
      </c>
      <c r="N284">
        <v>2200</v>
      </c>
    </row>
    <row r="285" spans="1:14" x14ac:dyDescent="0.35">
      <c r="A285" t="s">
        <v>313</v>
      </c>
      <c r="B285" t="s">
        <v>15</v>
      </c>
      <c r="C285" t="s">
        <v>16</v>
      </c>
      <c r="D285">
        <v>18</v>
      </c>
      <c r="E285" t="s">
        <v>302</v>
      </c>
      <c r="F285">
        <v>5419</v>
      </c>
      <c r="G285" t="s">
        <v>18</v>
      </c>
      <c r="H285">
        <v>27</v>
      </c>
      <c r="I285" t="s">
        <v>19</v>
      </c>
      <c r="J285">
        <v>1997</v>
      </c>
      <c r="K285">
        <v>1997</v>
      </c>
      <c r="L285" t="s">
        <v>20</v>
      </c>
      <c r="M285">
        <v>17214</v>
      </c>
      <c r="N285">
        <v>2200</v>
      </c>
    </row>
    <row r="286" spans="1:14" x14ac:dyDescent="0.35">
      <c r="A286" t="s">
        <v>314</v>
      </c>
      <c r="B286" t="s">
        <v>15</v>
      </c>
      <c r="C286" t="s">
        <v>16</v>
      </c>
      <c r="D286">
        <v>18</v>
      </c>
      <c r="E286" t="s">
        <v>302</v>
      </c>
      <c r="F286">
        <v>5419</v>
      </c>
      <c r="G286" t="s">
        <v>18</v>
      </c>
      <c r="H286">
        <v>27</v>
      </c>
      <c r="I286" t="s">
        <v>19</v>
      </c>
      <c r="J286">
        <v>1998</v>
      </c>
      <c r="K286">
        <v>1998</v>
      </c>
      <c r="L286" t="s">
        <v>20</v>
      </c>
      <c r="M286">
        <v>17892</v>
      </c>
      <c r="N286">
        <v>2200</v>
      </c>
    </row>
    <row r="287" spans="1:14" x14ac:dyDescent="0.35">
      <c r="A287" t="s">
        <v>315</v>
      </c>
      <c r="B287" t="s">
        <v>15</v>
      </c>
      <c r="C287" t="s">
        <v>16</v>
      </c>
      <c r="D287">
        <v>18</v>
      </c>
      <c r="E287" t="s">
        <v>302</v>
      </c>
      <c r="F287">
        <v>5419</v>
      </c>
      <c r="G287" t="s">
        <v>18</v>
      </c>
      <c r="H287">
        <v>27</v>
      </c>
      <c r="I287" t="s">
        <v>19</v>
      </c>
      <c r="J287">
        <v>1999</v>
      </c>
      <c r="K287">
        <v>1999</v>
      </c>
      <c r="L287" t="s">
        <v>20</v>
      </c>
      <c r="M287">
        <v>18471</v>
      </c>
      <c r="N287">
        <v>2200</v>
      </c>
    </row>
    <row r="288" spans="1:14" x14ac:dyDescent="0.35">
      <c r="A288" t="s">
        <v>316</v>
      </c>
      <c r="B288" t="s">
        <v>15</v>
      </c>
      <c r="C288" t="s">
        <v>16</v>
      </c>
      <c r="D288">
        <v>18</v>
      </c>
      <c r="E288" t="s">
        <v>302</v>
      </c>
      <c r="F288">
        <v>5419</v>
      </c>
      <c r="G288" t="s">
        <v>18</v>
      </c>
      <c r="H288">
        <v>27</v>
      </c>
      <c r="I288" t="s">
        <v>19</v>
      </c>
      <c r="J288">
        <v>2000</v>
      </c>
      <c r="K288">
        <v>2000</v>
      </c>
      <c r="L288" t="s">
        <v>20</v>
      </c>
      <c r="M288">
        <v>17038</v>
      </c>
      <c r="N288">
        <v>2200</v>
      </c>
    </row>
    <row r="289" spans="1:14" x14ac:dyDescent="0.35">
      <c r="A289" t="s">
        <v>317</v>
      </c>
      <c r="B289" t="s">
        <v>15</v>
      </c>
      <c r="C289" t="s">
        <v>16</v>
      </c>
      <c r="D289">
        <v>18</v>
      </c>
      <c r="E289" t="s">
        <v>302</v>
      </c>
      <c r="F289">
        <v>5419</v>
      </c>
      <c r="G289" t="s">
        <v>18</v>
      </c>
      <c r="H289">
        <v>27</v>
      </c>
      <c r="I289" t="s">
        <v>19</v>
      </c>
      <c r="J289">
        <v>2001</v>
      </c>
      <c r="K289">
        <v>2001</v>
      </c>
      <c r="L289" t="s">
        <v>20</v>
      </c>
      <c r="M289">
        <v>17391</v>
      </c>
      <c r="N289">
        <v>2200</v>
      </c>
    </row>
    <row r="290" spans="1:14" x14ac:dyDescent="0.35">
      <c r="A290" t="s">
        <v>318</v>
      </c>
      <c r="B290" t="s">
        <v>15</v>
      </c>
      <c r="C290" t="s">
        <v>16</v>
      </c>
      <c r="D290">
        <v>18</v>
      </c>
      <c r="E290" t="s">
        <v>302</v>
      </c>
      <c r="F290">
        <v>5419</v>
      </c>
      <c r="G290" t="s">
        <v>18</v>
      </c>
      <c r="H290">
        <v>27</v>
      </c>
      <c r="I290" t="s">
        <v>19</v>
      </c>
      <c r="J290">
        <v>2002</v>
      </c>
      <c r="K290">
        <v>2002</v>
      </c>
      <c r="L290" t="s">
        <v>20</v>
      </c>
      <c r="M290">
        <v>19987</v>
      </c>
      <c r="N290">
        <v>2200</v>
      </c>
    </row>
    <row r="291" spans="1:14" x14ac:dyDescent="0.35">
      <c r="A291" t="s">
        <v>319</v>
      </c>
      <c r="B291" t="s">
        <v>15</v>
      </c>
      <c r="C291" t="s">
        <v>16</v>
      </c>
      <c r="D291">
        <v>18</v>
      </c>
      <c r="E291" t="s">
        <v>302</v>
      </c>
      <c r="F291">
        <v>5419</v>
      </c>
      <c r="G291" t="s">
        <v>18</v>
      </c>
      <c r="H291">
        <v>27</v>
      </c>
      <c r="I291" t="s">
        <v>19</v>
      </c>
      <c r="J291">
        <v>2004</v>
      </c>
      <c r="K291">
        <v>2004</v>
      </c>
      <c r="L291" t="s">
        <v>20</v>
      </c>
      <c r="M291">
        <v>28816</v>
      </c>
      <c r="N291">
        <v>2200</v>
      </c>
    </row>
    <row r="292" spans="1:14" x14ac:dyDescent="0.35">
      <c r="A292" t="s">
        <v>320</v>
      </c>
      <c r="B292" t="s">
        <v>15</v>
      </c>
      <c r="C292" t="s">
        <v>16</v>
      </c>
      <c r="D292">
        <v>18</v>
      </c>
      <c r="E292" t="s">
        <v>302</v>
      </c>
      <c r="F292">
        <v>5419</v>
      </c>
      <c r="G292" t="s">
        <v>18</v>
      </c>
      <c r="H292">
        <v>27</v>
      </c>
      <c r="I292" t="s">
        <v>19</v>
      </c>
      <c r="J292">
        <v>2005</v>
      </c>
      <c r="K292">
        <v>2005</v>
      </c>
      <c r="L292" t="s">
        <v>20</v>
      </c>
      <c r="M292">
        <v>26896</v>
      </c>
      <c r="N292">
        <v>2200</v>
      </c>
    </row>
    <row r="293" spans="1:14" x14ac:dyDescent="0.35">
      <c r="A293" t="s">
        <v>321</v>
      </c>
      <c r="B293" t="s">
        <v>15</v>
      </c>
      <c r="C293" t="s">
        <v>16</v>
      </c>
      <c r="D293">
        <v>18</v>
      </c>
      <c r="E293" t="s">
        <v>302</v>
      </c>
      <c r="F293">
        <v>5419</v>
      </c>
      <c r="G293" t="s">
        <v>18</v>
      </c>
      <c r="H293">
        <v>27</v>
      </c>
      <c r="I293" t="s">
        <v>19</v>
      </c>
      <c r="J293">
        <v>2006</v>
      </c>
      <c r="K293">
        <v>2006</v>
      </c>
      <c r="L293" t="s">
        <v>20</v>
      </c>
      <c r="M293">
        <v>27461</v>
      </c>
      <c r="N293">
        <v>2200</v>
      </c>
    </row>
    <row r="294" spans="1:14" x14ac:dyDescent="0.35">
      <c r="A294" t="s">
        <v>322</v>
      </c>
      <c r="B294" t="s">
        <v>15</v>
      </c>
      <c r="C294" t="s">
        <v>16</v>
      </c>
      <c r="D294">
        <v>18</v>
      </c>
      <c r="E294" t="s">
        <v>302</v>
      </c>
      <c r="F294">
        <v>5419</v>
      </c>
      <c r="G294" t="s">
        <v>18</v>
      </c>
      <c r="H294">
        <v>27</v>
      </c>
      <c r="I294" t="s">
        <v>19</v>
      </c>
      <c r="J294">
        <v>2007</v>
      </c>
      <c r="K294">
        <v>2007</v>
      </c>
      <c r="L294" t="s">
        <v>20</v>
      </c>
      <c r="M294">
        <v>27043</v>
      </c>
      <c r="N294">
        <v>2200</v>
      </c>
    </row>
    <row r="295" spans="1:14" x14ac:dyDescent="0.35">
      <c r="A295" t="s">
        <v>323</v>
      </c>
      <c r="B295" t="s">
        <v>15</v>
      </c>
      <c r="C295" t="s">
        <v>16</v>
      </c>
      <c r="D295">
        <v>18</v>
      </c>
      <c r="E295" t="s">
        <v>302</v>
      </c>
      <c r="F295">
        <v>5419</v>
      </c>
      <c r="G295" t="s">
        <v>18</v>
      </c>
      <c r="H295">
        <v>27</v>
      </c>
      <c r="I295" t="s">
        <v>19</v>
      </c>
      <c r="J295">
        <v>2008</v>
      </c>
      <c r="K295">
        <v>2008</v>
      </c>
      <c r="L295" t="s">
        <v>20</v>
      </c>
      <c r="M295">
        <v>39983</v>
      </c>
      <c r="N295">
        <v>2200</v>
      </c>
    </row>
    <row r="296" spans="1:14" x14ac:dyDescent="0.35">
      <c r="A296" t="s">
        <v>324</v>
      </c>
      <c r="B296" t="s">
        <v>15</v>
      </c>
      <c r="C296" t="s">
        <v>16</v>
      </c>
      <c r="D296">
        <v>18</v>
      </c>
      <c r="E296" t="s">
        <v>302</v>
      </c>
      <c r="F296">
        <v>5419</v>
      </c>
      <c r="G296" t="s">
        <v>18</v>
      </c>
      <c r="H296">
        <v>27</v>
      </c>
      <c r="I296" t="s">
        <v>19</v>
      </c>
      <c r="J296">
        <v>2009</v>
      </c>
      <c r="K296">
        <v>2009</v>
      </c>
      <c r="L296" t="s">
        <v>20</v>
      </c>
      <c r="M296">
        <v>27993</v>
      </c>
      <c r="N296">
        <v>2200</v>
      </c>
    </row>
    <row r="297" spans="1:14" x14ac:dyDescent="0.35">
      <c r="A297" t="s">
        <v>325</v>
      </c>
      <c r="B297" t="s">
        <v>15</v>
      </c>
      <c r="C297" t="s">
        <v>16</v>
      </c>
      <c r="D297">
        <v>18</v>
      </c>
      <c r="E297" t="s">
        <v>302</v>
      </c>
      <c r="F297">
        <v>5419</v>
      </c>
      <c r="G297" t="s">
        <v>18</v>
      </c>
      <c r="H297">
        <v>27</v>
      </c>
      <c r="I297" t="s">
        <v>19</v>
      </c>
      <c r="J297">
        <v>2010</v>
      </c>
      <c r="K297">
        <v>2010</v>
      </c>
      <c r="L297" t="s">
        <v>20</v>
      </c>
      <c r="M297">
        <v>31400</v>
      </c>
      <c r="N297">
        <v>2200</v>
      </c>
    </row>
    <row r="298" spans="1:14" x14ac:dyDescent="0.35">
      <c r="A298" t="s">
        <v>326</v>
      </c>
      <c r="B298" t="s">
        <v>15</v>
      </c>
      <c r="C298" t="s">
        <v>16</v>
      </c>
      <c r="D298">
        <v>18</v>
      </c>
      <c r="E298" t="s">
        <v>302</v>
      </c>
      <c r="F298">
        <v>5419</v>
      </c>
      <c r="G298" t="s">
        <v>18</v>
      </c>
      <c r="H298">
        <v>27</v>
      </c>
      <c r="I298" t="s">
        <v>19</v>
      </c>
      <c r="J298">
        <v>2011</v>
      </c>
      <c r="K298">
        <v>2011</v>
      </c>
      <c r="L298" t="s">
        <v>20</v>
      </c>
      <c r="M298">
        <v>32382</v>
      </c>
      <c r="N298">
        <v>2200</v>
      </c>
    </row>
    <row r="299" spans="1:14" x14ac:dyDescent="0.35">
      <c r="A299" t="s">
        <v>327</v>
      </c>
      <c r="B299" t="s">
        <v>15</v>
      </c>
      <c r="C299" t="s">
        <v>16</v>
      </c>
      <c r="D299">
        <v>18</v>
      </c>
      <c r="E299" t="s">
        <v>302</v>
      </c>
      <c r="F299">
        <v>5419</v>
      </c>
      <c r="G299" t="s">
        <v>18</v>
      </c>
      <c r="H299">
        <v>27</v>
      </c>
      <c r="I299" t="s">
        <v>19</v>
      </c>
      <c r="J299">
        <v>2012</v>
      </c>
      <c r="K299">
        <v>2012</v>
      </c>
      <c r="L299" t="s">
        <v>20</v>
      </c>
      <c r="M299">
        <v>36893</v>
      </c>
      <c r="N299">
        <v>2200</v>
      </c>
    </row>
    <row r="300" spans="1:14" x14ac:dyDescent="0.35">
      <c r="A300" t="s">
        <v>328</v>
      </c>
      <c r="B300" t="s">
        <v>15</v>
      </c>
      <c r="C300" t="s">
        <v>16</v>
      </c>
      <c r="D300">
        <v>18</v>
      </c>
      <c r="E300" t="s">
        <v>302</v>
      </c>
      <c r="F300">
        <v>5419</v>
      </c>
      <c r="G300" t="s">
        <v>18</v>
      </c>
      <c r="H300">
        <v>27</v>
      </c>
      <c r="I300" t="s">
        <v>19</v>
      </c>
      <c r="J300">
        <v>2013</v>
      </c>
      <c r="K300">
        <v>2013</v>
      </c>
      <c r="L300" t="s">
        <v>20</v>
      </c>
      <c r="M300">
        <v>36985</v>
      </c>
      <c r="N300">
        <v>2200</v>
      </c>
    </row>
    <row r="301" spans="1:14" x14ac:dyDescent="0.35">
      <c r="A301" t="s">
        <v>329</v>
      </c>
      <c r="B301" t="s">
        <v>15</v>
      </c>
      <c r="C301" t="s">
        <v>16</v>
      </c>
      <c r="D301">
        <v>18</v>
      </c>
      <c r="E301" t="s">
        <v>302</v>
      </c>
      <c r="F301">
        <v>5419</v>
      </c>
      <c r="G301" t="s">
        <v>18</v>
      </c>
      <c r="H301">
        <v>27</v>
      </c>
      <c r="I301" t="s">
        <v>19</v>
      </c>
      <c r="J301">
        <v>2014</v>
      </c>
      <c r="K301">
        <v>2014</v>
      </c>
      <c r="L301" t="s">
        <v>20</v>
      </c>
      <c r="M301">
        <v>37635</v>
      </c>
      <c r="N301">
        <v>2200</v>
      </c>
    </row>
    <row r="302" spans="1:14" x14ac:dyDescent="0.35">
      <c r="A302" t="s">
        <v>330</v>
      </c>
      <c r="B302" t="s">
        <v>15</v>
      </c>
      <c r="C302" t="s">
        <v>16</v>
      </c>
      <c r="D302">
        <v>18</v>
      </c>
      <c r="E302" t="s">
        <v>302</v>
      </c>
      <c r="F302">
        <v>5419</v>
      </c>
      <c r="G302" t="s">
        <v>18</v>
      </c>
      <c r="H302">
        <v>27</v>
      </c>
      <c r="I302" t="s">
        <v>19</v>
      </c>
      <c r="J302">
        <v>2015</v>
      </c>
      <c r="K302">
        <v>2015</v>
      </c>
      <c r="L302" t="s">
        <v>20</v>
      </c>
      <c r="M302">
        <v>38061</v>
      </c>
      <c r="N302">
        <v>2200</v>
      </c>
    </row>
    <row r="303" spans="1:14" x14ac:dyDescent="0.35">
      <c r="A303" t="s">
        <v>331</v>
      </c>
      <c r="B303" t="s">
        <v>15</v>
      </c>
      <c r="C303" t="s">
        <v>16</v>
      </c>
      <c r="D303">
        <v>18</v>
      </c>
      <c r="E303" t="s">
        <v>302</v>
      </c>
      <c r="F303">
        <v>5419</v>
      </c>
      <c r="G303" t="s">
        <v>18</v>
      </c>
      <c r="H303">
        <v>27</v>
      </c>
      <c r="I303" t="s">
        <v>19</v>
      </c>
      <c r="J303">
        <v>2016</v>
      </c>
      <c r="K303">
        <v>2016</v>
      </c>
      <c r="L303" t="s">
        <v>20</v>
      </c>
      <c r="M303">
        <v>39556</v>
      </c>
      <c r="N303">
        <v>2200</v>
      </c>
    </row>
    <row r="304" spans="1:14" x14ac:dyDescent="0.35">
      <c r="A304" t="s">
        <v>332</v>
      </c>
      <c r="B304" t="s">
        <v>15</v>
      </c>
      <c r="C304" t="s">
        <v>16</v>
      </c>
      <c r="D304">
        <v>21</v>
      </c>
      <c r="E304" t="s">
        <v>333</v>
      </c>
      <c r="F304">
        <v>5419</v>
      </c>
      <c r="G304" t="s">
        <v>18</v>
      </c>
      <c r="H304">
        <v>27</v>
      </c>
      <c r="I304" t="s">
        <v>19</v>
      </c>
      <c r="J304">
        <v>1985</v>
      </c>
      <c r="K304">
        <v>1985</v>
      </c>
      <c r="L304" t="s">
        <v>20</v>
      </c>
      <c r="M304">
        <v>18980</v>
      </c>
      <c r="N304">
        <v>1761</v>
      </c>
    </row>
    <row r="305" spans="1:14" x14ac:dyDescent="0.35">
      <c r="A305" t="s">
        <v>334</v>
      </c>
      <c r="B305" t="s">
        <v>15</v>
      </c>
      <c r="C305" t="s">
        <v>16</v>
      </c>
      <c r="D305">
        <v>21</v>
      </c>
      <c r="E305" t="s">
        <v>333</v>
      </c>
      <c r="F305">
        <v>5419</v>
      </c>
      <c r="G305" t="s">
        <v>18</v>
      </c>
      <c r="H305">
        <v>27</v>
      </c>
      <c r="I305" t="s">
        <v>19</v>
      </c>
      <c r="J305">
        <v>1986</v>
      </c>
      <c r="K305">
        <v>1986</v>
      </c>
      <c r="L305" t="s">
        <v>20</v>
      </c>
      <c r="M305">
        <v>18610</v>
      </c>
      <c r="N305">
        <v>1761</v>
      </c>
    </row>
    <row r="306" spans="1:14" x14ac:dyDescent="0.35">
      <c r="A306" t="s">
        <v>335</v>
      </c>
      <c r="B306" t="s">
        <v>15</v>
      </c>
      <c r="C306" t="s">
        <v>16</v>
      </c>
      <c r="D306">
        <v>21</v>
      </c>
      <c r="E306" t="s">
        <v>333</v>
      </c>
      <c r="F306">
        <v>5419</v>
      </c>
      <c r="G306" t="s">
        <v>18</v>
      </c>
      <c r="H306">
        <v>27</v>
      </c>
      <c r="I306" t="s">
        <v>19</v>
      </c>
      <c r="J306">
        <v>1987</v>
      </c>
      <c r="K306">
        <v>1987</v>
      </c>
      <c r="L306" t="s">
        <v>20</v>
      </c>
      <c r="M306">
        <v>17375</v>
      </c>
      <c r="N306">
        <v>1761</v>
      </c>
    </row>
    <row r="307" spans="1:14" x14ac:dyDescent="0.35">
      <c r="A307" t="s">
        <v>336</v>
      </c>
      <c r="B307" t="s">
        <v>15</v>
      </c>
      <c r="C307" t="s">
        <v>16</v>
      </c>
      <c r="D307">
        <v>21</v>
      </c>
      <c r="E307" t="s">
        <v>333</v>
      </c>
      <c r="F307">
        <v>5419</v>
      </c>
      <c r="G307" t="s">
        <v>18</v>
      </c>
      <c r="H307">
        <v>27</v>
      </c>
      <c r="I307" t="s">
        <v>19</v>
      </c>
      <c r="J307">
        <v>1989</v>
      </c>
      <c r="K307">
        <v>1989</v>
      </c>
      <c r="L307" t="s">
        <v>20</v>
      </c>
      <c r="M307">
        <v>20993</v>
      </c>
      <c r="N307">
        <v>1761</v>
      </c>
    </row>
    <row r="308" spans="1:14" x14ac:dyDescent="0.35">
      <c r="A308" t="s">
        <v>337</v>
      </c>
      <c r="B308" t="s">
        <v>15</v>
      </c>
      <c r="C308" t="s">
        <v>16</v>
      </c>
      <c r="D308">
        <v>21</v>
      </c>
      <c r="E308" t="s">
        <v>333</v>
      </c>
      <c r="F308">
        <v>5419</v>
      </c>
      <c r="G308" t="s">
        <v>18</v>
      </c>
      <c r="H308">
        <v>27</v>
      </c>
      <c r="I308" t="s">
        <v>19</v>
      </c>
      <c r="J308">
        <v>1990</v>
      </c>
      <c r="K308">
        <v>1990</v>
      </c>
      <c r="L308" t="s">
        <v>20</v>
      </c>
      <c r="M308">
        <v>18803</v>
      </c>
      <c r="N308">
        <v>1761</v>
      </c>
    </row>
    <row r="309" spans="1:14" x14ac:dyDescent="0.35">
      <c r="A309" t="s">
        <v>338</v>
      </c>
      <c r="B309" t="s">
        <v>15</v>
      </c>
      <c r="C309" t="s">
        <v>16</v>
      </c>
      <c r="D309">
        <v>21</v>
      </c>
      <c r="E309" t="s">
        <v>333</v>
      </c>
      <c r="F309">
        <v>5419</v>
      </c>
      <c r="G309" t="s">
        <v>18</v>
      </c>
      <c r="H309">
        <v>27</v>
      </c>
      <c r="I309" t="s">
        <v>19</v>
      </c>
      <c r="J309">
        <v>1991</v>
      </c>
      <c r="K309">
        <v>1991</v>
      </c>
      <c r="L309" t="s">
        <v>20</v>
      </c>
      <c r="M309">
        <v>23020</v>
      </c>
      <c r="N309">
        <v>1761</v>
      </c>
    </row>
    <row r="310" spans="1:14" x14ac:dyDescent="0.35">
      <c r="A310" t="s">
        <v>339</v>
      </c>
      <c r="B310" t="s">
        <v>15</v>
      </c>
      <c r="C310" t="s">
        <v>16</v>
      </c>
      <c r="D310">
        <v>21</v>
      </c>
      <c r="E310" t="s">
        <v>333</v>
      </c>
      <c r="F310">
        <v>5419</v>
      </c>
      <c r="G310" t="s">
        <v>18</v>
      </c>
      <c r="H310">
        <v>27</v>
      </c>
      <c r="I310" t="s">
        <v>19</v>
      </c>
      <c r="J310">
        <v>1992</v>
      </c>
      <c r="K310">
        <v>1992</v>
      </c>
      <c r="L310" t="s">
        <v>20</v>
      </c>
      <c r="M310">
        <v>21349</v>
      </c>
      <c r="N310">
        <v>1761</v>
      </c>
    </row>
    <row r="311" spans="1:14" x14ac:dyDescent="0.35">
      <c r="A311" t="s">
        <v>340</v>
      </c>
      <c r="B311" t="s">
        <v>15</v>
      </c>
      <c r="C311" t="s">
        <v>16</v>
      </c>
      <c r="D311">
        <v>21</v>
      </c>
      <c r="E311" t="s">
        <v>333</v>
      </c>
      <c r="F311">
        <v>5419</v>
      </c>
      <c r="G311" t="s">
        <v>18</v>
      </c>
      <c r="H311">
        <v>27</v>
      </c>
      <c r="I311" t="s">
        <v>19</v>
      </c>
      <c r="J311">
        <v>1993</v>
      </c>
      <c r="K311">
        <v>1993</v>
      </c>
      <c r="L311" t="s">
        <v>20</v>
      </c>
      <c r="M311">
        <v>22912</v>
      </c>
      <c r="N311">
        <v>1761</v>
      </c>
    </row>
    <row r="312" spans="1:14" x14ac:dyDescent="0.35">
      <c r="A312" t="s">
        <v>341</v>
      </c>
      <c r="B312" t="s">
        <v>15</v>
      </c>
      <c r="C312" t="s">
        <v>16</v>
      </c>
      <c r="D312">
        <v>21</v>
      </c>
      <c r="E312" t="s">
        <v>333</v>
      </c>
      <c r="F312">
        <v>5419</v>
      </c>
      <c r="G312" t="s">
        <v>18</v>
      </c>
      <c r="H312">
        <v>27</v>
      </c>
      <c r="I312" t="s">
        <v>19</v>
      </c>
      <c r="J312">
        <v>1994</v>
      </c>
      <c r="K312">
        <v>1994</v>
      </c>
      <c r="L312" t="s">
        <v>20</v>
      </c>
      <c r="M312">
        <v>23876</v>
      </c>
      <c r="N312">
        <v>1761</v>
      </c>
    </row>
    <row r="313" spans="1:14" x14ac:dyDescent="0.35">
      <c r="A313" t="s">
        <v>342</v>
      </c>
      <c r="B313" t="s">
        <v>15</v>
      </c>
      <c r="C313" t="s">
        <v>16</v>
      </c>
      <c r="D313">
        <v>21</v>
      </c>
      <c r="E313" t="s">
        <v>333</v>
      </c>
      <c r="F313">
        <v>5419</v>
      </c>
      <c r="G313" t="s">
        <v>18</v>
      </c>
      <c r="H313">
        <v>27</v>
      </c>
      <c r="I313" t="s">
        <v>19</v>
      </c>
      <c r="J313">
        <v>1995</v>
      </c>
      <c r="K313">
        <v>1995</v>
      </c>
      <c r="L313" t="s">
        <v>20</v>
      </c>
      <c r="M313">
        <v>25668</v>
      </c>
      <c r="N313">
        <v>1761</v>
      </c>
    </row>
    <row r="314" spans="1:14" x14ac:dyDescent="0.35">
      <c r="A314" t="s">
        <v>343</v>
      </c>
      <c r="B314" t="s">
        <v>15</v>
      </c>
      <c r="C314" t="s">
        <v>16</v>
      </c>
      <c r="D314">
        <v>21</v>
      </c>
      <c r="E314" t="s">
        <v>333</v>
      </c>
      <c r="F314">
        <v>5419</v>
      </c>
      <c r="G314" t="s">
        <v>18</v>
      </c>
      <c r="H314">
        <v>27</v>
      </c>
      <c r="I314" t="s">
        <v>19</v>
      </c>
      <c r="J314">
        <v>1996</v>
      </c>
      <c r="K314">
        <v>1996</v>
      </c>
      <c r="L314" t="s">
        <v>20</v>
      </c>
      <c r="M314">
        <v>26578</v>
      </c>
      <c r="N314">
        <v>1761</v>
      </c>
    </row>
    <row r="315" spans="1:14" x14ac:dyDescent="0.35">
      <c r="A315" t="s">
        <v>344</v>
      </c>
      <c r="B315" t="s">
        <v>15</v>
      </c>
      <c r="C315" t="s">
        <v>16</v>
      </c>
      <c r="D315">
        <v>21</v>
      </c>
      <c r="E315" t="s">
        <v>333</v>
      </c>
      <c r="F315">
        <v>5419</v>
      </c>
      <c r="G315" t="s">
        <v>18</v>
      </c>
      <c r="H315">
        <v>27</v>
      </c>
      <c r="I315" t="s">
        <v>19</v>
      </c>
      <c r="J315">
        <v>1997</v>
      </c>
      <c r="K315">
        <v>1997</v>
      </c>
      <c r="L315" t="s">
        <v>20</v>
      </c>
      <c r="M315">
        <v>27310</v>
      </c>
      <c r="N315">
        <v>1761</v>
      </c>
    </row>
    <row r="316" spans="1:14" x14ac:dyDescent="0.35">
      <c r="A316" t="s">
        <v>345</v>
      </c>
      <c r="B316" t="s">
        <v>15</v>
      </c>
      <c r="C316" t="s">
        <v>16</v>
      </c>
      <c r="D316">
        <v>21</v>
      </c>
      <c r="E316" t="s">
        <v>333</v>
      </c>
      <c r="F316">
        <v>5419</v>
      </c>
      <c r="G316" t="s">
        <v>18</v>
      </c>
      <c r="H316">
        <v>27</v>
      </c>
      <c r="I316" t="s">
        <v>19</v>
      </c>
      <c r="J316">
        <v>1998</v>
      </c>
      <c r="K316">
        <v>1998</v>
      </c>
      <c r="L316" t="s">
        <v>20</v>
      </c>
      <c r="M316">
        <v>25198</v>
      </c>
      <c r="N316">
        <v>1761</v>
      </c>
    </row>
    <row r="317" spans="1:14" x14ac:dyDescent="0.35">
      <c r="A317" t="s">
        <v>346</v>
      </c>
      <c r="B317" t="s">
        <v>15</v>
      </c>
      <c r="C317" t="s">
        <v>16</v>
      </c>
      <c r="D317">
        <v>21</v>
      </c>
      <c r="E317" t="s">
        <v>333</v>
      </c>
      <c r="F317">
        <v>5419</v>
      </c>
      <c r="G317" t="s">
        <v>18</v>
      </c>
      <c r="H317">
        <v>27</v>
      </c>
      <c r="I317" t="s">
        <v>19</v>
      </c>
      <c r="J317">
        <v>1999</v>
      </c>
      <c r="K317">
        <v>1999</v>
      </c>
      <c r="L317" t="s">
        <v>20</v>
      </c>
      <c r="M317">
        <v>30708</v>
      </c>
      <c r="N317">
        <v>1761</v>
      </c>
    </row>
    <row r="318" spans="1:14" x14ac:dyDescent="0.35">
      <c r="A318" t="s">
        <v>347</v>
      </c>
      <c r="B318" t="s">
        <v>15</v>
      </c>
      <c r="C318" t="s">
        <v>16</v>
      </c>
      <c r="D318">
        <v>21</v>
      </c>
      <c r="E318" t="s">
        <v>333</v>
      </c>
      <c r="F318">
        <v>5419</v>
      </c>
      <c r="G318" t="s">
        <v>18</v>
      </c>
      <c r="H318">
        <v>27</v>
      </c>
      <c r="I318" t="s">
        <v>19</v>
      </c>
      <c r="J318">
        <v>2000</v>
      </c>
      <c r="K318">
        <v>2000</v>
      </c>
      <c r="L318" t="s">
        <v>20</v>
      </c>
      <c r="M318">
        <v>30382</v>
      </c>
      <c r="N318">
        <v>1761</v>
      </c>
    </row>
    <row r="319" spans="1:14" x14ac:dyDescent="0.35">
      <c r="A319" t="s">
        <v>348</v>
      </c>
      <c r="B319" t="s">
        <v>15</v>
      </c>
      <c r="C319" t="s">
        <v>16</v>
      </c>
      <c r="D319">
        <v>21</v>
      </c>
      <c r="E319" t="s">
        <v>333</v>
      </c>
      <c r="F319">
        <v>5419</v>
      </c>
      <c r="G319" t="s">
        <v>18</v>
      </c>
      <c r="H319">
        <v>27</v>
      </c>
      <c r="I319" t="s">
        <v>19</v>
      </c>
      <c r="J319">
        <v>2001</v>
      </c>
      <c r="K319">
        <v>2001</v>
      </c>
      <c r="L319" t="s">
        <v>20</v>
      </c>
      <c r="M319">
        <v>32405</v>
      </c>
      <c r="N319">
        <v>1761</v>
      </c>
    </row>
    <row r="320" spans="1:14" x14ac:dyDescent="0.35">
      <c r="A320" t="s">
        <v>349</v>
      </c>
      <c r="B320" t="s">
        <v>15</v>
      </c>
      <c r="C320" t="s">
        <v>16</v>
      </c>
      <c r="D320">
        <v>21</v>
      </c>
      <c r="E320" t="s">
        <v>333</v>
      </c>
      <c r="F320">
        <v>5419</v>
      </c>
      <c r="G320" t="s">
        <v>18</v>
      </c>
      <c r="H320">
        <v>27</v>
      </c>
      <c r="I320" t="s">
        <v>19</v>
      </c>
      <c r="J320">
        <v>2002</v>
      </c>
      <c r="K320">
        <v>2002</v>
      </c>
      <c r="L320" t="s">
        <v>20</v>
      </c>
      <c r="M320">
        <v>33246</v>
      </c>
      <c r="N320">
        <v>1761</v>
      </c>
    </row>
    <row r="321" spans="1:14" x14ac:dyDescent="0.35">
      <c r="A321" t="s">
        <v>350</v>
      </c>
      <c r="B321" t="s">
        <v>15</v>
      </c>
      <c r="C321" t="s">
        <v>16</v>
      </c>
      <c r="D321">
        <v>21</v>
      </c>
      <c r="E321" t="s">
        <v>333</v>
      </c>
      <c r="F321">
        <v>5419</v>
      </c>
      <c r="G321" t="s">
        <v>18</v>
      </c>
      <c r="H321">
        <v>27</v>
      </c>
      <c r="I321" t="s">
        <v>19</v>
      </c>
      <c r="J321">
        <v>2004</v>
      </c>
      <c r="K321">
        <v>2004</v>
      </c>
      <c r="L321" t="s">
        <v>20</v>
      </c>
      <c r="M321">
        <v>35565</v>
      </c>
      <c r="N321">
        <v>1761</v>
      </c>
    </row>
    <row r="322" spans="1:14" x14ac:dyDescent="0.35">
      <c r="A322" t="s">
        <v>351</v>
      </c>
      <c r="B322" t="s">
        <v>15</v>
      </c>
      <c r="C322" t="s">
        <v>16</v>
      </c>
      <c r="D322">
        <v>21</v>
      </c>
      <c r="E322" t="s">
        <v>333</v>
      </c>
      <c r="F322">
        <v>5419</v>
      </c>
      <c r="G322" t="s">
        <v>18</v>
      </c>
      <c r="H322">
        <v>27</v>
      </c>
      <c r="I322" t="s">
        <v>19</v>
      </c>
      <c r="J322">
        <v>2005</v>
      </c>
      <c r="K322">
        <v>2005</v>
      </c>
      <c r="L322" t="s">
        <v>20</v>
      </c>
      <c r="M322">
        <v>33691</v>
      </c>
      <c r="N322">
        <v>1761</v>
      </c>
    </row>
    <row r="323" spans="1:14" x14ac:dyDescent="0.35">
      <c r="A323" t="s">
        <v>352</v>
      </c>
      <c r="B323" t="s">
        <v>15</v>
      </c>
      <c r="C323" t="s">
        <v>16</v>
      </c>
      <c r="D323">
        <v>21</v>
      </c>
      <c r="E323" t="s">
        <v>333</v>
      </c>
      <c r="F323">
        <v>5419</v>
      </c>
      <c r="G323" t="s">
        <v>18</v>
      </c>
      <c r="H323">
        <v>27</v>
      </c>
      <c r="I323" t="s">
        <v>19</v>
      </c>
      <c r="J323">
        <v>2006</v>
      </c>
      <c r="K323">
        <v>2006</v>
      </c>
      <c r="L323" t="s">
        <v>20</v>
      </c>
      <c r="M323">
        <v>38798</v>
      </c>
      <c r="N323">
        <v>1761</v>
      </c>
    </row>
    <row r="324" spans="1:14" x14ac:dyDescent="0.35">
      <c r="A324" t="s">
        <v>353</v>
      </c>
      <c r="B324" t="s">
        <v>15</v>
      </c>
      <c r="C324" t="s">
        <v>16</v>
      </c>
      <c r="D324">
        <v>21</v>
      </c>
      <c r="E324" t="s">
        <v>333</v>
      </c>
      <c r="F324">
        <v>5419</v>
      </c>
      <c r="G324" t="s">
        <v>18</v>
      </c>
      <c r="H324">
        <v>27</v>
      </c>
      <c r="I324" t="s">
        <v>19</v>
      </c>
      <c r="J324">
        <v>2007</v>
      </c>
      <c r="K324">
        <v>2007</v>
      </c>
      <c r="L324" t="s">
        <v>20</v>
      </c>
      <c r="M324">
        <v>38260</v>
      </c>
      <c r="N324">
        <v>1761</v>
      </c>
    </row>
    <row r="325" spans="1:14" x14ac:dyDescent="0.35">
      <c r="A325" t="s">
        <v>354</v>
      </c>
      <c r="B325" t="s">
        <v>15</v>
      </c>
      <c r="C325" t="s">
        <v>16</v>
      </c>
      <c r="D325">
        <v>21</v>
      </c>
      <c r="E325" t="s">
        <v>333</v>
      </c>
      <c r="F325">
        <v>5419</v>
      </c>
      <c r="G325" t="s">
        <v>18</v>
      </c>
      <c r="H325">
        <v>27</v>
      </c>
      <c r="I325" t="s">
        <v>19</v>
      </c>
      <c r="J325">
        <v>2008</v>
      </c>
      <c r="K325">
        <v>2008</v>
      </c>
      <c r="L325" t="s">
        <v>20</v>
      </c>
      <c r="M325">
        <v>42311</v>
      </c>
      <c r="N325">
        <v>1761</v>
      </c>
    </row>
    <row r="326" spans="1:14" x14ac:dyDescent="0.35">
      <c r="A326" t="s">
        <v>355</v>
      </c>
      <c r="B326" t="s">
        <v>15</v>
      </c>
      <c r="C326" t="s">
        <v>16</v>
      </c>
      <c r="D326">
        <v>21</v>
      </c>
      <c r="E326" t="s">
        <v>333</v>
      </c>
      <c r="F326">
        <v>5419</v>
      </c>
      <c r="G326" t="s">
        <v>18</v>
      </c>
      <c r="H326">
        <v>27</v>
      </c>
      <c r="I326" t="s">
        <v>19</v>
      </c>
      <c r="J326">
        <v>2009</v>
      </c>
      <c r="K326">
        <v>2009</v>
      </c>
      <c r="L326" t="s">
        <v>20</v>
      </c>
      <c r="M326">
        <v>44049</v>
      </c>
      <c r="N326">
        <v>1761</v>
      </c>
    </row>
    <row r="327" spans="1:14" x14ac:dyDescent="0.35">
      <c r="A327" t="s">
        <v>356</v>
      </c>
      <c r="B327" t="s">
        <v>15</v>
      </c>
      <c r="C327" t="s">
        <v>16</v>
      </c>
      <c r="D327">
        <v>21</v>
      </c>
      <c r="E327" t="s">
        <v>333</v>
      </c>
      <c r="F327">
        <v>5419</v>
      </c>
      <c r="G327" t="s">
        <v>18</v>
      </c>
      <c r="H327">
        <v>27</v>
      </c>
      <c r="I327" t="s">
        <v>19</v>
      </c>
      <c r="J327">
        <v>2010</v>
      </c>
      <c r="K327">
        <v>2010</v>
      </c>
      <c r="L327" t="s">
        <v>20</v>
      </c>
      <c r="M327">
        <v>41271</v>
      </c>
      <c r="N327">
        <v>1761</v>
      </c>
    </row>
    <row r="328" spans="1:14" x14ac:dyDescent="0.35">
      <c r="A328" t="s">
        <v>357</v>
      </c>
      <c r="B328" t="s">
        <v>15</v>
      </c>
      <c r="C328" t="s">
        <v>16</v>
      </c>
      <c r="D328">
        <v>21</v>
      </c>
      <c r="E328" t="s">
        <v>333</v>
      </c>
      <c r="F328">
        <v>5419</v>
      </c>
      <c r="G328" t="s">
        <v>18</v>
      </c>
      <c r="H328">
        <v>27</v>
      </c>
      <c r="I328" t="s">
        <v>19</v>
      </c>
      <c r="J328">
        <v>2011</v>
      </c>
      <c r="K328">
        <v>2011</v>
      </c>
      <c r="L328" t="s">
        <v>20</v>
      </c>
      <c r="M328">
        <v>48956</v>
      </c>
      <c r="N328">
        <v>1761</v>
      </c>
    </row>
    <row r="329" spans="1:14" x14ac:dyDescent="0.35">
      <c r="A329" t="s">
        <v>358</v>
      </c>
      <c r="B329" t="s">
        <v>15</v>
      </c>
      <c r="C329" t="s">
        <v>16</v>
      </c>
      <c r="D329">
        <v>21</v>
      </c>
      <c r="E329" t="s">
        <v>333</v>
      </c>
      <c r="F329">
        <v>5419</v>
      </c>
      <c r="G329" t="s">
        <v>18</v>
      </c>
      <c r="H329">
        <v>27</v>
      </c>
      <c r="I329" t="s">
        <v>19</v>
      </c>
      <c r="J329">
        <v>2012</v>
      </c>
      <c r="K329">
        <v>2012</v>
      </c>
      <c r="L329" t="s">
        <v>20</v>
      </c>
      <c r="M329">
        <v>47860</v>
      </c>
      <c r="N329">
        <v>1761</v>
      </c>
    </row>
    <row r="330" spans="1:14" x14ac:dyDescent="0.35">
      <c r="A330" t="s">
        <v>359</v>
      </c>
      <c r="B330" t="s">
        <v>15</v>
      </c>
      <c r="C330" t="s">
        <v>16</v>
      </c>
      <c r="D330">
        <v>21</v>
      </c>
      <c r="E330" t="s">
        <v>333</v>
      </c>
      <c r="F330">
        <v>5419</v>
      </c>
      <c r="G330" t="s">
        <v>18</v>
      </c>
      <c r="H330">
        <v>27</v>
      </c>
      <c r="I330" t="s">
        <v>19</v>
      </c>
      <c r="J330">
        <v>2013</v>
      </c>
      <c r="K330">
        <v>2013</v>
      </c>
      <c r="L330" t="s">
        <v>20</v>
      </c>
      <c r="M330">
        <v>50071</v>
      </c>
      <c r="N330">
        <v>1761</v>
      </c>
    </row>
    <row r="331" spans="1:14" x14ac:dyDescent="0.35">
      <c r="A331" t="s">
        <v>360</v>
      </c>
      <c r="B331" t="s">
        <v>15</v>
      </c>
      <c r="C331" t="s">
        <v>16</v>
      </c>
      <c r="D331">
        <v>21</v>
      </c>
      <c r="E331" t="s">
        <v>333</v>
      </c>
      <c r="F331">
        <v>5419</v>
      </c>
      <c r="G331" t="s">
        <v>18</v>
      </c>
      <c r="H331">
        <v>27</v>
      </c>
      <c r="I331" t="s">
        <v>19</v>
      </c>
      <c r="J331">
        <v>2014</v>
      </c>
      <c r="K331">
        <v>2014</v>
      </c>
      <c r="L331" t="s">
        <v>20</v>
      </c>
      <c r="M331">
        <v>52013</v>
      </c>
      <c r="N331">
        <v>1761</v>
      </c>
    </row>
    <row r="332" spans="1:14" x14ac:dyDescent="0.35">
      <c r="A332" t="s">
        <v>361</v>
      </c>
      <c r="B332" t="s">
        <v>15</v>
      </c>
      <c r="C332" t="s">
        <v>16</v>
      </c>
      <c r="D332">
        <v>21</v>
      </c>
      <c r="E332" t="s">
        <v>333</v>
      </c>
      <c r="F332">
        <v>5419</v>
      </c>
      <c r="G332" t="s">
        <v>18</v>
      </c>
      <c r="H332">
        <v>27</v>
      </c>
      <c r="I332" t="s">
        <v>19</v>
      </c>
      <c r="J332">
        <v>2015</v>
      </c>
      <c r="K332">
        <v>2015</v>
      </c>
      <c r="L332" t="s">
        <v>20</v>
      </c>
      <c r="M332">
        <v>57525</v>
      </c>
      <c r="N332">
        <v>1761</v>
      </c>
    </row>
    <row r="333" spans="1:14" x14ac:dyDescent="0.35">
      <c r="A333" t="s">
        <v>362</v>
      </c>
      <c r="B333" t="s">
        <v>15</v>
      </c>
      <c r="C333" t="s">
        <v>16</v>
      </c>
      <c r="D333">
        <v>21</v>
      </c>
      <c r="E333" t="s">
        <v>333</v>
      </c>
      <c r="F333">
        <v>5419</v>
      </c>
      <c r="G333" t="s">
        <v>18</v>
      </c>
      <c r="H333">
        <v>27</v>
      </c>
      <c r="I333" t="s">
        <v>19</v>
      </c>
      <c r="J333">
        <v>2016</v>
      </c>
      <c r="K333">
        <v>2016</v>
      </c>
      <c r="L333" t="s">
        <v>20</v>
      </c>
      <c r="M333">
        <v>54643</v>
      </c>
      <c r="N333">
        <v>1761</v>
      </c>
    </row>
    <row r="334" spans="1:14" x14ac:dyDescent="0.35">
      <c r="A334" t="s">
        <v>363</v>
      </c>
      <c r="B334" t="s">
        <v>15</v>
      </c>
      <c r="C334" t="s">
        <v>16</v>
      </c>
      <c r="D334">
        <v>26</v>
      </c>
      <c r="E334" t="s">
        <v>364</v>
      </c>
      <c r="F334">
        <v>5419</v>
      </c>
      <c r="G334" t="s">
        <v>18</v>
      </c>
      <c r="H334">
        <v>27</v>
      </c>
      <c r="I334" t="s">
        <v>19</v>
      </c>
      <c r="J334">
        <v>1985</v>
      </c>
      <c r="K334">
        <v>1985</v>
      </c>
      <c r="L334" t="s">
        <v>20</v>
      </c>
      <c r="M334">
        <v>12394</v>
      </c>
      <c r="N334">
        <v>2722</v>
      </c>
    </row>
    <row r="335" spans="1:14" x14ac:dyDescent="0.35">
      <c r="A335" t="s">
        <v>365</v>
      </c>
      <c r="B335" t="s">
        <v>15</v>
      </c>
      <c r="C335" t="s">
        <v>16</v>
      </c>
      <c r="D335">
        <v>26</v>
      </c>
      <c r="E335" t="s">
        <v>364</v>
      </c>
      <c r="F335">
        <v>5419</v>
      </c>
      <c r="G335" t="s">
        <v>18</v>
      </c>
      <c r="H335">
        <v>27</v>
      </c>
      <c r="I335" t="s">
        <v>19</v>
      </c>
      <c r="J335">
        <v>1986</v>
      </c>
      <c r="K335">
        <v>1986</v>
      </c>
      <c r="L335" t="s">
        <v>20</v>
      </c>
      <c r="M335">
        <v>21359</v>
      </c>
      <c r="N335">
        <v>2722</v>
      </c>
    </row>
    <row r="336" spans="1:14" x14ac:dyDescent="0.35">
      <c r="A336" t="s">
        <v>366</v>
      </c>
      <c r="B336" t="s">
        <v>15</v>
      </c>
      <c r="C336" t="s">
        <v>16</v>
      </c>
      <c r="D336">
        <v>26</v>
      </c>
      <c r="E336" t="s">
        <v>364</v>
      </c>
      <c r="F336">
        <v>5419</v>
      </c>
      <c r="G336" t="s">
        <v>18</v>
      </c>
      <c r="H336">
        <v>27</v>
      </c>
      <c r="I336" t="s">
        <v>19</v>
      </c>
      <c r="J336">
        <v>1987</v>
      </c>
      <c r="K336">
        <v>1987</v>
      </c>
      <c r="L336" t="s">
        <v>20</v>
      </c>
      <c r="M336">
        <v>10630</v>
      </c>
      <c r="N336">
        <v>2722</v>
      </c>
    </row>
    <row r="337" spans="1:14" x14ac:dyDescent="0.35">
      <c r="A337" t="s">
        <v>367</v>
      </c>
      <c r="B337" t="s">
        <v>15</v>
      </c>
      <c r="C337" t="s">
        <v>16</v>
      </c>
      <c r="D337">
        <v>26</v>
      </c>
      <c r="E337" t="s">
        <v>364</v>
      </c>
      <c r="F337">
        <v>5419</v>
      </c>
      <c r="G337" t="s">
        <v>18</v>
      </c>
      <c r="H337">
        <v>27</v>
      </c>
      <c r="I337" t="s">
        <v>19</v>
      </c>
      <c r="J337">
        <v>1989</v>
      </c>
      <c r="K337">
        <v>1989</v>
      </c>
      <c r="L337" t="s">
        <v>20</v>
      </c>
      <c r="M337">
        <v>22286</v>
      </c>
      <c r="N337">
        <v>2722</v>
      </c>
    </row>
    <row r="338" spans="1:14" x14ac:dyDescent="0.35">
      <c r="A338" t="s">
        <v>368</v>
      </c>
      <c r="B338" t="s">
        <v>15</v>
      </c>
      <c r="C338" t="s">
        <v>16</v>
      </c>
      <c r="D338">
        <v>26</v>
      </c>
      <c r="E338" t="s">
        <v>364</v>
      </c>
      <c r="F338">
        <v>5419</v>
      </c>
      <c r="G338" t="s">
        <v>18</v>
      </c>
      <c r="H338">
        <v>27</v>
      </c>
      <c r="I338" t="s">
        <v>19</v>
      </c>
      <c r="J338">
        <v>1990</v>
      </c>
      <c r="K338">
        <v>1990</v>
      </c>
      <c r="L338" t="s">
        <v>20</v>
      </c>
      <c r="M338">
        <v>15500</v>
      </c>
      <c r="N338">
        <v>2722</v>
      </c>
    </row>
    <row r="339" spans="1:14" x14ac:dyDescent="0.35">
      <c r="A339" t="s">
        <v>369</v>
      </c>
      <c r="B339" t="s">
        <v>15</v>
      </c>
      <c r="C339" t="s">
        <v>16</v>
      </c>
      <c r="D339">
        <v>26</v>
      </c>
      <c r="E339" t="s">
        <v>364</v>
      </c>
      <c r="F339">
        <v>5419</v>
      </c>
      <c r="G339" t="s">
        <v>18</v>
      </c>
      <c r="H339">
        <v>27</v>
      </c>
      <c r="I339" t="s">
        <v>19</v>
      </c>
      <c r="J339">
        <v>1991</v>
      </c>
      <c r="K339">
        <v>1991</v>
      </c>
      <c r="L339" t="s">
        <v>20</v>
      </c>
      <c r="M339">
        <v>16000</v>
      </c>
      <c r="N339">
        <v>2722</v>
      </c>
    </row>
    <row r="340" spans="1:14" x14ac:dyDescent="0.35">
      <c r="A340" t="s">
        <v>370</v>
      </c>
      <c r="B340" t="s">
        <v>15</v>
      </c>
      <c r="C340" t="s">
        <v>16</v>
      </c>
      <c r="D340">
        <v>26</v>
      </c>
      <c r="E340" t="s">
        <v>364</v>
      </c>
      <c r="F340">
        <v>5419</v>
      </c>
      <c r="G340" t="s">
        <v>18</v>
      </c>
      <c r="H340">
        <v>27</v>
      </c>
      <c r="I340" t="s">
        <v>19</v>
      </c>
      <c r="J340">
        <v>1992</v>
      </c>
      <c r="K340">
        <v>1992</v>
      </c>
      <c r="L340" t="s">
        <v>20</v>
      </c>
      <c r="M340">
        <v>12333</v>
      </c>
      <c r="N340">
        <v>2722</v>
      </c>
    </row>
    <row r="341" spans="1:14" x14ac:dyDescent="0.35">
      <c r="A341" t="s">
        <v>371</v>
      </c>
      <c r="B341" t="s">
        <v>15</v>
      </c>
      <c r="C341" t="s">
        <v>16</v>
      </c>
      <c r="D341">
        <v>26</v>
      </c>
      <c r="E341" t="s">
        <v>364</v>
      </c>
      <c r="F341">
        <v>5419</v>
      </c>
      <c r="G341" t="s">
        <v>18</v>
      </c>
      <c r="H341">
        <v>27</v>
      </c>
      <c r="I341" t="s">
        <v>19</v>
      </c>
      <c r="J341">
        <v>1993</v>
      </c>
      <c r="K341">
        <v>1993</v>
      </c>
      <c r="L341" t="s">
        <v>20</v>
      </c>
      <c r="M341">
        <v>22571</v>
      </c>
      <c r="N341">
        <v>2722</v>
      </c>
    </row>
    <row r="342" spans="1:14" x14ac:dyDescent="0.35">
      <c r="A342" t="s">
        <v>372</v>
      </c>
      <c r="B342" t="s">
        <v>15</v>
      </c>
      <c r="C342" t="s">
        <v>16</v>
      </c>
      <c r="D342">
        <v>26</v>
      </c>
      <c r="E342" t="s">
        <v>364</v>
      </c>
      <c r="F342">
        <v>5419</v>
      </c>
      <c r="G342" t="s">
        <v>18</v>
      </c>
      <c r="H342">
        <v>27</v>
      </c>
      <c r="I342" t="s">
        <v>19</v>
      </c>
      <c r="J342">
        <v>1994</v>
      </c>
      <c r="K342">
        <v>1994</v>
      </c>
      <c r="L342" t="s">
        <v>20</v>
      </c>
      <c r="M342">
        <v>16702</v>
      </c>
      <c r="N342">
        <v>2722</v>
      </c>
    </row>
    <row r="343" spans="1:14" x14ac:dyDescent="0.35">
      <c r="A343" t="s">
        <v>373</v>
      </c>
      <c r="B343" t="s">
        <v>15</v>
      </c>
      <c r="C343" t="s">
        <v>16</v>
      </c>
      <c r="D343">
        <v>26</v>
      </c>
      <c r="E343" t="s">
        <v>364</v>
      </c>
      <c r="F343">
        <v>5419</v>
      </c>
      <c r="G343" t="s">
        <v>18</v>
      </c>
      <c r="H343">
        <v>27</v>
      </c>
      <c r="I343" t="s">
        <v>19</v>
      </c>
      <c r="J343">
        <v>1995</v>
      </c>
      <c r="K343">
        <v>1995</v>
      </c>
      <c r="L343" t="s">
        <v>20</v>
      </c>
      <c r="M343">
        <v>16387</v>
      </c>
      <c r="N343">
        <v>2722</v>
      </c>
    </row>
    <row r="344" spans="1:14" x14ac:dyDescent="0.35">
      <c r="A344" t="s">
        <v>374</v>
      </c>
      <c r="B344" t="s">
        <v>15</v>
      </c>
      <c r="C344" t="s">
        <v>16</v>
      </c>
      <c r="D344">
        <v>26</v>
      </c>
      <c r="E344" t="s">
        <v>364</v>
      </c>
      <c r="F344">
        <v>5419</v>
      </c>
      <c r="G344" t="s">
        <v>18</v>
      </c>
      <c r="H344">
        <v>27</v>
      </c>
      <c r="I344" t="s">
        <v>19</v>
      </c>
      <c r="J344">
        <v>1996</v>
      </c>
      <c r="K344">
        <v>1996</v>
      </c>
      <c r="L344" t="s">
        <v>20</v>
      </c>
      <c r="M344">
        <v>16519</v>
      </c>
      <c r="N344">
        <v>2722</v>
      </c>
    </row>
    <row r="345" spans="1:14" x14ac:dyDescent="0.35">
      <c r="A345" t="s">
        <v>375</v>
      </c>
      <c r="B345" t="s">
        <v>15</v>
      </c>
      <c r="C345" t="s">
        <v>16</v>
      </c>
      <c r="D345">
        <v>26</v>
      </c>
      <c r="E345" t="s">
        <v>364</v>
      </c>
      <c r="F345">
        <v>5419</v>
      </c>
      <c r="G345" t="s">
        <v>18</v>
      </c>
      <c r="H345">
        <v>27</v>
      </c>
      <c r="I345" t="s">
        <v>19</v>
      </c>
      <c r="J345">
        <v>1997</v>
      </c>
      <c r="K345">
        <v>1997</v>
      </c>
      <c r="L345" t="s">
        <v>20</v>
      </c>
      <c r="M345">
        <v>13097</v>
      </c>
      <c r="N345">
        <v>2722</v>
      </c>
    </row>
    <row r="346" spans="1:14" x14ac:dyDescent="0.35">
      <c r="A346" t="s">
        <v>376</v>
      </c>
      <c r="B346" t="s">
        <v>15</v>
      </c>
      <c r="C346" t="s">
        <v>16</v>
      </c>
      <c r="D346">
        <v>26</v>
      </c>
      <c r="E346" t="s">
        <v>364</v>
      </c>
      <c r="F346">
        <v>5419</v>
      </c>
      <c r="G346" t="s">
        <v>18</v>
      </c>
      <c r="H346">
        <v>27</v>
      </c>
      <c r="I346" t="s">
        <v>19</v>
      </c>
      <c r="J346">
        <v>1998</v>
      </c>
      <c r="K346">
        <v>1998</v>
      </c>
      <c r="L346" t="s">
        <v>20</v>
      </c>
      <c r="M346">
        <v>10944</v>
      </c>
      <c r="N346">
        <v>2722</v>
      </c>
    </row>
    <row r="347" spans="1:14" x14ac:dyDescent="0.35">
      <c r="A347" t="s">
        <v>377</v>
      </c>
      <c r="B347" t="s">
        <v>15</v>
      </c>
      <c r="C347" t="s">
        <v>16</v>
      </c>
      <c r="D347">
        <v>26</v>
      </c>
      <c r="E347" t="s">
        <v>364</v>
      </c>
      <c r="F347">
        <v>5419</v>
      </c>
      <c r="G347" t="s">
        <v>18</v>
      </c>
      <c r="H347">
        <v>27</v>
      </c>
      <c r="I347" t="s">
        <v>19</v>
      </c>
      <c r="J347">
        <v>1999</v>
      </c>
      <c r="K347">
        <v>1999</v>
      </c>
      <c r="L347" t="s">
        <v>20</v>
      </c>
      <c r="M347">
        <v>5263</v>
      </c>
      <c r="N347">
        <v>2722</v>
      </c>
    </row>
    <row r="348" spans="1:14" x14ac:dyDescent="0.35">
      <c r="A348" t="s">
        <v>378</v>
      </c>
      <c r="B348" t="s">
        <v>15</v>
      </c>
      <c r="C348" t="s">
        <v>16</v>
      </c>
      <c r="D348">
        <v>26</v>
      </c>
      <c r="E348" t="s">
        <v>364</v>
      </c>
      <c r="F348">
        <v>5419</v>
      </c>
      <c r="G348" t="s">
        <v>18</v>
      </c>
      <c r="H348">
        <v>27</v>
      </c>
      <c r="I348" t="s">
        <v>19</v>
      </c>
      <c r="J348">
        <v>2000</v>
      </c>
      <c r="K348">
        <v>2000</v>
      </c>
      <c r="L348" t="s">
        <v>20</v>
      </c>
      <c r="M348">
        <v>6500</v>
      </c>
      <c r="N348">
        <v>2722</v>
      </c>
    </row>
    <row r="349" spans="1:14" x14ac:dyDescent="0.35">
      <c r="A349" t="s">
        <v>379</v>
      </c>
      <c r="B349" t="s">
        <v>15</v>
      </c>
      <c r="C349" t="s">
        <v>16</v>
      </c>
      <c r="D349">
        <v>26</v>
      </c>
      <c r="E349" t="s">
        <v>364</v>
      </c>
      <c r="F349">
        <v>5419</v>
      </c>
      <c r="G349" t="s">
        <v>18</v>
      </c>
      <c r="H349">
        <v>27</v>
      </c>
      <c r="I349" t="s">
        <v>19</v>
      </c>
      <c r="J349">
        <v>2001</v>
      </c>
      <c r="K349">
        <v>2001</v>
      </c>
      <c r="L349" t="s">
        <v>20</v>
      </c>
      <c r="M349">
        <v>7292</v>
      </c>
      <c r="N349">
        <v>2722</v>
      </c>
    </row>
    <row r="350" spans="1:14" x14ac:dyDescent="0.35">
      <c r="A350" t="s">
        <v>380</v>
      </c>
      <c r="B350" t="s">
        <v>15</v>
      </c>
      <c r="C350" t="s">
        <v>16</v>
      </c>
      <c r="D350">
        <v>26</v>
      </c>
      <c r="E350" t="s">
        <v>364</v>
      </c>
      <c r="F350">
        <v>5419</v>
      </c>
      <c r="G350" t="s">
        <v>18</v>
      </c>
      <c r="H350">
        <v>27</v>
      </c>
      <c r="I350" t="s">
        <v>19</v>
      </c>
      <c r="J350">
        <v>2002</v>
      </c>
      <c r="K350">
        <v>2002</v>
      </c>
      <c r="L350" t="s">
        <v>20</v>
      </c>
      <c r="M350">
        <v>7294</v>
      </c>
      <c r="N350">
        <v>2722</v>
      </c>
    </row>
    <row r="351" spans="1:14" x14ac:dyDescent="0.35">
      <c r="A351" t="s">
        <v>381</v>
      </c>
      <c r="B351" t="s">
        <v>15</v>
      </c>
      <c r="C351" t="s">
        <v>16</v>
      </c>
      <c r="D351">
        <v>26</v>
      </c>
      <c r="E351" t="s">
        <v>364</v>
      </c>
      <c r="F351">
        <v>5419</v>
      </c>
      <c r="G351" t="s">
        <v>18</v>
      </c>
      <c r="H351">
        <v>27</v>
      </c>
      <c r="I351" t="s">
        <v>19</v>
      </c>
      <c r="J351">
        <v>2004</v>
      </c>
      <c r="K351">
        <v>2004</v>
      </c>
      <c r="L351" t="s">
        <v>20</v>
      </c>
      <c r="M351">
        <v>8190</v>
      </c>
      <c r="N351">
        <v>2722</v>
      </c>
    </row>
    <row r="352" spans="1:14" x14ac:dyDescent="0.35">
      <c r="A352" t="s">
        <v>382</v>
      </c>
      <c r="B352" t="s">
        <v>15</v>
      </c>
      <c r="C352" t="s">
        <v>16</v>
      </c>
      <c r="D352">
        <v>26</v>
      </c>
      <c r="E352" t="s">
        <v>364</v>
      </c>
      <c r="F352">
        <v>5419</v>
      </c>
      <c r="G352" t="s">
        <v>18</v>
      </c>
      <c r="H352">
        <v>27</v>
      </c>
      <c r="I352" t="s">
        <v>19</v>
      </c>
      <c r="J352">
        <v>2005</v>
      </c>
      <c r="K352">
        <v>2005</v>
      </c>
      <c r="L352" t="s">
        <v>20</v>
      </c>
      <c r="M352">
        <v>8728</v>
      </c>
      <c r="N352">
        <v>2722</v>
      </c>
    </row>
    <row r="353" spans="1:14" x14ac:dyDescent="0.35">
      <c r="A353" t="s">
        <v>383</v>
      </c>
      <c r="B353" t="s">
        <v>15</v>
      </c>
      <c r="C353" t="s">
        <v>16</v>
      </c>
      <c r="D353">
        <v>26</v>
      </c>
      <c r="E353" t="s">
        <v>364</v>
      </c>
      <c r="F353">
        <v>5419</v>
      </c>
      <c r="G353" t="s">
        <v>18</v>
      </c>
      <c r="H353">
        <v>27</v>
      </c>
      <c r="I353" t="s">
        <v>19</v>
      </c>
      <c r="J353">
        <v>2006</v>
      </c>
      <c r="K353">
        <v>2006</v>
      </c>
      <c r="L353" t="s">
        <v>20</v>
      </c>
      <c r="M353">
        <v>8091</v>
      </c>
      <c r="N353">
        <v>2722</v>
      </c>
    </row>
    <row r="354" spans="1:14" x14ac:dyDescent="0.35">
      <c r="A354" t="s">
        <v>384</v>
      </c>
      <c r="B354" t="s">
        <v>15</v>
      </c>
      <c r="C354" t="s">
        <v>16</v>
      </c>
      <c r="D354">
        <v>26</v>
      </c>
      <c r="E354" t="s">
        <v>364</v>
      </c>
      <c r="F354">
        <v>5419</v>
      </c>
      <c r="G354" t="s">
        <v>18</v>
      </c>
      <c r="H354">
        <v>27</v>
      </c>
      <c r="I354" t="s">
        <v>19</v>
      </c>
      <c r="J354">
        <v>2007</v>
      </c>
      <c r="K354">
        <v>2007</v>
      </c>
      <c r="L354" t="s">
        <v>20</v>
      </c>
      <c r="M354">
        <v>7255</v>
      </c>
      <c r="N354">
        <v>2722</v>
      </c>
    </row>
    <row r="355" spans="1:14" x14ac:dyDescent="0.35">
      <c r="A355" t="s">
        <v>385</v>
      </c>
      <c r="B355" t="s">
        <v>15</v>
      </c>
      <c r="C355" t="s">
        <v>16</v>
      </c>
      <c r="D355">
        <v>26</v>
      </c>
      <c r="E355" t="s">
        <v>364</v>
      </c>
      <c r="F355">
        <v>5419</v>
      </c>
      <c r="G355" t="s">
        <v>18</v>
      </c>
      <c r="H355">
        <v>27</v>
      </c>
      <c r="I355" t="s">
        <v>19</v>
      </c>
      <c r="J355">
        <v>2008</v>
      </c>
      <c r="K355">
        <v>2008</v>
      </c>
      <c r="L355" t="s">
        <v>20</v>
      </c>
      <c r="M355">
        <v>7008</v>
      </c>
      <c r="N355">
        <v>2722</v>
      </c>
    </row>
    <row r="356" spans="1:14" x14ac:dyDescent="0.35">
      <c r="A356" t="s">
        <v>386</v>
      </c>
      <c r="B356" t="s">
        <v>15</v>
      </c>
      <c r="C356" t="s">
        <v>16</v>
      </c>
      <c r="D356">
        <v>26</v>
      </c>
      <c r="E356" t="s">
        <v>364</v>
      </c>
      <c r="F356">
        <v>5419</v>
      </c>
      <c r="G356" t="s">
        <v>18</v>
      </c>
      <c r="H356">
        <v>27</v>
      </c>
      <c r="I356" t="s">
        <v>19</v>
      </c>
      <c r="J356">
        <v>2009</v>
      </c>
      <c r="K356">
        <v>2009</v>
      </c>
      <c r="L356" t="s">
        <v>20</v>
      </c>
      <c r="M356">
        <v>5147</v>
      </c>
      <c r="N356">
        <v>2722</v>
      </c>
    </row>
    <row r="357" spans="1:14" x14ac:dyDescent="0.35">
      <c r="A357" t="s">
        <v>387</v>
      </c>
      <c r="B357" t="s">
        <v>15</v>
      </c>
      <c r="C357" t="s">
        <v>16</v>
      </c>
      <c r="D357">
        <v>26</v>
      </c>
      <c r="E357" t="s">
        <v>364</v>
      </c>
      <c r="F357">
        <v>5419</v>
      </c>
      <c r="G357" t="s">
        <v>18</v>
      </c>
      <c r="H357">
        <v>27</v>
      </c>
      <c r="I357" t="s">
        <v>19</v>
      </c>
      <c r="J357">
        <v>2010</v>
      </c>
      <c r="K357">
        <v>2010</v>
      </c>
      <c r="L357" t="s">
        <v>20</v>
      </c>
      <c r="M357">
        <v>5801</v>
      </c>
      <c r="N357">
        <v>2722</v>
      </c>
    </row>
    <row r="358" spans="1:14" x14ac:dyDescent="0.35">
      <c r="A358" t="s">
        <v>388</v>
      </c>
      <c r="B358" t="s">
        <v>15</v>
      </c>
      <c r="C358" t="s">
        <v>16</v>
      </c>
      <c r="D358">
        <v>26</v>
      </c>
      <c r="E358" t="s">
        <v>364</v>
      </c>
      <c r="F358">
        <v>5419</v>
      </c>
      <c r="G358" t="s">
        <v>18</v>
      </c>
      <c r="H358">
        <v>27</v>
      </c>
      <c r="I358" t="s">
        <v>19</v>
      </c>
      <c r="J358">
        <v>2011</v>
      </c>
      <c r="K358">
        <v>2011</v>
      </c>
      <c r="L358" t="s">
        <v>20</v>
      </c>
      <c r="M358">
        <v>9227</v>
      </c>
      <c r="N358">
        <v>2722</v>
      </c>
    </row>
    <row r="359" spans="1:14" x14ac:dyDescent="0.35">
      <c r="A359" t="s">
        <v>389</v>
      </c>
      <c r="B359" t="s">
        <v>15</v>
      </c>
      <c r="C359" t="s">
        <v>16</v>
      </c>
      <c r="D359">
        <v>26</v>
      </c>
      <c r="E359" t="s">
        <v>364</v>
      </c>
      <c r="F359">
        <v>5419</v>
      </c>
      <c r="G359" t="s">
        <v>18</v>
      </c>
      <c r="H359">
        <v>27</v>
      </c>
      <c r="I359" t="s">
        <v>19</v>
      </c>
      <c r="J359">
        <v>2012</v>
      </c>
      <c r="K359">
        <v>2012</v>
      </c>
      <c r="L359" t="s">
        <v>20</v>
      </c>
      <c r="M359">
        <v>9772</v>
      </c>
      <c r="N359">
        <v>2722</v>
      </c>
    </row>
    <row r="360" spans="1:14" x14ac:dyDescent="0.35">
      <c r="A360" t="s">
        <v>390</v>
      </c>
      <c r="B360" t="s">
        <v>15</v>
      </c>
      <c r="C360" t="s">
        <v>16</v>
      </c>
      <c r="D360">
        <v>26</v>
      </c>
      <c r="E360" t="s">
        <v>364</v>
      </c>
      <c r="F360">
        <v>5419</v>
      </c>
      <c r="G360" t="s">
        <v>18</v>
      </c>
      <c r="H360">
        <v>27</v>
      </c>
      <c r="I360" t="s">
        <v>19</v>
      </c>
      <c r="J360">
        <v>2013</v>
      </c>
      <c r="K360">
        <v>2013</v>
      </c>
      <c r="L360" t="s">
        <v>20</v>
      </c>
      <c r="M360">
        <v>9664</v>
      </c>
      <c r="N360">
        <v>2722</v>
      </c>
    </row>
    <row r="361" spans="1:14" x14ac:dyDescent="0.35">
      <c r="A361" t="s">
        <v>391</v>
      </c>
      <c r="B361" t="s">
        <v>15</v>
      </c>
      <c r="C361" t="s">
        <v>16</v>
      </c>
      <c r="D361">
        <v>26</v>
      </c>
      <c r="E361" t="s">
        <v>364</v>
      </c>
      <c r="F361">
        <v>5419</v>
      </c>
      <c r="G361" t="s">
        <v>18</v>
      </c>
      <c r="H361">
        <v>27</v>
      </c>
      <c r="I361" t="s">
        <v>19</v>
      </c>
      <c r="J361">
        <v>2014</v>
      </c>
      <c r="K361">
        <v>2014</v>
      </c>
      <c r="L361" t="s">
        <v>20</v>
      </c>
      <c r="M361">
        <v>8411</v>
      </c>
      <c r="N361">
        <v>2722</v>
      </c>
    </row>
    <row r="362" spans="1:14" x14ac:dyDescent="0.35">
      <c r="A362" t="s">
        <v>392</v>
      </c>
      <c r="B362" t="s">
        <v>15</v>
      </c>
      <c r="C362" t="s">
        <v>16</v>
      </c>
      <c r="D362">
        <v>26</v>
      </c>
      <c r="E362" t="s">
        <v>364</v>
      </c>
      <c r="F362">
        <v>5419</v>
      </c>
      <c r="G362" t="s">
        <v>18</v>
      </c>
      <c r="H362">
        <v>27</v>
      </c>
      <c r="I362" t="s">
        <v>19</v>
      </c>
      <c r="J362">
        <v>2015</v>
      </c>
      <c r="K362">
        <v>2015</v>
      </c>
      <c r="L362" t="s">
        <v>20</v>
      </c>
      <c r="M362">
        <v>8086</v>
      </c>
      <c r="N362">
        <v>2722</v>
      </c>
    </row>
    <row r="363" spans="1:14" x14ac:dyDescent="0.35">
      <c r="A363" t="s">
        <v>393</v>
      </c>
      <c r="B363" t="s">
        <v>15</v>
      </c>
      <c r="C363" t="s">
        <v>16</v>
      </c>
      <c r="D363">
        <v>26</v>
      </c>
      <c r="E363" t="s">
        <v>364</v>
      </c>
      <c r="F363">
        <v>5419</v>
      </c>
      <c r="G363" t="s">
        <v>18</v>
      </c>
      <c r="H363">
        <v>27</v>
      </c>
      <c r="I363" t="s">
        <v>19</v>
      </c>
      <c r="J363">
        <v>2016</v>
      </c>
      <c r="K363">
        <v>2016</v>
      </c>
      <c r="L363" t="s">
        <v>20</v>
      </c>
      <c r="M363">
        <v>8442</v>
      </c>
      <c r="N363">
        <v>2722</v>
      </c>
    </row>
    <row r="364" spans="1:14" x14ac:dyDescent="0.35">
      <c r="A364" t="s">
        <v>394</v>
      </c>
      <c r="B364" t="s">
        <v>15</v>
      </c>
      <c r="C364" t="s">
        <v>16</v>
      </c>
      <c r="D364">
        <v>27</v>
      </c>
      <c r="E364" t="s">
        <v>395</v>
      </c>
      <c r="F364">
        <v>5419</v>
      </c>
      <c r="G364" t="s">
        <v>18</v>
      </c>
      <c r="H364">
        <v>27</v>
      </c>
      <c r="I364" t="s">
        <v>19</v>
      </c>
      <c r="J364">
        <v>1985</v>
      </c>
      <c r="K364">
        <v>1985</v>
      </c>
      <c r="L364" t="s">
        <v>20</v>
      </c>
      <c r="M364">
        <v>42464</v>
      </c>
      <c r="N364">
        <v>608</v>
      </c>
    </row>
    <row r="365" spans="1:14" x14ac:dyDescent="0.35">
      <c r="A365" t="s">
        <v>396</v>
      </c>
      <c r="B365" t="s">
        <v>15</v>
      </c>
      <c r="C365" t="s">
        <v>16</v>
      </c>
      <c r="D365">
        <v>27</v>
      </c>
      <c r="E365" t="s">
        <v>395</v>
      </c>
      <c r="F365">
        <v>5419</v>
      </c>
      <c r="G365" t="s">
        <v>18</v>
      </c>
      <c r="H365">
        <v>27</v>
      </c>
      <c r="I365" t="s">
        <v>19</v>
      </c>
      <c r="J365">
        <v>1986</v>
      </c>
      <c r="K365">
        <v>1986</v>
      </c>
      <c r="L365" t="s">
        <v>20</v>
      </c>
      <c r="M365">
        <v>47064</v>
      </c>
      <c r="N365">
        <v>608</v>
      </c>
    </row>
    <row r="366" spans="1:14" x14ac:dyDescent="0.35">
      <c r="A366" t="s">
        <v>397</v>
      </c>
      <c r="B366" t="s">
        <v>15</v>
      </c>
      <c r="C366" t="s">
        <v>16</v>
      </c>
      <c r="D366">
        <v>27</v>
      </c>
      <c r="E366" t="s">
        <v>395</v>
      </c>
      <c r="F366">
        <v>5419</v>
      </c>
      <c r="G366" t="s">
        <v>18</v>
      </c>
      <c r="H366">
        <v>27</v>
      </c>
      <c r="I366" t="s">
        <v>19</v>
      </c>
      <c r="J366">
        <v>1987</v>
      </c>
      <c r="K366">
        <v>1987</v>
      </c>
      <c r="L366" t="s">
        <v>20</v>
      </c>
      <c r="M366">
        <v>37475</v>
      </c>
      <c r="N366">
        <v>608</v>
      </c>
    </row>
    <row r="367" spans="1:14" x14ac:dyDescent="0.35">
      <c r="A367" t="s">
        <v>398</v>
      </c>
      <c r="B367" t="s">
        <v>15</v>
      </c>
      <c r="C367" t="s">
        <v>16</v>
      </c>
      <c r="D367">
        <v>27</v>
      </c>
      <c r="E367" t="s">
        <v>395</v>
      </c>
      <c r="F367">
        <v>5419</v>
      </c>
      <c r="G367" t="s">
        <v>18</v>
      </c>
      <c r="H367">
        <v>27</v>
      </c>
      <c r="I367" t="s">
        <v>19</v>
      </c>
      <c r="J367">
        <v>1989</v>
      </c>
      <c r="K367">
        <v>1989</v>
      </c>
      <c r="L367" t="s">
        <v>20</v>
      </c>
      <c r="M367">
        <v>31315</v>
      </c>
      <c r="N367">
        <v>608</v>
      </c>
    </row>
    <row r="368" spans="1:14" x14ac:dyDescent="0.35">
      <c r="A368" t="s">
        <v>399</v>
      </c>
      <c r="B368" t="s">
        <v>15</v>
      </c>
      <c r="C368" t="s">
        <v>16</v>
      </c>
      <c r="D368">
        <v>27</v>
      </c>
      <c r="E368" t="s">
        <v>395</v>
      </c>
      <c r="F368">
        <v>5419</v>
      </c>
      <c r="G368" t="s">
        <v>18</v>
      </c>
      <c r="H368">
        <v>27</v>
      </c>
      <c r="I368" t="s">
        <v>19</v>
      </c>
      <c r="J368">
        <v>1990</v>
      </c>
      <c r="K368">
        <v>1990</v>
      </c>
      <c r="L368" t="s">
        <v>20</v>
      </c>
      <c r="M368">
        <v>23785</v>
      </c>
      <c r="N368">
        <v>608</v>
      </c>
    </row>
    <row r="369" spans="1:14" x14ac:dyDescent="0.35">
      <c r="A369" t="s">
        <v>400</v>
      </c>
      <c r="B369" t="s">
        <v>15</v>
      </c>
      <c r="C369" t="s">
        <v>16</v>
      </c>
      <c r="D369">
        <v>27</v>
      </c>
      <c r="E369" t="s">
        <v>395</v>
      </c>
      <c r="F369">
        <v>5419</v>
      </c>
      <c r="G369" t="s">
        <v>18</v>
      </c>
      <c r="H369">
        <v>27</v>
      </c>
      <c r="I369" t="s">
        <v>19</v>
      </c>
      <c r="J369">
        <v>1991</v>
      </c>
      <c r="K369">
        <v>1991</v>
      </c>
      <c r="L369" t="s">
        <v>20</v>
      </c>
      <c r="M369">
        <v>25397</v>
      </c>
      <c r="N369">
        <v>608</v>
      </c>
    </row>
    <row r="370" spans="1:14" x14ac:dyDescent="0.35">
      <c r="A370" t="s">
        <v>401</v>
      </c>
      <c r="B370" t="s">
        <v>15</v>
      </c>
      <c r="C370" t="s">
        <v>16</v>
      </c>
      <c r="D370">
        <v>27</v>
      </c>
      <c r="E370" t="s">
        <v>395</v>
      </c>
      <c r="F370">
        <v>5419</v>
      </c>
      <c r="G370" t="s">
        <v>18</v>
      </c>
      <c r="H370">
        <v>27</v>
      </c>
      <c r="I370" t="s">
        <v>19</v>
      </c>
      <c r="J370">
        <v>1992</v>
      </c>
      <c r="K370">
        <v>1992</v>
      </c>
      <c r="L370" t="s">
        <v>20</v>
      </c>
      <c r="M370">
        <v>32042</v>
      </c>
      <c r="N370">
        <v>608</v>
      </c>
    </row>
    <row r="371" spans="1:14" x14ac:dyDescent="0.35">
      <c r="A371" t="s">
        <v>402</v>
      </c>
      <c r="B371" t="s">
        <v>15</v>
      </c>
      <c r="C371" t="s">
        <v>16</v>
      </c>
      <c r="D371">
        <v>27</v>
      </c>
      <c r="E371" t="s">
        <v>395</v>
      </c>
      <c r="F371">
        <v>5419</v>
      </c>
      <c r="G371" t="s">
        <v>18</v>
      </c>
      <c r="H371">
        <v>27</v>
      </c>
      <c r="I371" t="s">
        <v>19</v>
      </c>
      <c r="J371">
        <v>1993</v>
      </c>
      <c r="K371">
        <v>1993</v>
      </c>
      <c r="L371" t="s">
        <v>20</v>
      </c>
      <c r="M371">
        <v>34761</v>
      </c>
      <c r="N371">
        <v>608</v>
      </c>
    </row>
    <row r="372" spans="1:14" x14ac:dyDescent="0.35">
      <c r="A372" t="s">
        <v>403</v>
      </c>
      <c r="B372" t="s">
        <v>15</v>
      </c>
      <c r="C372" t="s">
        <v>16</v>
      </c>
      <c r="D372">
        <v>27</v>
      </c>
      <c r="E372" t="s">
        <v>395</v>
      </c>
      <c r="F372">
        <v>5419</v>
      </c>
      <c r="G372" t="s">
        <v>18</v>
      </c>
      <c r="H372">
        <v>27</v>
      </c>
      <c r="I372" t="s">
        <v>19</v>
      </c>
      <c r="J372">
        <v>1994</v>
      </c>
      <c r="K372">
        <v>1994</v>
      </c>
      <c r="L372" t="s">
        <v>20</v>
      </c>
      <c r="M372">
        <v>37195</v>
      </c>
      <c r="N372">
        <v>608</v>
      </c>
    </row>
    <row r="373" spans="1:14" x14ac:dyDescent="0.35">
      <c r="A373" t="s">
        <v>404</v>
      </c>
      <c r="B373" t="s">
        <v>15</v>
      </c>
      <c r="C373" t="s">
        <v>16</v>
      </c>
      <c r="D373">
        <v>27</v>
      </c>
      <c r="E373" t="s">
        <v>395</v>
      </c>
      <c r="F373">
        <v>5419</v>
      </c>
      <c r="G373" t="s">
        <v>18</v>
      </c>
      <c r="H373">
        <v>27</v>
      </c>
      <c r="I373" t="s">
        <v>19</v>
      </c>
      <c r="J373">
        <v>1995</v>
      </c>
      <c r="K373">
        <v>1995</v>
      </c>
      <c r="L373" t="s">
        <v>20</v>
      </c>
      <c r="M373">
        <v>36116</v>
      </c>
      <c r="N373">
        <v>608</v>
      </c>
    </row>
    <row r="374" spans="1:14" x14ac:dyDescent="0.35">
      <c r="A374" t="s">
        <v>405</v>
      </c>
      <c r="B374" t="s">
        <v>15</v>
      </c>
      <c r="C374" t="s">
        <v>16</v>
      </c>
      <c r="D374">
        <v>27</v>
      </c>
      <c r="E374" t="s">
        <v>395</v>
      </c>
      <c r="F374">
        <v>5419</v>
      </c>
      <c r="G374" t="s">
        <v>18</v>
      </c>
      <c r="H374">
        <v>27</v>
      </c>
      <c r="I374" t="s">
        <v>19</v>
      </c>
      <c r="J374">
        <v>1996</v>
      </c>
      <c r="K374">
        <v>1996</v>
      </c>
      <c r="L374" t="s">
        <v>20</v>
      </c>
      <c r="M374">
        <v>33891</v>
      </c>
      <c r="N374">
        <v>608</v>
      </c>
    </row>
    <row r="375" spans="1:14" x14ac:dyDescent="0.35">
      <c r="A375" t="s">
        <v>406</v>
      </c>
      <c r="B375" t="s">
        <v>15</v>
      </c>
      <c r="C375" t="s">
        <v>16</v>
      </c>
      <c r="D375">
        <v>27</v>
      </c>
      <c r="E375" t="s">
        <v>395</v>
      </c>
      <c r="F375">
        <v>5419</v>
      </c>
      <c r="G375" t="s">
        <v>18</v>
      </c>
      <c r="H375">
        <v>27</v>
      </c>
      <c r="I375" t="s">
        <v>19</v>
      </c>
      <c r="J375">
        <v>1997</v>
      </c>
      <c r="K375">
        <v>1997</v>
      </c>
      <c r="L375" t="s">
        <v>20</v>
      </c>
      <c r="M375">
        <v>29871</v>
      </c>
      <c r="N375">
        <v>608</v>
      </c>
    </row>
    <row r="376" spans="1:14" x14ac:dyDescent="0.35">
      <c r="A376" t="s">
        <v>407</v>
      </c>
      <c r="B376" t="s">
        <v>15</v>
      </c>
      <c r="C376" t="s">
        <v>16</v>
      </c>
      <c r="D376">
        <v>27</v>
      </c>
      <c r="E376" t="s">
        <v>395</v>
      </c>
      <c r="F376">
        <v>5419</v>
      </c>
      <c r="G376" t="s">
        <v>18</v>
      </c>
      <c r="H376">
        <v>27</v>
      </c>
      <c r="I376" t="s">
        <v>19</v>
      </c>
      <c r="J376">
        <v>1998</v>
      </c>
      <c r="K376">
        <v>1998</v>
      </c>
      <c r="L376" t="s">
        <v>20</v>
      </c>
      <c r="M376">
        <v>31467</v>
      </c>
      <c r="N376">
        <v>608</v>
      </c>
    </row>
    <row r="377" spans="1:14" x14ac:dyDescent="0.35">
      <c r="A377" t="s">
        <v>408</v>
      </c>
      <c r="B377" t="s">
        <v>15</v>
      </c>
      <c r="C377" t="s">
        <v>16</v>
      </c>
      <c r="D377">
        <v>27</v>
      </c>
      <c r="E377" t="s">
        <v>395</v>
      </c>
      <c r="F377">
        <v>5419</v>
      </c>
      <c r="G377" t="s">
        <v>18</v>
      </c>
      <c r="H377">
        <v>27</v>
      </c>
      <c r="I377" t="s">
        <v>19</v>
      </c>
      <c r="J377">
        <v>1999</v>
      </c>
      <c r="K377">
        <v>1999</v>
      </c>
      <c r="L377" t="s">
        <v>20</v>
      </c>
      <c r="M377">
        <v>49400</v>
      </c>
      <c r="N377">
        <v>608</v>
      </c>
    </row>
    <row r="378" spans="1:14" x14ac:dyDescent="0.35">
      <c r="A378" t="s">
        <v>409</v>
      </c>
      <c r="B378" t="s">
        <v>15</v>
      </c>
      <c r="C378" t="s">
        <v>16</v>
      </c>
      <c r="D378">
        <v>27</v>
      </c>
      <c r="E378" t="s">
        <v>395</v>
      </c>
      <c r="F378">
        <v>5419</v>
      </c>
      <c r="G378" t="s">
        <v>18</v>
      </c>
      <c r="H378">
        <v>27</v>
      </c>
      <c r="I378" t="s">
        <v>19</v>
      </c>
      <c r="J378">
        <v>2000</v>
      </c>
      <c r="K378">
        <v>2000</v>
      </c>
      <c r="L378" t="s">
        <v>20</v>
      </c>
      <c r="M378">
        <v>47001</v>
      </c>
      <c r="N378">
        <v>608</v>
      </c>
    </row>
    <row r="379" spans="1:14" x14ac:dyDescent="0.35">
      <c r="A379" t="s">
        <v>410</v>
      </c>
      <c r="B379" t="s">
        <v>15</v>
      </c>
      <c r="C379" t="s">
        <v>16</v>
      </c>
      <c r="D379">
        <v>27</v>
      </c>
      <c r="E379" t="s">
        <v>395</v>
      </c>
      <c r="F379">
        <v>5419</v>
      </c>
      <c r="G379" t="s">
        <v>18</v>
      </c>
      <c r="H379">
        <v>27</v>
      </c>
      <c r="I379" t="s">
        <v>19</v>
      </c>
      <c r="J379">
        <v>2001</v>
      </c>
      <c r="K379">
        <v>2001</v>
      </c>
      <c r="L379" t="s">
        <v>20</v>
      </c>
      <c r="M379">
        <v>48001</v>
      </c>
      <c r="N379">
        <v>608</v>
      </c>
    </row>
    <row r="380" spans="1:14" x14ac:dyDescent="0.35">
      <c r="A380" t="s">
        <v>411</v>
      </c>
      <c r="B380" t="s">
        <v>15</v>
      </c>
      <c r="C380" t="s">
        <v>16</v>
      </c>
      <c r="D380">
        <v>27</v>
      </c>
      <c r="E380" t="s">
        <v>395</v>
      </c>
      <c r="F380">
        <v>5419</v>
      </c>
      <c r="G380" t="s">
        <v>18</v>
      </c>
      <c r="H380">
        <v>27</v>
      </c>
      <c r="I380" t="s">
        <v>19</v>
      </c>
      <c r="J380">
        <v>2002</v>
      </c>
      <c r="K380">
        <v>2002</v>
      </c>
      <c r="L380" t="s">
        <v>20</v>
      </c>
      <c r="M380">
        <v>43099</v>
      </c>
      <c r="N380">
        <v>608</v>
      </c>
    </row>
    <row r="381" spans="1:14" x14ac:dyDescent="0.35">
      <c r="A381" t="s">
        <v>412</v>
      </c>
      <c r="B381" t="s">
        <v>15</v>
      </c>
      <c r="C381" t="s">
        <v>16</v>
      </c>
      <c r="D381">
        <v>27</v>
      </c>
      <c r="E381" t="s">
        <v>395</v>
      </c>
      <c r="F381">
        <v>5419</v>
      </c>
      <c r="G381" t="s">
        <v>18</v>
      </c>
      <c r="H381">
        <v>27</v>
      </c>
      <c r="I381" t="s">
        <v>19</v>
      </c>
      <c r="J381">
        <v>2004</v>
      </c>
      <c r="K381">
        <v>2004</v>
      </c>
      <c r="L381" t="s">
        <v>20</v>
      </c>
      <c r="M381">
        <v>49596</v>
      </c>
      <c r="N381">
        <v>608</v>
      </c>
    </row>
    <row r="382" spans="1:14" x14ac:dyDescent="0.35">
      <c r="A382" t="s">
        <v>413</v>
      </c>
      <c r="B382" t="s">
        <v>15</v>
      </c>
      <c r="C382" t="s">
        <v>16</v>
      </c>
      <c r="D382">
        <v>27</v>
      </c>
      <c r="E382" t="s">
        <v>395</v>
      </c>
      <c r="F382">
        <v>5419</v>
      </c>
      <c r="G382" t="s">
        <v>18</v>
      </c>
      <c r="H382">
        <v>27</v>
      </c>
      <c r="I382" t="s">
        <v>19</v>
      </c>
      <c r="J382">
        <v>2005</v>
      </c>
      <c r="K382">
        <v>2005</v>
      </c>
      <c r="L382" t="s">
        <v>20</v>
      </c>
      <c r="M382">
        <v>44801</v>
      </c>
      <c r="N382">
        <v>608</v>
      </c>
    </row>
    <row r="383" spans="1:14" x14ac:dyDescent="0.35">
      <c r="A383" t="s">
        <v>414</v>
      </c>
      <c r="B383" t="s">
        <v>15</v>
      </c>
      <c r="C383" t="s">
        <v>16</v>
      </c>
      <c r="D383">
        <v>27</v>
      </c>
      <c r="E383" t="s">
        <v>395</v>
      </c>
      <c r="F383">
        <v>5419</v>
      </c>
      <c r="G383" t="s">
        <v>18</v>
      </c>
      <c r="H383">
        <v>27</v>
      </c>
      <c r="I383" t="s">
        <v>19</v>
      </c>
      <c r="J383">
        <v>2006</v>
      </c>
      <c r="K383">
        <v>2006</v>
      </c>
      <c r="L383" t="s">
        <v>20</v>
      </c>
      <c r="M383">
        <v>44080</v>
      </c>
      <c r="N383">
        <v>608</v>
      </c>
    </row>
    <row r="384" spans="1:14" x14ac:dyDescent="0.35">
      <c r="A384" t="s">
        <v>415</v>
      </c>
      <c r="B384" t="s">
        <v>15</v>
      </c>
      <c r="C384" t="s">
        <v>16</v>
      </c>
      <c r="D384">
        <v>27</v>
      </c>
      <c r="E384" t="s">
        <v>395</v>
      </c>
      <c r="F384">
        <v>5419</v>
      </c>
      <c r="G384" t="s">
        <v>18</v>
      </c>
      <c r="H384">
        <v>27</v>
      </c>
      <c r="I384" t="s">
        <v>19</v>
      </c>
      <c r="J384">
        <v>2007</v>
      </c>
      <c r="K384">
        <v>2007</v>
      </c>
      <c r="L384" t="s">
        <v>20</v>
      </c>
      <c r="M384">
        <v>46447</v>
      </c>
      <c r="N384">
        <v>608</v>
      </c>
    </row>
    <row r="385" spans="1:14" x14ac:dyDescent="0.35">
      <c r="A385" t="s">
        <v>416</v>
      </c>
      <c r="B385" t="s">
        <v>15</v>
      </c>
      <c r="C385" t="s">
        <v>16</v>
      </c>
      <c r="D385">
        <v>27</v>
      </c>
      <c r="E385" t="s">
        <v>395</v>
      </c>
      <c r="F385">
        <v>5419</v>
      </c>
      <c r="G385" t="s">
        <v>18</v>
      </c>
      <c r="H385">
        <v>27</v>
      </c>
      <c r="I385" t="s">
        <v>19</v>
      </c>
      <c r="J385">
        <v>2008</v>
      </c>
      <c r="K385">
        <v>2008</v>
      </c>
      <c r="L385" t="s">
        <v>20</v>
      </c>
      <c r="M385">
        <v>49621</v>
      </c>
      <c r="N385">
        <v>608</v>
      </c>
    </row>
    <row r="386" spans="1:14" x14ac:dyDescent="0.35">
      <c r="A386" t="s">
        <v>417</v>
      </c>
      <c r="B386" t="s">
        <v>15</v>
      </c>
      <c r="C386" t="s">
        <v>16</v>
      </c>
      <c r="D386">
        <v>27</v>
      </c>
      <c r="E386" t="s">
        <v>395</v>
      </c>
      <c r="F386">
        <v>5419</v>
      </c>
      <c r="G386" t="s">
        <v>18</v>
      </c>
      <c r="H386">
        <v>27</v>
      </c>
      <c r="I386" t="s">
        <v>19</v>
      </c>
      <c r="J386">
        <v>2009</v>
      </c>
      <c r="K386">
        <v>2009</v>
      </c>
      <c r="L386" t="s">
        <v>20</v>
      </c>
      <c r="M386">
        <v>52263</v>
      </c>
      <c r="N386">
        <v>608</v>
      </c>
    </row>
    <row r="387" spans="1:14" x14ac:dyDescent="0.35">
      <c r="A387" t="s">
        <v>418</v>
      </c>
      <c r="B387" t="s">
        <v>15</v>
      </c>
      <c r="C387" t="s">
        <v>16</v>
      </c>
      <c r="D387">
        <v>27</v>
      </c>
      <c r="E387" t="s">
        <v>395</v>
      </c>
      <c r="F387">
        <v>5419</v>
      </c>
      <c r="G387" t="s">
        <v>18</v>
      </c>
      <c r="H387">
        <v>27</v>
      </c>
      <c r="I387" t="s">
        <v>19</v>
      </c>
      <c r="J387">
        <v>2010</v>
      </c>
      <c r="K387">
        <v>2010</v>
      </c>
      <c r="L387" t="s">
        <v>20</v>
      </c>
      <c r="M387">
        <v>47952</v>
      </c>
      <c r="N387">
        <v>608</v>
      </c>
    </row>
    <row r="388" spans="1:14" x14ac:dyDescent="0.35">
      <c r="A388" t="s">
        <v>419</v>
      </c>
      <c r="B388" t="s">
        <v>15</v>
      </c>
      <c r="C388" t="s">
        <v>16</v>
      </c>
      <c r="D388">
        <v>27</v>
      </c>
      <c r="E388" t="s">
        <v>395</v>
      </c>
      <c r="F388">
        <v>5419</v>
      </c>
      <c r="G388" t="s">
        <v>18</v>
      </c>
      <c r="H388">
        <v>27</v>
      </c>
      <c r="I388" t="s">
        <v>19</v>
      </c>
      <c r="J388">
        <v>2011</v>
      </c>
      <c r="K388">
        <v>2011</v>
      </c>
      <c r="L388" t="s">
        <v>20</v>
      </c>
      <c r="M388">
        <v>50563</v>
      </c>
      <c r="N388">
        <v>608</v>
      </c>
    </row>
    <row r="389" spans="1:14" x14ac:dyDescent="0.35">
      <c r="A389" t="s">
        <v>420</v>
      </c>
      <c r="B389" t="s">
        <v>15</v>
      </c>
      <c r="C389" t="s">
        <v>16</v>
      </c>
      <c r="D389">
        <v>27</v>
      </c>
      <c r="E389" t="s">
        <v>395</v>
      </c>
      <c r="F389">
        <v>5419</v>
      </c>
      <c r="G389" t="s">
        <v>18</v>
      </c>
      <c r="H389">
        <v>27</v>
      </c>
      <c r="I389" t="s">
        <v>19</v>
      </c>
      <c r="J389">
        <v>2012</v>
      </c>
      <c r="K389">
        <v>2012</v>
      </c>
      <c r="L389" t="s">
        <v>20</v>
      </c>
      <c r="M389">
        <v>55605</v>
      </c>
      <c r="N389">
        <v>608</v>
      </c>
    </row>
    <row r="390" spans="1:14" x14ac:dyDescent="0.35">
      <c r="A390" t="s">
        <v>421</v>
      </c>
      <c r="B390" t="s">
        <v>15</v>
      </c>
      <c r="C390" t="s">
        <v>16</v>
      </c>
      <c r="D390">
        <v>27</v>
      </c>
      <c r="E390" t="s">
        <v>395</v>
      </c>
      <c r="F390">
        <v>5419</v>
      </c>
      <c r="G390" t="s">
        <v>18</v>
      </c>
      <c r="H390">
        <v>27</v>
      </c>
      <c r="I390" t="s">
        <v>19</v>
      </c>
      <c r="J390">
        <v>2013</v>
      </c>
      <c r="K390">
        <v>2013</v>
      </c>
      <c r="L390" t="s">
        <v>20</v>
      </c>
      <c r="M390">
        <v>54945</v>
      </c>
      <c r="N390">
        <v>608</v>
      </c>
    </row>
    <row r="391" spans="1:14" x14ac:dyDescent="0.35">
      <c r="A391" t="s">
        <v>422</v>
      </c>
      <c r="B391" t="s">
        <v>15</v>
      </c>
      <c r="C391" t="s">
        <v>16</v>
      </c>
      <c r="D391">
        <v>27</v>
      </c>
      <c r="E391" t="s">
        <v>395</v>
      </c>
      <c r="F391">
        <v>5419</v>
      </c>
      <c r="G391" t="s">
        <v>18</v>
      </c>
      <c r="H391">
        <v>27</v>
      </c>
      <c r="I391" t="s">
        <v>19</v>
      </c>
      <c r="J391">
        <v>2014</v>
      </c>
      <c r="K391">
        <v>2014</v>
      </c>
      <c r="L391" t="s">
        <v>20</v>
      </c>
      <c r="M391">
        <v>49040</v>
      </c>
      <c r="N391">
        <v>608</v>
      </c>
    </row>
    <row r="392" spans="1:14" x14ac:dyDescent="0.35">
      <c r="A392" t="s">
        <v>423</v>
      </c>
      <c r="B392" t="s">
        <v>15</v>
      </c>
      <c r="C392" t="s">
        <v>16</v>
      </c>
      <c r="D392">
        <v>27</v>
      </c>
      <c r="E392" t="s">
        <v>395</v>
      </c>
      <c r="F392">
        <v>5419</v>
      </c>
      <c r="G392" t="s">
        <v>18</v>
      </c>
      <c r="H392">
        <v>27</v>
      </c>
      <c r="I392" t="s">
        <v>19</v>
      </c>
      <c r="J392">
        <v>2015</v>
      </c>
      <c r="K392">
        <v>2015</v>
      </c>
      <c r="L392" t="s">
        <v>20</v>
      </c>
      <c r="M392">
        <v>54540</v>
      </c>
      <c r="N392">
        <v>608</v>
      </c>
    </row>
    <row r="393" spans="1:14" x14ac:dyDescent="0.35">
      <c r="A393" t="s">
        <v>424</v>
      </c>
      <c r="B393" t="s">
        <v>15</v>
      </c>
      <c r="C393" t="s">
        <v>16</v>
      </c>
      <c r="D393">
        <v>27</v>
      </c>
      <c r="E393" t="s">
        <v>395</v>
      </c>
      <c r="F393">
        <v>5419</v>
      </c>
      <c r="G393" t="s">
        <v>18</v>
      </c>
      <c r="H393">
        <v>27</v>
      </c>
      <c r="I393" t="s">
        <v>19</v>
      </c>
      <c r="J393">
        <v>2016</v>
      </c>
      <c r="K393">
        <v>2016</v>
      </c>
      <c r="L393" t="s">
        <v>20</v>
      </c>
      <c r="M393">
        <v>54032</v>
      </c>
      <c r="N393">
        <v>608</v>
      </c>
    </row>
    <row r="394" spans="1:14" x14ac:dyDescent="0.35">
      <c r="A394" t="s">
        <v>425</v>
      </c>
      <c r="B394" t="s">
        <v>15</v>
      </c>
      <c r="C394" t="s">
        <v>16</v>
      </c>
      <c r="D394">
        <v>233</v>
      </c>
      <c r="E394" t="s">
        <v>426</v>
      </c>
      <c r="F394">
        <v>5419</v>
      </c>
      <c r="G394" t="s">
        <v>18</v>
      </c>
      <c r="H394">
        <v>27</v>
      </c>
      <c r="I394" t="s">
        <v>19</v>
      </c>
      <c r="J394">
        <v>1985</v>
      </c>
      <c r="K394">
        <v>1985</v>
      </c>
      <c r="L394" t="s">
        <v>20</v>
      </c>
      <c r="M394">
        <v>18144</v>
      </c>
      <c r="N394">
        <v>748</v>
      </c>
    </row>
    <row r="395" spans="1:14" x14ac:dyDescent="0.35">
      <c r="A395" t="s">
        <v>427</v>
      </c>
      <c r="B395" t="s">
        <v>15</v>
      </c>
      <c r="C395" t="s">
        <v>16</v>
      </c>
      <c r="D395">
        <v>233</v>
      </c>
      <c r="E395" t="s">
        <v>426</v>
      </c>
      <c r="F395">
        <v>5419</v>
      </c>
      <c r="G395" t="s">
        <v>18</v>
      </c>
      <c r="H395">
        <v>27</v>
      </c>
      <c r="I395" t="s">
        <v>19</v>
      </c>
      <c r="J395">
        <v>1986</v>
      </c>
      <c r="K395">
        <v>1986</v>
      </c>
      <c r="L395" t="s">
        <v>20</v>
      </c>
      <c r="M395">
        <v>16802</v>
      </c>
      <c r="N395">
        <v>748</v>
      </c>
    </row>
    <row r="396" spans="1:14" x14ac:dyDescent="0.35">
      <c r="A396" t="s">
        <v>428</v>
      </c>
      <c r="B396" t="s">
        <v>15</v>
      </c>
      <c r="C396" t="s">
        <v>16</v>
      </c>
      <c r="D396">
        <v>233</v>
      </c>
      <c r="E396" t="s">
        <v>426</v>
      </c>
      <c r="F396">
        <v>5419</v>
      </c>
      <c r="G396" t="s">
        <v>18</v>
      </c>
      <c r="H396">
        <v>27</v>
      </c>
      <c r="I396" t="s">
        <v>19</v>
      </c>
      <c r="J396">
        <v>1987</v>
      </c>
      <c r="K396">
        <v>1987</v>
      </c>
      <c r="L396" t="s">
        <v>20</v>
      </c>
      <c r="M396">
        <v>11516</v>
      </c>
      <c r="N396">
        <v>748</v>
      </c>
    </row>
    <row r="397" spans="1:14" x14ac:dyDescent="0.35">
      <c r="A397" t="s">
        <v>429</v>
      </c>
      <c r="B397" t="s">
        <v>15</v>
      </c>
      <c r="C397" t="s">
        <v>16</v>
      </c>
      <c r="D397">
        <v>233</v>
      </c>
      <c r="E397" t="s">
        <v>426</v>
      </c>
      <c r="F397">
        <v>5419</v>
      </c>
      <c r="G397" t="s">
        <v>18</v>
      </c>
      <c r="H397">
        <v>27</v>
      </c>
      <c r="I397" t="s">
        <v>19</v>
      </c>
      <c r="J397">
        <v>1989</v>
      </c>
      <c r="K397">
        <v>1989</v>
      </c>
      <c r="L397" t="s">
        <v>20</v>
      </c>
      <c r="M397">
        <v>20541</v>
      </c>
      <c r="N397">
        <v>748</v>
      </c>
    </row>
    <row r="398" spans="1:14" x14ac:dyDescent="0.35">
      <c r="A398" t="s">
        <v>430</v>
      </c>
      <c r="B398" t="s">
        <v>15</v>
      </c>
      <c r="C398" t="s">
        <v>16</v>
      </c>
      <c r="D398">
        <v>233</v>
      </c>
      <c r="E398" t="s">
        <v>426</v>
      </c>
      <c r="F398">
        <v>5419</v>
      </c>
      <c r="G398" t="s">
        <v>18</v>
      </c>
      <c r="H398">
        <v>27</v>
      </c>
      <c r="I398" t="s">
        <v>19</v>
      </c>
      <c r="J398">
        <v>1990</v>
      </c>
      <c r="K398">
        <v>1990</v>
      </c>
      <c r="L398" t="s">
        <v>20</v>
      </c>
      <c r="M398">
        <v>20783</v>
      </c>
      <c r="N398">
        <v>748</v>
      </c>
    </row>
    <row r="399" spans="1:14" x14ac:dyDescent="0.35">
      <c r="A399" t="s">
        <v>431</v>
      </c>
      <c r="B399" t="s">
        <v>15</v>
      </c>
      <c r="C399" t="s">
        <v>16</v>
      </c>
      <c r="D399">
        <v>233</v>
      </c>
      <c r="E399" t="s">
        <v>426</v>
      </c>
      <c r="F399">
        <v>5419</v>
      </c>
      <c r="G399" t="s">
        <v>18</v>
      </c>
      <c r="H399">
        <v>27</v>
      </c>
      <c r="I399" t="s">
        <v>19</v>
      </c>
      <c r="J399">
        <v>1991</v>
      </c>
      <c r="K399">
        <v>1991</v>
      </c>
      <c r="L399" t="s">
        <v>20</v>
      </c>
      <c r="M399">
        <v>21444</v>
      </c>
      <c r="N399">
        <v>748</v>
      </c>
    </row>
    <row r="400" spans="1:14" x14ac:dyDescent="0.35">
      <c r="A400" t="s">
        <v>432</v>
      </c>
      <c r="B400" t="s">
        <v>15</v>
      </c>
      <c r="C400" t="s">
        <v>16</v>
      </c>
      <c r="D400">
        <v>233</v>
      </c>
      <c r="E400" t="s">
        <v>426</v>
      </c>
      <c r="F400">
        <v>5419</v>
      </c>
      <c r="G400" t="s">
        <v>18</v>
      </c>
      <c r="H400">
        <v>27</v>
      </c>
      <c r="I400" t="s">
        <v>19</v>
      </c>
      <c r="J400">
        <v>1992</v>
      </c>
      <c r="K400">
        <v>1992</v>
      </c>
      <c r="L400" t="s">
        <v>20</v>
      </c>
      <c r="M400">
        <v>18831</v>
      </c>
      <c r="N400">
        <v>748</v>
      </c>
    </row>
    <row r="401" spans="1:14" x14ac:dyDescent="0.35">
      <c r="A401" t="s">
        <v>433</v>
      </c>
      <c r="B401" t="s">
        <v>15</v>
      </c>
      <c r="C401" t="s">
        <v>16</v>
      </c>
      <c r="D401">
        <v>233</v>
      </c>
      <c r="E401" t="s">
        <v>426</v>
      </c>
      <c r="F401">
        <v>5419</v>
      </c>
      <c r="G401" t="s">
        <v>18</v>
      </c>
      <c r="H401">
        <v>27</v>
      </c>
      <c r="I401" t="s">
        <v>19</v>
      </c>
      <c r="J401">
        <v>1993</v>
      </c>
      <c r="K401">
        <v>1993</v>
      </c>
      <c r="L401" t="s">
        <v>20</v>
      </c>
      <c r="M401">
        <v>21630</v>
      </c>
      <c r="N401">
        <v>748</v>
      </c>
    </row>
    <row r="402" spans="1:14" x14ac:dyDescent="0.35">
      <c r="A402" t="s">
        <v>434</v>
      </c>
      <c r="B402" t="s">
        <v>15</v>
      </c>
      <c r="C402" t="s">
        <v>16</v>
      </c>
      <c r="D402">
        <v>233</v>
      </c>
      <c r="E402" t="s">
        <v>426</v>
      </c>
      <c r="F402">
        <v>5419</v>
      </c>
      <c r="G402" t="s">
        <v>18</v>
      </c>
      <c r="H402">
        <v>27</v>
      </c>
      <c r="I402" t="s">
        <v>19</v>
      </c>
      <c r="J402">
        <v>1994</v>
      </c>
      <c r="K402">
        <v>1994</v>
      </c>
      <c r="L402" t="s">
        <v>20</v>
      </c>
      <c r="M402">
        <v>19582</v>
      </c>
      <c r="N402">
        <v>748</v>
      </c>
    </row>
    <row r="403" spans="1:14" x14ac:dyDescent="0.35">
      <c r="A403" t="s">
        <v>435</v>
      </c>
      <c r="B403" t="s">
        <v>15</v>
      </c>
      <c r="C403" t="s">
        <v>16</v>
      </c>
      <c r="D403">
        <v>233</v>
      </c>
      <c r="E403" t="s">
        <v>426</v>
      </c>
      <c r="F403">
        <v>5419</v>
      </c>
      <c r="G403" t="s">
        <v>18</v>
      </c>
      <c r="H403">
        <v>27</v>
      </c>
      <c r="I403" t="s">
        <v>19</v>
      </c>
      <c r="J403">
        <v>1995</v>
      </c>
      <c r="K403">
        <v>1995</v>
      </c>
      <c r="L403" t="s">
        <v>20</v>
      </c>
      <c r="M403">
        <v>19249</v>
      </c>
      <c r="N403">
        <v>748</v>
      </c>
    </row>
    <row r="404" spans="1:14" x14ac:dyDescent="0.35">
      <c r="A404" t="s">
        <v>436</v>
      </c>
      <c r="B404" t="s">
        <v>15</v>
      </c>
      <c r="C404" t="s">
        <v>16</v>
      </c>
      <c r="D404">
        <v>233</v>
      </c>
      <c r="E404" t="s">
        <v>426</v>
      </c>
      <c r="F404">
        <v>5419</v>
      </c>
      <c r="G404" t="s">
        <v>18</v>
      </c>
      <c r="H404">
        <v>27</v>
      </c>
      <c r="I404" t="s">
        <v>19</v>
      </c>
      <c r="J404">
        <v>1996</v>
      </c>
      <c r="K404">
        <v>1996</v>
      </c>
      <c r="L404" t="s">
        <v>20</v>
      </c>
      <c r="M404">
        <v>23883</v>
      </c>
      <c r="N404">
        <v>748</v>
      </c>
    </row>
    <row r="405" spans="1:14" x14ac:dyDescent="0.35">
      <c r="A405" t="s">
        <v>437</v>
      </c>
      <c r="B405" t="s">
        <v>15</v>
      </c>
      <c r="C405" t="s">
        <v>16</v>
      </c>
      <c r="D405">
        <v>233</v>
      </c>
      <c r="E405" t="s">
        <v>426</v>
      </c>
      <c r="F405">
        <v>5419</v>
      </c>
      <c r="G405" t="s">
        <v>18</v>
      </c>
      <c r="H405">
        <v>27</v>
      </c>
      <c r="I405" t="s">
        <v>19</v>
      </c>
      <c r="J405">
        <v>1997</v>
      </c>
      <c r="K405">
        <v>1997</v>
      </c>
      <c r="L405" t="s">
        <v>20</v>
      </c>
      <c r="M405">
        <v>15750</v>
      </c>
      <c r="N405">
        <v>748</v>
      </c>
    </row>
    <row r="406" spans="1:14" x14ac:dyDescent="0.35">
      <c r="A406" t="s">
        <v>438</v>
      </c>
      <c r="B406" t="s">
        <v>15</v>
      </c>
      <c r="C406" t="s">
        <v>16</v>
      </c>
      <c r="D406">
        <v>233</v>
      </c>
      <c r="E406" t="s">
        <v>426</v>
      </c>
      <c r="F406">
        <v>5419</v>
      </c>
      <c r="G406" t="s">
        <v>18</v>
      </c>
      <c r="H406">
        <v>27</v>
      </c>
      <c r="I406" t="s">
        <v>19</v>
      </c>
      <c r="J406">
        <v>1998</v>
      </c>
      <c r="K406">
        <v>1998</v>
      </c>
      <c r="L406" t="s">
        <v>20</v>
      </c>
      <c r="M406">
        <v>19388</v>
      </c>
      <c r="N406">
        <v>748</v>
      </c>
    </row>
    <row r="407" spans="1:14" x14ac:dyDescent="0.35">
      <c r="A407" t="s">
        <v>439</v>
      </c>
      <c r="B407" t="s">
        <v>15</v>
      </c>
      <c r="C407" t="s">
        <v>16</v>
      </c>
      <c r="D407">
        <v>233</v>
      </c>
      <c r="E407" t="s">
        <v>426</v>
      </c>
      <c r="F407">
        <v>5419</v>
      </c>
      <c r="G407" t="s">
        <v>18</v>
      </c>
      <c r="H407">
        <v>27</v>
      </c>
      <c r="I407" t="s">
        <v>19</v>
      </c>
      <c r="J407">
        <v>1999</v>
      </c>
      <c r="K407">
        <v>1999</v>
      </c>
      <c r="L407" t="s">
        <v>20</v>
      </c>
      <c r="M407">
        <v>24824</v>
      </c>
      <c r="N407">
        <v>748</v>
      </c>
    </row>
    <row r="408" spans="1:14" x14ac:dyDescent="0.35">
      <c r="A408" t="s">
        <v>440</v>
      </c>
      <c r="B408" t="s">
        <v>15</v>
      </c>
      <c r="C408" t="s">
        <v>16</v>
      </c>
      <c r="D408">
        <v>233</v>
      </c>
      <c r="E408" t="s">
        <v>426</v>
      </c>
      <c r="F408">
        <v>5419</v>
      </c>
      <c r="G408" t="s">
        <v>18</v>
      </c>
      <c r="H408">
        <v>27</v>
      </c>
      <c r="I408" t="s">
        <v>19</v>
      </c>
      <c r="J408">
        <v>2000</v>
      </c>
      <c r="K408">
        <v>2000</v>
      </c>
      <c r="L408" t="s">
        <v>20</v>
      </c>
      <c r="M408">
        <v>25675</v>
      </c>
      <c r="N408">
        <v>748</v>
      </c>
    </row>
    <row r="409" spans="1:14" x14ac:dyDescent="0.35">
      <c r="A409" t="s">
        <v>441</v>
      </c>
      <c r="B409" t="s">
        <v>15</v>
      </c>
      <c r="C409" t="s">
        <v>16</v>
      </c>
      <c r="D409">
        <v>233</v>
      </c>
      <c r="E409" t="s">
        <v>426</v>
      </c>
      <c r="F409">
        <v>5419</v>
      </c>
      <c r="G409" t="s">
        <v>18</v>
      </c>
      <c r="H409">
        <v>27</v>
      </c>
      <c r="I409" t="s">
        <v>19</v>
      </c>
      <c r="J409">
        <v>2001</v>
      </c>
      <c r="K409">
        <v>2001</v>
      </c>
      <c r="L409" t="s">
        <v>20</v>
      </c>
      <c r="M409">
        <v>18795</v>
      </c>
      <c r="N409">
        <v>748</v>
      </c>
    </row>
    <row r="410" spans="1:14" x14ac:dyDescent="0.35">
      <c r="A410" t="s">
        <v>442</v>
      </c>
      <c r="B410" t="s">
        <v>15</v>
      </c>
      <c r="C410" t="s">
        <v>16</v>
      </c>
      <c r="D410">
        <v>233</v>
      </c>
      <c r="E410" t="s">
        <v>426</v>
      </c>
      <c r="F410">
        <v>5419</v>
      </c>
      <c r="G410" t="s">
        <v>18</v>
      </c>
      <c r="H410">
        <v>27</v>
      </c>
      <c r="I410" t="s">
        <v>19</v>
      </c>
      <c r="J410">
        <v>2002</v>
      </c>
      <c r="K410">
        <v>2002</v>
      </c>
      <c r="L410" t="s">
        <v>20</v>
      </c>
      <c r="M410">
        <v>19010</v>
      </c>
      <c r="N410">
        <v>748</v>
      </c>
    </row>
    <row r="411" spans="1:14" x14ac:dyDescent="0.35">
      <c r="A411" t="s">
        <v>443</v>
      </c>
      <c r="B411" t="s">
        <v>15</v>
      </c>
      <c r="C411" t="s">
        <v>16</v>
      </c>
      <c r="D411">
        <v>233</v>
      </c>
      <c r="E411" t="s">
        <v>426</v>
      </c>
      <c r="F411">
        <v>5419</v>
      </c>
      <c r="G411" t="s">
        <v>18</v>
      </c>
      <c r="H411">
        <v>27</v>
      </c>
      <c r="I411" t="s">
        <v>19</v>
      </c>
      <c r="J411">
        <v>2004</v>
      </c>
      <c r="K411">
        <v>2004</v>
      </c>
      <c r="L411" t="s">
        <v>20</v>
      </c>
      <c r="M411">
        <v>15047</v>
      </c>
      <c r="N411">
        <v>748</v>
      </c>
    </row>
    <row r="412" spans="1:14" x14ac:dyDescent="0.35">
      <c r="A412" t="s">
        <v>444</v>
      </c>
      <c r="B412" t="s">
        <v>15</v>
      </c>
      <c r="C412" t="s">
        <v>16</v>
      </c>
      <c r="D412">
        <v>233</v>
      </c>
      <c r="E412" t="s">
        <v>426</v>
      </c>
      <c r="F412">
        <v>5419</v>
      </c>
      <c r="G412" t="s">
        <v>18</v>
      </c>
      <c r="H412">
        <v>27</v>
      </c>
      <c r="I412" t="s">
        <v>19</v>
      </c>
      <c r="J412">
        <v>2005</v>
      </c>
      <c r="K412">
        <v>2005</v>
      </c>
      <c r="L412" t="s">
        <v>20</v>
      </c>
      <c r="M412">
        <v>17791</v>
      </c>
      <c r="N412">
        <v>748</v>
      </c>
    </row>
    <row r="413" spans="1:14" x14ac:dyDescent="0.35">
      <c r="A413" t="s">
        <v>445</v>
      </c>
      <c r="B413" t="s">
        <v>15</v>
      </c>
      <c r="C413" t="s">
        <v>16</v>
      </c>
      <c r="D413">
        <v>233</v>
      </c>
      <c r="E413" t="s">
        <v>426</v>
      </c>
      <c r="F413">
        <v>5419</v>
      </c>
      <c r="G413" t="s">
        <v>18</v>
      </c>
      <c r="H413">
        <v>27</v>
      </c>
      <c r="I413" t="s">
        <v>19</v>
      </c>
      <c r="J413">
        <v>2006</v>
      </c>
      <c r="K413">
        <v>2006</v>
      </c>
      <c r="L413" t="s">
        <v>20</v>
      </c>
      <c r="M413">
        <v>25724</v>
      </c>
      <c r="N413">
        <v>748</v>
      </c>
    </row>
    <row r="414" spans="1:14" x14ac:dyDescent="0.35">
      <c r="A414" t="s">
        <v>446</v>
      </c>
      <c r="B414" t="s">
        <v>15</v>
      </c>
      <c r="C414" t="s">
        <v>16</v>
      </c>
      <c r="D414">
        <v>233</v>
      </c>
      <c r="E414" t="s">
        <v>426</v>
      </c>
      <c r="F414">
        <v>5419</v>
      </c>
      <c r="G414" t="s">
        <v>18</v>
      </c>
      <c r="H414">
        <v>27</v>
      </c>
      <c r="I414" t="s">
        <v>19</v>
      </c>
      <c r="J414">
        <v>2007</v>
      </c>
      <c r="K414">
        <v>2007</v>
      </c>
      <c r="L414" t="s">
        <v>20</v>
      </c>
      <c r="M414">
        <v>17002</v>
      </c>
      <c r="N414">
        <v>748</v>
      </c>
    </row>
    <row r="415" spans="1:14" x14ac:dyDescent="0.35">
      <c r="A415" t="s">
        <v>447</v>
      </c>
      <c r="B415" t="s">
        <v>15</v>
      </c>
      <c r="C415" t="s">
        <v>16</v>
      </c>
      <c r="D415">
        <v>233</v>
      </c>
      <c r="E415" t="s">
        <v>426</v>
      </c>
      <c r="F415">
        <v>5419</v>
      </c>
      <c r="G415" t="s">
        <v>18</v>
      </c>
      <c r="H415">
        <v>27</v>
      </c>
      <c r="I415" t="s">
        <v>19</v>
      </c>
      <c r="J415">
        <v>2008</v>
      </c>
      <c r="K415">
        <v>2008</v>
      </c>
      <c r="L415" t="s">
        <v>20</v>
      </c>
      <c r="M415">
        <v>24355</v>
      </c>
      <c r="N415">
        <v>748</v>
      </c>
    </row>
    <row r="416" spans="1:14" x14ac:dyDescent="0.35">
      <c r="A416" t="s">
        <v>448</v>
      </c>
      <c r="B416" t="s">
        <v>15</v>
      </c>
      <c r="C416" t="s">
        <v>16</v>
      </c>
      <c r="D416">
        <v>233</v>
      </c>
      <c r="E416" t="s">
        <v>426</v>
      </c>
      <c r="F416">
        <v>5419</v>
      </c>
      <c r="G416" t="s">
        <v>18</v>
      </c>
      <c r="H416">
        <v>27</v>
      </c>
      <c r="I416" t="s">
        <v>19</v>
      </c>
      <c r="J416">
        <v>2009</v>
      </c>
      <c r="K416">
        <v>2009</v>
      </c>
      <c r="L416" t="s">
        <v>20</v>
      </c>
      <c r="M416">
        <v>23154</v>
      </c>
      <c r="N416">
        <v>748</v>
      </c>
    </row>
    <row r="417" spans="1:14" x14ac:dyDescent="0.35">
      <c r="A417" t="s">
        <v>449</v>
      </c>
      <c r="B417" t="s">
        <v>15</v>
      </c>
      <c r="C417" t="s">
        <v>16</v>
      </c>
      <c r="D417">
        <v>233</v>
      </c>
      <c r="E417" t="s">
        <v>426</v>
      </c>
      <c r="F417">
        <v>5419</v>
      </c>
      <c r="G417" t="s">
        <v>18</v>
      </c>
      <c r="H417">
        <v>27</v>
      </c>
      <c r="I417" t="s">
        <v>19</v>
      </c>
      <c r="J417">
        <v>2010</v>
      </c>
      <c r="K417">
        <v>2010</v>
      </c>
      <c r="L417" t="s">
        <v>20</v>
      </c>
      <c r="M417">
        <v>20238</v>
      </c>
      <c r="N417">
        <v>748</v>
      </c>
    </row>
    <row r="418" spans="1:14" x14ac:dyDescent="0.35">
      <c r="A418" t="s">
        <v>450</v>
      </c>
      <c r="B418" t="s">
        <v>15</v>
      </c>
      <c r="C418" t="s">
        <v>16</v>
      </c>
      <c r="D418">
        <v>233</v>
      </c>
      <c r="E418" t="s">
        <v>426</v>
      </c>
      <c r="F418">
        <v>5419</v>
      </c>
      <c r="G418" t="s">
        <v>18</v>
      </c>
      <c r="H418">
        <v>27</v>
      </c>
      <c r="I418" t="s">
        <v>19</v>
      </c>
      <c r="J418">
        <v>2011</v>
      </c>
      <c r="K418">
        <v>2011</v>
      </c>
      <c r="L418" t="s">
        <v>20</v>
      </c>
      <c r="M418">
        <v>17676</v>
      </c>
      <c r="N418">
        <v>748</v>
      </c>
    </row>
    <row r="419" spans="1:14" x14ac:dyDescent="0.35">
      <c r="A419" t="s">
        <v>451</v>
      </c>
      <c r="B419" t="s">
        <v>15</v>
      </c>
      <c r="C419" t="s">
        <v>16</v>
      </c>
      <c r="D419">
        <v>233</v>
      </c>
      <c r="E419" t="s">
        <v>426</v>
      </c>
      <c r="F419">
        <v>5419</v>
      </c>
      <c r="G419" t="s">
        <v>18</v>
      </c>
      <c r="H419">
        <v>27</v>
      </c>
      <c r="I419" t="s">
        <v>19</v>
      </c>
      <c r="J419">
        <v>2012</v>
      </c>
      <c r="K419">
        <v>2012</v>
      </c>
      <c r="L419" t="s">
        <v>20</v>
      </c>
      <c r="M419">
        <v>23336</v>
      </c>
      <c r="N419">
        <v>748</v>
      </c>
    </row>
    <row r="420" spans="1:14" x14ac:dyDescent="0.35">
      <c r="A420" t="s">
        <v>452</v>
      </c>
      <c r="B420" t="s">
        <v>15</v>
      </c>
      <c r="C420" t="s">
        <v>16</v>
      </c>
      <c r="D420">
        <v>233</v>
      </c>
      <c r="E420" t="s">
        <v>426</v>
      </c>
      <c r="F420">
        <v>5419</v>
      </c>
      <c r="G420" t="s">
        <v>18</v>
      </c>
      <c r="H420">
        <v>27</v>
      </c>
      <c r="I420" t="s">
        <v>19</v>
      </c>
      <c r="J420">
        <v>2013</v>
      </c>
      <c r="K420">
        <v>2013</v>
      </c>
      <c r="L420" t="s">
        <v>20</v>
      </c>
      <c r="M420">
        <v>21993</v>
      </c>
      <c r="N420">
        <v>748</v>
      </c>
    </row>
    <row r="421" spans="1:14" x14ac:dyDescent="0.35">
      <c r="A421" t="s">
        <v>453</v>
      </c>
      <c r="B421" t="s">
        <v>15</v>
      </c>
      <c r="C421" t="s">
        <v>16</v>
      </c>
      <c r="D421">
        <v>233</v>
      </c>
      <c r="E421" t="s">
        <v>426</v>
      </c>
      <c r="F421">
        <v>5419</v>
      </c>
      <c r="G421" t="s">
        <v>18</v>
      </c>
      <c r="H421">
        <v>27</v>
      </c>
      <c r="I421" t="s">
        <v>19</v>
      </c>
      <c r="J421">
        <v>2014</v>
      </c>
      <c r="K421">
        <v>2014</v>
      </c>
      <c r="L421" t="s">
        <v>20</v>
      </c>
      <c r="M421">
        <v>24088</v>
      </c>
      <c r="N421">
        <v>748</v>
      </c>
    </row>
    <row r="422" spans="1:14" x14ac:dyDescent="0.35">
      <c r="A422" t="s">
        <v>454</v>
      </c>
      <c r="B422" t="s">
        <v>15</v>
      </c>
      <c r="C422" t="s">
        <v>16</v>
      </c>
      <c r="D422">
        <v>233</v>
      </c>
      <c r="E422" t="s">
        <v>426</v>
      </c>
      <c r="F422">
        <v>5419</v>
      </c>
      <c r="G422" t="s">
        <v>18</v>
      </c>
      <c r="H422">
        <v>27</v>
      </c>
      <c r="I422" t="s">
        <v>19</v>
      </c>
      <c r="J422">
        <v>2015</v>
      </c>
      <c r="K422">
        <v>2015</v>
      </c>
      <c r="L422" t="s">
        <v>20</v>
      </c>
      <c r="M422">
        <v>22032</v>
      </c>
      <c r="N422">
        <v>748</v>
      </c>
    </row>
    <row r="423" spans="1:14" x14ac:dyDescent="0.35">
      <c r="A423" t="s">
        <v>455</v>
      </c>
      <c r="B423" t="s">
        <v>15</v>
      </c>
      <c r="C423" t="s">
        <v>16</v>
      </c>
      <c r="D423">
        <v>233</v>
      </c>
      <c r="E423" t="s">
        <v>426</v>
      </c>
      <c r="F423">
        <v>5419</v>
      </c>
      <c r="G423" t="s">
        <v>18</v>
      </c>
      <c r="H423">
        <v>27</v>
      </c>
      <c r="I423" t="s">
        <v>19</v>
      </c>
      <c r="J423">
        <v>2016</v>
      </c>
      <c r="K423">
        <v>2016</v>
      </c>
      <c r="L423" t="s">
        <v>20</v>
      </c>
      <c r="M423">
        <v>21718</v>
      </c>
      <c r="N423">
        <v>748</v>
      </c>
    </row>
    <row r="424" spans="1:14" x14ac:dyDescent="0.35">
      <c r="A424" t="s">
        <v>456</v>
      </c>
      <c r="B424" t="s">
        <v>15</v>
      </c>
      <c r="C424" t="s">
        <v>16</v>
      </c>
      <c r="D424">
        <v>29</v>
      </c>
      <c r="E424" t="s">
        <v>457</v>
      </c>
      <c r="F424">
        <v>5419</v>
      </c>
      <c r="G424" t="s">
        <v>18</v>
      </c>
      <c r="H424">
        <v>27</v>
      </c>
      <c r="I424" t="s">
        <v>19</v>
      </c>
      <c r="J424">
        <v>1985</v>
      </c>
      <c r="K424">
        <v>1985</v>
      </c>
      <c r="L424" t="s">
        <v>20</v>
      </c>
      <c r="M424">
        <v>44150</v>
      </c>
      <c r="N424">
        <v>1274</v>
      </c>
    </row>
    <row r="425" spans="1:14" x14ac:dyDescent="0.35">
      <c r="A425" t="s">
        <v>458</v>
      </c>
      <c r="B425" t="s">
        <v>15</v>
      </c>
      <c r="C425" t="s">
        <v>16</v>
      </c>
      <c r="D425">
        <v>29</v>
      </c>
      <c r="E425" t="s">
        <v>457</v>
      </c>
      <c r="F425">
        <v>5419</v>
      </c>
      <c r="G425" t="s">
        <v>18</v>
      </c>
      <c r="H425">
        <v>27</v>
      </c>
      <c r="I425" t="s">
        <v>19</v>
      </c>
      <c r="J425">
        <v>1986</v>
      </c>
      <c r="K425">
        <v>1986</v>
      </c>
      <c r="L425" t="s">
        <v>20</v>
      </c>
      <c r="M425">
        <v>30837</v>
      </c>
      <c r="N425">
        <v>1274</v>
      </c>
    </row>
    <row r="426" spans="1:14" x14ac:dyDescent="0.35">
      <c r="A426" t="s">
        <v>459</v>
      </c>
      <c r="B426" t="s">
        <v>15</v>
      </c>
      <c r="C426" t="s">
        <v>16</v>
      </c>
      <c r="D426">
        <v>29</v>
      </c>
      <c r="E426" t="s">
        <v>457</v>
      </c>
      <c r="F426">
        <v>5419</v>
      </c>
      <c r="G426" t="s">
        <v>18</v>
      </c>
      <c r="H426">
        <v>27</v>
      </c>
      <c r="I426" t="s">
        <v>19</v>
      </c>
      <c r="J426">
        <v>1987</v>
      </c>
      <c r="K426">
        <v>1987</v>
      </c>
      <c r="L426" t="s">
        <v>20</v>
      </c>
      <c r="M426">
        <v>23333</v>
      </c>
      <c r="N426">
        <v>1274</v>
      </c>
    </row>
    <row r="427" spans="1:14" x14ac:dyDescent="0.35">
      <c r="A427" t="s">
        <v>460</v>
      </c>
      <c r="B427" t="s">
        <v>15</v>
      </c>
      <c r="C427" t="s">
        <v>16</v>
      </c>
      <c r="D427">
        <v>29</v>
      </c>
      <c r="E427" t="s">
        <v>457</v>
      </c>
      <c r="F427">
        <v>5419</v>
      </c>
      <c r="G427" t="s">
        <v>18</v>
      </c>
      <c r="H427">
        <v>27</v>
      </c>
      <c r="I427" t="s">
        <v>19</v>
      </c>
      <c r="J427">
        <v>1989</v>
      </c>
      <c r="K427">
        <v>1989</v>
      </c>
      <c r="L427" t="s">
        <v>20</v>
      </c>
      <c r="M427">
        <v>33333</v>
      </c>
      <c r="N427">
        <v>1274</v>
      </c>
    </row>
    <row r="428" spans="1:14" x14ac:dyDescent="0.35">
      <c r="A428" t="s">
        <v>461</v>
      </c>
      <c r="B428" t="s">
        <v>15</v>
      </c>
      <c r="C428" t="s">
        <v>16</v>
      </c>
      <c r="D428">
        <v>29</v>
      </c>
      <c r="E428" t="s">
        <v>457</v>
      </c>
      <c r="F428">
        <v>5419</v>
      </c>
      <c r="G428" t="s">
        <v>18</v>
      </c>
      <c r="H428">
        <v>27</v>
      </c>
      <c r="I428" t="s">
        <v>19</v>
      </c>
      <c r="J428">
        <v>1990</v>
      </c>
      <c r="K428">
        <v>1990</v>
      </c>
      <c r="L428" t="s">
        <v>20</v>
      </c>
      <c r="M428">
        <v>33333</v>
      </c>
      <c r="N428">
        <v>1274</v>
      </c>
    </row>
    <row r="429" spans="1:14" x14ac:dyDescent="0.35">
      <c r="A429" t="s">
        <v>462</v>
      </c>
      <c r="B429" t="s">
        <v>15</v>
      </c>
      <c r="C429" t="s">
        <v>16</v>
      </c>
      <c r="D429">
        <v>29</v>
      </c>
      <c r="E429" t="s">
        <v>457</v>
      </c>
      <c r="F429">
        <v>5419</v>
      </c>
      <c r="G429" t="s">
        <v>18</v>
      </c>
      <c r="H429">
        <v>27</v>
      </c>
      <c r="I429" t="s">
        <v>19</v>
      </c>
      <c r="J429">
        <v>1991</v>
      </c>
      <c r="K429">
        <v>1991</v>
      </c>
      <c r="L429" t="s">
        <v>20</v>
      </c>
      <c r="M429">
        <v>30923</v>
      </c>
      <c r="N429">
        <v>1274</v>
      </c>
    </row>
    <row r="430" spans="1:14" x14ac:dyDescent="0.35">
      <c r="A430" t="s">
        <v>463</v>
      </c>
      <c r="B430" t="s">
        <v>15</v>
      </c>
      <c r="C430" t="s">
        <v>16</v>
      </c>
      <c r="D430">
        <v>29</v>
      </c>
      <c r="E430" t="s">
        <v>457</v>
      </c>
      <c r="F430">
        <v>5419</v>
      </c>
      <c r="G430" t="s">
        <v>18</v>
      </c>
      <c r="H430">
        <v>27</v>
      </c>
      <c r="I430" t="s">
        <v>19</v>
      </c>
      <c r="J430">
        <v>1992</v>
      </c>
      <c r="K430">
        <v>1992</v>
      </c>
      <c r="L430" t="s">
        <v>20</v>
      </c>
      <c r="M430">
        <v>31077</v>
      </c>
      <c r="N430">
        <v>1274</v>
      </c>
    </row>
    <row r="431" spans="1:14" x14ac:dyDescent="0.35">
      <c r="A431" t="s">
        <v>464</v>
      </c>
      <c r="B431" t="s">
        <v>15</v>
      </c>
      <c r="C431" t="s">
        <v>16</v>
      </c>
      <c r="D431">
        <v>29</v>
      </c>
      <c r="E431" t="s">
        <v>457</v>
      </c>
      <c r="F431">
        <v>5419</v>
      </c>
      <c r="G431" t="s">
        <v>18</v>
      </c>
      <c r="H431">
        <v>27</v>
      </c>
      <c r="I431" t="s">
        <v>19</v>
      </c>
      <c r="J431">
        <v>1993</v>
      </c>
      <c r="K431">
        <v>1993</v>
      </c>
      <c r="L431" t="s">
        <v>20</v>
      </c>
      <c r="M431">
        <v>31398</v>
      </c>
      <c r="N431">
        <v>1274</v>
      </c>
    </row>
    <row r="432" spans="1:14" x14ac:dyDescent="0.35">
      <c r="A432" t="s">
        <v>465</v>
      </c>
      <c r="B432" t="s">
        <v>15</v>
      </c>
      <c r="C432" t="s">
        <v>16</v>
      </c>
      <c r="D432">
        <v>29</v>
      </c>
      <c r="E432" t="s">
        <v>457</v>
      </c>
      <c r="F432">
        <v>5419</v>
      </c>
      <c r="G432" t="s">
        <v>18</v>
      </c>
      <c r="H432">
        <v>27</v>
      </c>
      <c r="I432" t="s">
        <v>19</v>
      </c>
      <c r="J432">
        <v>1994</v>
      </c>
      <c r="K432">
        <v>1994</v>
      </c>
      <c r="L432" t="s">
        <v>20</v>
      </c>
      <c r="M432">
        <v>31099</v>
      </c>
      <c r="N432">
        <v>1274</v>
      </c>
    </row>
    <row r="433" spans="1:14" x14ac:dyDescent="0.35">
      <c r="A433" t="s">
        <v>466</v>
      </c>
      <c r="B433" t="s">
        <v>15</v>
      </c>
      <c r="C433" t="s">
        <v>16</v>
      </c>
      <c r="D433">
        <v>29</v>
      </c>
      <c r="E433" t="s">
        <v>457</v>
      </c>
      <c r="F433">
        <v>5419</v>
      </c>
      <c r="G433" t="s">
        <v>18</v>
      </c>
      <c r="H433">
        <v>27</v>
      </c>
      <c r="I433" t="s">
        <v>19</v>
      </c>
      <c r="J433">
        <v>1995</v>
      </c>
      <c r="K433">
        <v>1995</v>
      </c>
      <c r="L433" t="s">
        <v>20</v>
      </c>
      <c r="M433">
        <v>26819</v>
      </c>
      <c r="N433">
        <v>1274</v>
      </c>
    </row>
    <row r="434" spans="1:14" x14ac:dyDescent="0.35">
      <c r="A434" t="s">
        <v>467</v>
      </c>
      <c r="B434" t="s">
        <v>15</v>
      </c>
      <c r="C434" t="s">
        <v>16</v>
      </c>
      <c r="D434">
        <v>29</v>
      </c>
      <c r="E434" t="s">
        <v>457</v>
      </c>
      <c r="F434">
        <v>5419</v>
      </c>
      <c r="G434" t="s">
        <v>18</v>
      </c>
      <c r="H434">
        <v>27</v>
      </c>
      <c r="I434" t="s">
        <v>19</v>
      </c>
      <c r="J434">
        <v>1996</v>
      </c>
      <c r="K434">
        <v>1996</v>
      </c>
      <c r="L434" t="s">
        <v>20</v>
      </c>
      <c r="M434">
        <v>27873</v>
      </c>
      <c r="N434">
        <v>1274</v>
      </c>
    </row>
    <row r="435" spans="1:14" x14ac:dyDescent="0.35">
      <c r="A435" t="s">
        <v>468</v>
      </c>
      <c r="B435" t="s">
        <v>15</v>
      </c>
      <c r="C435" t="s">
        <v>16</v>
      </c>
      <c r="D435">
        <v>29</v>
      </c>
      <c r="E435" t="s">
        <v>457</v>
      </c>
      <c r="F435">
        <v>5419</v>
      </c>
      <c r="G435" t="s">
        <v>18</v>
      </c>
      <c r="H435">
        <v>27</v>
      </c>
      <c r="I435" t="s">
        <v>19</v>
      </c>
      <c r="J435">
        <v>1997</v>
      </c>
      <c r="K435">
        <v>1997</v>
      </c>
      <c r="L435" t="s">
        <v>20</v>
      </c>
      <c r="M435">
        <v>32551</v>
      </c>
      <c r="N435">
        <v>1274</v>
      </c>
    </row>
    <row r="436" spans="1:14" x14ac:dyDescent="0.35">
      <c r="A436" t="s">
        <v>469</v>
      </c>
      <c r="B436" t="s">
        <v>15</v>
      </c>
      <c r="C436" t="s">
        <v>16</v>
      </c>
      <c r="D436">
        <v>29</v>
      </c>
      <c r="E436" t="s">
        <v>457</v>
      </c>
      <c r="F436">
        <v>5419</v>
      </c>
      <c r="G436" t="s">
        <v>18</v>
      </c>
      <c r="H436">
        <v>27</v>
      </c>
      <c r="I436" t="s">
        <v>19</v>
      </c>
      <c r="J436">
        <v>1998</v>
      </c>
      <c r="K436">
        <v>1998</v>
      </c>
      <c r="L436" t="s">
        <v>20</v>
      </c>
      <c r="M436">
        <v>29927</v>
      </c>
      <c r="N436">
        <v>1274</v>
      </c>
    </row>
    <row r="437" spans="1:14" x14ac:dyDescent="0.35">
      <c r="A437" t="s">
        <v>470</v>
      </c>
      <c r="B437" t="s">
        <v>15</v>
      </c>
      <c r="C437" t="s">
        <v>16</v>
      </c>
      <c r="D437">
        <v>29</v>
      </c>
      <c r="E437" t="s">
        <v>457</v>
      </c>
      <c r="F437">
        <v>5419</v>
      </c>
      <c r="G437" t="s">
        <v>18</v>
      </c>
      <c r="H437">
        <v>27</v>
      </c>
      <c r="I437" t="s">
        <v>19</v>
      </c>
      <c r="J437">
        <v>1999</v>
      </c>
      <c r="K437">
        <v>1999</v>
      </c>
      <c r="L437" t="s">
        <v>20</v>
      </c>
      <c r="M437">
        <v>32572</v>
      </c>
      <c r="N437">
        <v>1274</v>
      </c>
    </row>
    <row r="438" spans="1:14" x14ac:dyDescent="0.35">
      <c r="A438" t="s">
        <v>471</v>
      </c>
      <c r="B438" t="s">
        <v>15</v>
      </c>
      <c r="C438" t="s">
        <v>16</v>
      </c>
      <c r="D438">
        <v>29</v>
      </c>
      <c r="E438" t="s">
        <v>457</v>
      </c>
      <c r="F438">
        <v>5419</v>
      </c>
      <c r="G438" t="s">
        <v>18</v>
      </c>
      <c r="H438">
        <v>27</v>
      </c>
      <c r="I438" t="s">
        <v>19</v>
      </c>
      <c r="J438">
        <v>2000</v>
      </c>
      <c r="K438">
        <v>2000</v>
      </c>
      <c r="L438" t="s">
        <v>20</v>
      </c>
      <c r="M438">
        <v>30399</v>
      </c>
      <c r="N438">
        <v>1274</v>
      </c>
    </row>
    <row r="439" spans="1:14" x14ac:dyDescent="0.35">
      <c r="A439" t="s">
        <v>472</v>
      </c>
      <c r="B439" t="s">
        <v>15</v>
      </c>
      <c r="C439" t="s">
        <v>16</v>
      </c>
      <c r="D439">
        <v>29</v>
      </c>
      <c r="E439" t="s">
        <v>457</v>
      </c>
      <c r="F439">
        <v>5419</v>
      </c>
      <c r="G439" t="s">
        <v>18</v>
      </c>
      <c r="H439">
        <v>27</v>
      </c>
      <c r="I439" t="s">
        <v>19</v>
      </c>
      <c r="J439">
        <v>2001</v>
      </c>
      <c r="K439">
        <v>2001</v>
      </c>
      <c r="L439" t="s">
        <v>20</v>
      </c>
      <c r="M439">
        <v>32063</v>
      </c>
      <c r="N439">
        <v>1274</v>
      </c>
    </row>
    <row r="440" spans="1:14" x14ac:dyDescent="0.35">
      <c r="A440" t="s">
        <v>473</v>
      </c>
      <c r="B440" t="s">
        <v>15</v>
      </c>
      <c r="C440" t="s">
        <v>16</v>
      </c>
      <c r="D440">
        <v>29</v>
      </c>
      <c r="E440" t="s">
        <v>457</v>
      </c>
      <c r="F440">
        <v>5419</v>
      </c>
      <c r="G440" t="s">
        <v>18</v>
      </c>
      <c r="H440">
        <v>27</v>
      </c>
      <c r="I440" t="s">
        <v>19</v>
      </c>
      <c r="J440">
        <v>2002</v>
      </c>
      <c r="K440">
        <v>2002</v>
      </c>
      <c r="L440" t="s">
        <v>20</v>
      </c>
      <c r="M440">
        <v>32629</v>
      </c>
      <c r="N440">
        <v>1274</v>
      </c>
    </row>
    <row r="441" spans="1:14" x14ac:dyDescent="0.35">
      <c r="A441" t="s">
        <v>474</v>
      </c>
      <c r="B441" t="s">
        <v>15</v>
      </c>
      <c r="C441" t="s">
        <v>16</v>
      </c>
      <c r="D441">
        <v>29</v>
      </c>
      <c r="E441" t="s">
        <v>457</v>
      </c>
      <c r="F441">
        <v>5419</v>
      </c>
      <c r="G441" t="s">
        <v>18</v>
      </c>
      <c r="H441">
        <v>27</v>
      </c>
      <c r="I441" t="s">
        <v>19</v>
      </c>
      <c r="J441">
        <v>2004</v>
      </c>
      <c r="K441">
        <v>2004</v>
      </c>
      <c r="L441" t="s">
        <v>20</v>
      </c>
      <c r="M441">
        <v>32924</v>
      </c>
      <c r="N441">
        <v>1274</v>
      </c>
    </row>
    <row r="442" spans="1:14" x14ac:dyDescent="0.35">
      <c r="A442" t="s">
        <v>475</v>
      </c>
      <c r="B442" t="s">
        <v>15</v>
      </c>
      <c r="C442" t="s">
        <v>16</v>
      </c>
      <c r="D442">
        <v>29</v>
      </c>
      <c r="E442" t="s">
        <v>457</v>
      </c>
      <c r="F442">
        <v>5419</v>
      </c>
      <c r="G442" t="s">
        <v>18</v>
      </c>
      <c r="H442">
        <v>27</v>
      </c>
      <c r="I442" t="s">
        <v>19</v>
      </c>
      <c r="J442">
        <v>2005</v>
      </c>
      <c r="K442">
        <v>2005</v>
      </c>
      <c r="L442" t="s">
        <v>20</v>
      </c>
      <c r="M442">
        <v>34144</v>
      </c>
      <c r="N442">
        <v>1274</v>
      </c>
    </row>
    <row r="443" spans="1:14" x14ac:dyDescent="0.35">
      <c r="A443" t="s">
        <v>476</v>
      </c>
      <c r="B443" t="s">
        <v>15</v>
      </c>
      <c r="C443" t="s">
        <v>16</v>
      </c>
      <c r="D443">
        <v>29</v>
      </c>
      <c r="E443" t="s">
        <v>457</v>
      </c>
      <c r="F443">
        <v>5419</v>
      </c>
      <c r="G443" t="s">
        <v>18</v>
      </c>
      <c r="H443">
        <v>27</v>
      </c>
      <c r="I443" t="s">
        <v>19</v>
      </c>
      <c r="J443">
        <v>2006</v>
      </c>
      <c r="K443">
        <v>2006</v>
      </c>
      <c r="L443" t="s">
        <v>20</v>
      </c>
      <c r="M443">
        <v>33322</v>
      </c>
      <c r="N443">
        <v>1274</v>
      </c>
    </row>
    <row r="444" spans="1:14" x14ac:dyDescent="0.35">
      <c r="A444" t="s">
        <v>477</v>
      </c>
      <c r="B444" t="s">
        <v>15</v>
      </c>
      <c r="C444" t="s">
        <v>16</v>
      </c>
      <c r="D444">
        <v>29</v>
      </c>
      <c r="E444" t="s">
        <v>457</v>
      </c>
      <c r="F444">
        <v>5419</v>
      </c>
      <c r="G444" t="s">
        <v>18</v>
      </c>
      <c r="H444">
        <v>27</v>
      </c>
      <c r="I444" t="s">
        <v>19</v>
      </c>
      <c r="J444">
        <v>2007</v>
      </c>
      <c r="K444">
        <v>2007</v>
      </c>
      <c r="L444" t="s">
        <v>20</v>
      </c>
      <c r="M444">
        <v>33767</v>
      </c>
      <c r="N444">
        <v>1274</v>
      </c>
    </row>
    <row r="445" spans="1:14" x14ac:dyDescent="0.35">
      <c r="A445" t="s">
        <v>478</v>
      </c>
      <c r="B445" t="s">
        <v>15</v>
      </c>
      <c r="C445" t="s">
        <v>16</v>
      </c>
      <c r="D445">
        <v>29</v>
      </c>
      <c r="E445" t="s">
        <v>457</v>
      </c>
      <c r="F445">
        <v>5419</v>
      </c>
      <c r="G445" t="s">
        <v>18</v>
      </c>
      <c r="H445">
        <v>27</v>
      </c>
      <c r="I445" t="s">
        <v>19</v>
      </c>
      <c r="J445">
        <v>2008</v>
      </c>
      <c r="K445">
        <v>2008</v>
      </c>
      <c r="L445" t="s">
        <v>20</v>
      </c>
      <c r="M445">
        <v>32203</v>
      </c>
      <c r="N445">
        <v>1274</v>
      </c>
    </row>
    <row r="446" spans="1:14" x14ac:dyDescent="0.35">
      <c r="A446" t="s">
        <v>479</v>
      </c>
      <c r="B446" t="s">
        <v>15</v>
      </c>
      <c r="C446" t="s">
        <v>16</v>
      </c>
      <c r="D446">
        <v>29</v>
      </c>
      <c r="E446" t="s">
        <v>457</v>
      </c>
      <c r="F446">
        <v>5419</v>
      </c>
      <c r="G446" t="s">
        <v>18</v>
      </c>
      <c r="H446">
        <v>27</v>
      </c>
      <c r="I446" t="s">
        <v>19</v>
      </c>
      <c r="J446">
        <v>2009</v>
      </c>
      <c r="K446">
        <v>2009</v>
      </c>
      <c r="L446" t="s">
        <v>20</v>
      </c>
      <c r="M446">
        <v>32680</v>
      </c>
      <c r="N446">
        <v>1274</v>
      </c>
    </row>
    <row r="447" spans="1:14" x14ac:dyDescent="0.35">
      <c r="A447" t="s">
        <v>480</v>
      </c>
      <c r="B447" t="s">
        <v>15</v>
      </c>
      <c r="C447" t="s">
        <v>16</v>
      </c>
      <c r="D447">
        <v>29</v>
      </c>
      <c r="E447" t="s">
        <v>457</v>
      </c>
      <c r="F447">
        <v>5419</v>
      </c>
      <c r="G447" t="s">
        <v>18</v>
      </c>
      <c r="H447">
        <v>27</v>
      </c>
      <c r="I447" t="s">
        <v>19</v>
      </c>
      <c r="J447">
        <v>2010</v>
      </c>
      <c r="K447">
        <v>2010</v>
      </c>
      <c r="L447" t="s">
        <v>20</v>
      </c>
      <c r="M447">
        <v>28268</v>
      </c>
      <c r="N447">
        <v>1274</v>
      </c>
    </row>
    <row r="448" spans="1:14" x14ac:dyDescent="0.35">
      <c r="A448" t="s">
        <v>481</v>
      </c>
      <c r="B448" t="s">
        <v>15</v>
      </c>
      <c r="C448" t="s">
        <v>16</v>
      </c>
      <c r="D448">
        <v>29</v>
      </c>
      <c r="E448" t="s">
        <v>457</v>
      </c>
      <c r="F448">
        <v>5419</v>
      </c>
      <c r="G448" t="s">
        <v>18</v>
      </c>
      <c r="H448">
        <v>27</v>
      </c>
      <c r="I448" t="s">
        <v>19</v>
      </c>
      <c r="J448">
        <v>2011</v>
      </c>
      <c r="K448">
        <v>2011</v>
      </c>
      <c r="L448" t="s">
        <v>20</v>
      </c>
      <c r="M448">
        <v>26876</v>
      </c>
      <c r="N448">
        <v>1274</v>
      </c>
    </row>
    <row r="449" spans="1:14" x14ac:dyDescent="0.35">
      <c r="A449" t="s">
        <v>482</v>
      </c>
      <c r="B449" t="s">
        <v>15</v>
      </c>
      <c r="C449" t="s">
        <v>16</v>
      </c>
      <c r="D449">
        <v>29</v>
      </c>
      <c r="E449" t="s">
        <v>457</v>
      </c>
      <c r="F449">
        <v>5419</v>
      </c>
      <c r="G449" t="s">
        <v>18</v>
      </c>
      <c r="H449">
        <v>27</v>
      </c>
      <c r="I449" t="s">
        <v>19</v>
      </c>
      <c r="J449">
        <v>2012</v>
      </c>
      <c r="K449">
        <v>2012</v>
      </c>
      <c r="L449" t="s">
        <v>20</v>
      </c>
      <c r="M449">
        <v>21041</v>
      </c>
      <c r="N449">
        <v>1274</v>
      </c>
    </row>
    <row r="450" spans="1:14" x14ac:dyDescent="0.35">
      <c r="A450" t="s">
        <v>483</v>
      </c>
      <c r="B450" t="s">
        <v>15</v>
      </c>
      <c r="C450" t="s">
        <v>16</v>
      </c>
      <c r="D450">
        <v>29</v>
      </c>
      <c r="E450" t="s">
        <v>457</v>
      </c>
      <c r="F450">
        <v>5419</v>
      </c>
      <c r="G450" t="s">
        <v>18</v>
      </c>
      <c r="H450">
        <v>27</v>
      </c>
      <c r="I450" t="s">
        <v>19</v>
      </c>
      <c r="J450">
        <v>2013</v>
      </c>
      <c r="K450">
        <v>2013</v>
      </c>
      <c r="L450" t="s">
        <v>20</v>
      </c>
      <c r="M450">
        <v>19130</v>
      </c>
      <c r="N450">
        <v>1274</v>
      </c>
    </row>
    <row r="451" spans="1:14" x14ac:dyDescent="0.35">
      <c r="A451" t="s">
        <v>484</v>
      </c>
      <c r="B451" t="s">
        <v>15</v>
      </c>
      <c r="C451" t="s">
        <v>16</v>
      </c>
      <c r="D451">
        <v>29</v>
      </c>
      <c r="E451" t="s">
        <v>457</v>
      </c>
      <c r="F451">
        <v>5419</v>
      </c>
      <c r="G451" t="s">
        <v>18</v>
      </c>
      <c r="H451">
        <v>27</v>
      </c>
      <c r="I451" t="s">
        <v>19</v>
      </c>
      <c r="J451">
        <v>2014</v>
      </c>
      <c r="K451">
        <v>2014</v>
      </c>
      <c r="L451" t="s">
        <v>20</v>
      </c>
      <c r="M451">
        <v>28393</v>
      </c>
      <c r="N451">
        <v>1274</v>
      </c>
    </row>
    <row r="452" spans="1:14" x14ac:dyDescent="0.35">
      <c r="A452" t="s">
        <v>485</v>
      </c>
      <c r="B452" t="s">
        <v>15</v>
      </c>
      <c r="C452" t="s">
        <v>16</v>
      </c>
      <c r="D452">
        <v>29</v>
      </c>
      <c r="E452" t="s">
        <v>457</v>
      </c>
      <c r="F452">
        <v>5419</v>
      </c>
      <c r="G452" t="s">
        <v>18</v>
      </c>
      <c r="H452">
        <v>27</v>
      </c>
      <c r="I452" t="s">
        <v>19</v>
      </c>
      <c r="J452">
        <v>2015</v>
      </c>
      <c r="K452">
        <v>2015</v>
      </c>
      <c r="L452" t="s">
        <v>20</v>
      </c>
      <c r="M452">
        <v>11293</v>
      </c>
      <c r="N452">
        <v>1274</v>
      </c>
    </row>
    <row r="453" spans="1:14" x14ac:dyDescent="0.35">
      <c r="A453" t="s">
        <v>486</v>
      </c>
      <c r="B453" t="s">
        <v>15</v>
      </c>
      <c r="C453" t="s">
        <v>16</v>
      </c>
      <c r="D453">
        <v>29</v>
      </c>
      <c r="E453" t="s">
        <v>457</v>
      </c>
      <c r="F453">
        <v>5419</v>
      </c>
      <c r="G453" t="s">
        <v>18</v>
      </c>
      <c r="H453">
        <v>27</v>
      </c>
      <c r="I453" t="s">
        <v>19</v>
      </c>
      <c r="J453">
        <v>2016</v>
      </c>
      <c r="K453">
        <v>2016</v>
      </c>
      <c r="L453" t="s">
        <v>20</v>
      </c>
      <c r="M453">
        <v>23001</v>
      </c>
      <c r="N453">
        <v>1274</v>
      </c>
    </row>
    <row r="454" spans="1:14" x14ac:dyDescent="0.35">
      <c r="A454" t="s">
        <v>487</v>
      </c>
      <c r="B454" t="s">
        <v>15</v>
      </c>
      <c r="C454" t="s">
        <v>16</v>
      </c>
      <c r="D454">
        <v>115</v>
      </c>
      <c r="E454" t="s">
        <v>488</v>
      </c>
      <c r="F454">
        <v>5419</v>
      </c>
      <c r="G454" t="s">
        <v>18</v>
      </c>
      <c r="H454">
        <v>27</v>
      </c>
      <c r="I454" t="s">
        <v>19</v>
      </c>
      <c r="J454">
        <v>1985</v>
      </c>
      <c r="K454">
        <v>1985</v>
      </c>
      <c r="L454" t="s">
        <v>20</v>
      </c>
      <c r="M454">
        <v>12497</v>
      </c>
      <c r="N454">
        <v>1904</v>
      </c>
    </row>
    <row r="455" spans="1:14" x14ac:dyDescent="0.35">
      <c r="A455" t="s">
        <v>489</v>
      </c>
      <c r="B455" t="s">
        <v>15</v>
      </c>
      <c r="C455" t="s">
        <v>16</v>
      </c>
      <c r="D455">
        <v>115</v>
      </c>
      <c r="E455" t="s">
        <v>488</v>
      </c>
      <c r="F455">
        <v>5419</v>
      </c>
      <c r="G455" t="s">
        <v>18</v>
      </c>
      <c r="H455">
        <v>27</v>
      </c>
      <c r="I455" t="s">
        <v>19</v>
      </c>
      <c r="J455">
        <v>1986</v>
      </c>
      <c r="K455">
        <v>1986</v>
      </c>
      <c r="L455" t="s">
        <v>20</v>
      </c>
      <c r="M455">
        <v>13770</v>
      </c>
      <c r="N455">
        <v>1904</v>
      </c>
    </row>
    <row r="456" spans="1:14" x14ac:dyDescent="0.35">
      <c r="A456" t="s">
        <v>490</v>
      </c>
      <c r="B456" t="s">
        <v>15</v>
      </c>
      <c r="C456" t="s">
        <v>16</v>
      </c>
      <c r="D456">
        <v>115</v>
      </c>
      <c r="E456" t="s">
        <v>488</v>
      </c>
      <c r="F456">
        <v>5419</v>
      </c>
      <c r="G456" t="s">
        <v>18</v>
      </c>
      <c r="H456">
        <v>27</v>
      </c>
      <c r="I456" t="s">
        <v>19</v>
      </c>
      <c r="J456">
        <v>1987</v>
      </c>
      <c r="K456">
        <v>1987</v>
      </c>
      <c r="L456" t="s">
        <v>20</v>
      </c>
      <c r="M456">
        <v>13248</v>
      </c>
      <c r="N456">
        <v>1904</v>
      </c>
    </row>
    <row r="457" spans="1:14" x14ac:dyDescent="0.35">
      <c r="A457" t="s">
        <v>491</v>
      </c>
      <c r="B457" t="s">
        <v>15</v>
      </c>
      <c r="C457" t="s">
        <v>16</v>
      </c>
      <c r="D457">
        <v>115</v>
      </c>
      <c r="E457" t="s">
        <v>488</v>
      </c>
      <c r="F457">
        <v>5419</v>
      </c>
      <c r="G457" t="s">
        <v>18</v>
      </c>
      <c r="H457">
        <v>27</v>
      </c>
      <c r="I457" t="s">
        <v>19</v>
      </c>
      <c r="J457">
        <v>1989</v>
      </c>
      <c r="K457">
        <v>1989</v>
      </c>
      <c r="L457" t="s">
        <v>20</v>
      </c>
      <c r="M457">
        <v>14358</v>
      </c>
      <c r="N457">
        <v>1904</v>
      </c>
    </row>
    <row r="458" spans="1:14" x14ac:dyDescent="0.35">
      <c r="A458" t="s">
        <v>492</v>
      </c>
      <c r="B458" t="s">
        <v>15</v>
      </c>
      <c r="C458" t="s">
        <v>16</v>
      </c>
      <c r="D458">
        <v>115</v>
      </c>
      <c r="E458" t="s">
        <v>488</v>
      </c>
      <c r="F458">
        <v>5419</v>
      </c>
      <c r="G458" t="s">
        <v>18</v>
      </c>
      <c r="H458">
        <v>27</v>
      </c>
      <c r="I458" t="s">
        <v>19</v>
      </c>
      <c r="J458">
        <v>1990</v>
      </c>
      <c r="K458">
        <v>1990</v>
      </c>
      <c r="L458" t="s">
        <v>20</v>
      </c>
      <c r="M458">
        <v>13477</v>
      </c>
      <c r="N458">
        <v>1904</v>
      </c>
    </row>
    <row r="459" spans="1:14" x14ac:dyDescent="0.35">
      <c r="A459" t="s">
        <v>493</v>
      </c>
      <c r="B459" t="s">
        <v>15</v>
      </c>
      <c r="C459" t="s">
        <v>16</v>
      </c>
      <c r="D459">
        <v>115</v>
      </c>
      <c r="E459" t="s">
        <v>488</v>
      </c>
      <c r="F459">
        <v>5419</v>
      </c>
      <c r="G459" t="s">
        <v>18</v>
      </c>
      <c r="H459">
        <v>27</v>
      </c>
      <c r="I459" t="s">
        <v>19</v>
      </c>
      <c r="J459">
        <v>1991</v>
      </c>
      <c r="K459">
        <v>1991</v>
      </c>
      <c r="L459" t="s">
        <v>20</v>
      </c>
      <c r="M459">
        <v>13962</v>
      </c>
      <c r="N459">
        <v>1904</v>
      </c>
    </row>
    <row r="460" spans="1:14" x14ac:dyDescent="0.35">
      <c r="A460" t="s">
        <v>494</v>
      </c>
      <c r="B460" t="s">
        <v>15</v>
      </c>
      <c r="C460" t="s">
        <v>16</v>
      </c>
      <c r="D460">
        <v>115</v>
      </c>
      <c r="E460" t="s">
        <v>488</v>
      </c>
      <c r="F460">
        <v>5419</v>
      </c>
      <c r="G460" t="s">
        <v>18</v>
      </c>
      <c r="H460">
        <v>27</v>
      </c>
      <c r="I460" t="s">
        <v>19</v>
      </c>
      <c r="J460">
        <v>1992</v>
      </c>
      <c r="K460">
        <v>1992</v>
      </c>
      <c r="L460" t="s">
        <v>20</v>
      </c>
      <c r="M460">
        <v>13178</v>
      </c>
      <c r="N460">
        <v>1904</v>
      </c>
    </row>
    <row r="461" spans="1:14" x14ac:dyDescent="0.35">
      <c r="A461" t="s">
        <v>495</v>
      </c>
      <c r="B461" t="s">
        <v>15</v>
      </c>
      <c r="C461" t="s">
        <v>16</v>
      </c>
      <c r="D461">
        <v>115</v>
      </c>
      <c r="E461" t="s">
        <v>488</v>
      </c>
      <c r="F461">
        <v>5419</v>
      </c>
      <c r="G461" t="s">
        <v>18</v>
      </c>
      <c r="H461">
        <v>27</v>
      </c>
      <c r="I461" t="s">
        <v>19</v>
      </c>
      <c r="J461">
        <v>1993</v>
      </c>
      <c r="K461">
        <v>1993</v>
      </c>
      <c r="L461" t="s">
        <v>20</v>
      </c>
      <c r="M461">
        <v>13069</v>
      </c>
      <c r="N461">
        <v>1904</v>
      </c>
    </row>
    <row r="462" spans="1:14" x14ac:dyDescent="0.35">
      <c r="A462" t="s">
        <v>496</v>
      </c>
      <c r="B462" t="s">
        <v>15</v>
      </c>
      <c r="C462" t="s">
        <v>16</v>
      </c>
      <c r="D462">
        <v>115</v>
      </c>
      <c r="E462" t="s">
        <v>488</v>
      </c>
      <c r="F462">
        <v>5419</v>
      </c>
      <c r="G462" t="s">
        <v>18</v>
      </c>
      <c r="H462">
        <v>27</v>
      </c>
      <c r="I462" t="s">
        <v>19</v>
      </c>
      <c r="J462">
        <v>1994</v>
      </c>
      <c r="K462">
        <v>1994</v>
      </c>
      <c r="L462" t="s">
        <v>20</v>
      </c>
      <c r="M462">
        <v>14877</v>
      </c>
      <c r="N462">
        <v>1904</v>
      </c>
    </row>
    <row r="463" spans="1:14" x14ac:dyDescent="0.35">
      <c r="A463" t="s">
        <v>497</v>
      </c>
      <c r="B463" t="s">
        <v>15</v>
      </c>
      <c r="C463" t="s">
        <v>16</v>
      </c>
      <c r="D463">
        <v>115</v>
      </c>
      <c r="E463" t="s">
        <v>488</v>
      </c>
      <c r="F463">
        <v>5419</v>
      </c>
      <c r="G463" t="s">
        <v>18</v>
      </c>
      <c r="H463">
        <v>27</v>
      </c>
      <c r="I463" t="s">
        <v>19</v>
      </c>
      <c r="J463">
        <v>1995</v>
      </c>
      <c r="K463">
        <v>1995</v>
      </c>
      <c r="L463" t="s">
        <v>20</v>
      </c>
      <c r="M463">
        <v>17920</v>
      </c>
      <c r="N463">
        <v>1904</v>
      </c>
    </row>
    <row r="464" spans="1:14" x14ac:dyDescent="0.35">
      <c r="A464" t="s">
        <v>498</v>
      </c>
      <c r="B464" t="s">
        <v>15</v>
      </c>
      <c r="C464" t="s">
        <v>16</v>
      </c>
      <c r="D464">
        <v>115</v>
      </c>
      <c r="E464" t="s">
        <v>488</v>
      </c>
      <c r="F464">
        <v>5419</v>
      </c>
      <c r="G464" t="s">
        <v>18</v>
      </c>
      <c r="H464">
        <v>27</v>
      </c>
      <c r="I464" t="s">
        <v>19</v>
      </c>
      <c r="J464">
        <v>1996</v>
      </c>
      <c r="K464">
        <v>1996</v>
      </c>
      <c r="L464" t="s">
        <v>20</v>
      </c>
      <c r="M464">
        <v>18116</v>
      </c>
      <c r="N464">
        <v>1904</v>
      </c>
    </row>
    <row r="465" spans="1:14" x14ac:dyDescent="0.35">
      <c r="A465" t="s">
        <v>499</v>
      </c>
      <c r="B465" t="s">
        <v>15</v>
      </c>
      <c r="C465" t="s">
        <v>16</v>
      </c>
      <c r="D465">
        <v>115</v>
      </c>
      <c r="E465" t="s">
        <v>488</v>
      </c>
      <c r="F465">
        <v>5419</v>
      </c>
      <c r="G465" t="s">
        <v>18</v>
      </c>
      <c r="H465">
        <v>27</v>
      </c>
      <c r="I465" t="s">
        <v>19</v>
      </c>
      <c r="J465">
        <v>1997</v>
      </c>
      <c r="K465">
        <v>1997</v>
      </c>
      <c r="L465" t="s">
        <v>20</v>
      </c>
      <c r="M465">
        <v>17706</v>
      </c>
      <c r="N465">
        <v>1904</v>
      </c>
    </row>
    <row r="466" spans="1:14" x14ac:dyDescent="0.35">
      <c r="A466" t="s">
        <v>500</v>
      </c>
      <c r="B466" t="s">
        <v>15</v>
      </c>
      <c r="C466" t="s">
        <v>16</v>
      </c>
      <c r="D466">
        <v>115</v>
      </c>
      <c r="E466" t="s">
        <v>488</v>
      </c>
      <c r="F466">
        <v>5419</v>
      </c>
      <c r="G466" t="s">
        <v>18</v>
      </c>
      <c r="H466">
        <v>27</v>
      </c>
      <c r="I466" t="s">
        <v>19</v>
      </c>
      <c r="J466">
        <v>1998</v>
      </c>
      <c r="K466">
        <v>1998</v>
      </c>
      <c r="L466" t="s">
        <v>20</v>
      </c>
      <c r="M466">
        <v>17884</v>
      </c>
      <c r="N466">
        <v>1904</v>
      </c>
    </row>
    <row r="467" spans="1:14" x14ac:dyDescent="0.35">
      <c r="A467" t="s">
        <v>501</v>
      </c>
      <c r="B467" t="s">
        <v>15</v>
      </c>
      <c r="C467" t="s">
        <v>16</v>
      </c>
      <c r="D467">
        <v>115</v>
      </c>
      <c r="E467" t="s">
        <v>488</v>
      </c>
      <c r="F467">
        <v>5419</v>
      </c>
      <c r="G467" t="s">
        <v>18</v>
      </c>
      <c r="H467">
        <v>27</v>
      </c>
      <c r="I467" t="s">
        <v>19</v>
      </c>
      <c r="J467">
        <v>1999</v>
      </c>
      <c r="K467">
        <v>1999</v>
      </c>
      <c r="L467" t="s">
        <v>20</v>
      </c>
      <c r="M467">
        <v>19433</v>
      </c>
      <c r="N467">
        <v>1904</v>
      </c>
    </row>
    <row r="468" spans="1:14" x14ac:dyDescent="0.35">
      <c r="A468" t="s">
        <v>502</v>
      </c>
      <c r="B468" t="s">
        <v>15</v>
      </c>
      <c r="C468" t="s">
        <v>16</v>
      </c>
      <c r="D468">
        <v>115</v>
      </c>
      <c r="E468" t="s">
        <v>488</v>
      </c>
      <c r="F468">
        <v>5419</v>
      </c>
      <c r="G468" t="s">
        <v>18</v>
      </c>
      <c r="H468">
        <v>27</v>
      </c>
      <c r="I468" t="s">
        <v>19</v>
      </c>
      <c r="J468">
        <v>2000</v>
      </c>
      <c r="K468">
        <v>2000</v>
      </c>
      <c r="L468" t="s">
        <v>20</v>
      </c>
      <c r="M468">
        <v>21155</v>
      </c>
      <c r="N468">
        <v>1904</v>
      </c>
    </row>
    <row r="469" spans="1:14" x14ac:dyDescent="0.35">
      <c r="A469" t="s">
        <v>503</v>
      </c>
      <c r="B469" t="s">
        <v>15</v>
      </c>
      <c r="C469" t="s">
        <v>16</v>
      </c>
      <c r="D469">
        <v>115</v>
      </c>
      <c r="E469" t="s">
        <v>488</v>
      </c>
      <c r="F469">
        <v>5419</v>
      </c>
      <c r="G469" t="s">
        <v>18</v>
      </c>
      <c r="H469">
        <v>27</v>
      </c>
      <c r="I469" t="s">
        <v>19</v>
      </c>
      <c r="J469">
        <v>2001</v>
      </c>
      <c r="K469">
        <v>2001</v>
      </c>
      <c r="L469" t="s">
        <v>20</v>
      </c>
      <c r="M469">
        <v>20699</v>
      </c>
      <c r="N469">
        <v>1904</v>
      </c>
    </row>
    <row r="470" spans="1:14" x14ac:dyDescent="0.35">
      <c r="A470" t="s">
        <v>504</v>
      </c>
      <c r="B470" t="s">
        <v>15</v>
      </c>
      <c r="C470" t="s">
        <v>16</v>
      </c>
      <c r="D470">
        <v>115</v>
      </c>
      <c r="E470" t="s">
        <v>488</v>
      </c>
      <c r="F470">
        <v>5419</v>
      </c>
      <c r="G470" t="s">
        <v>18</v>
      </c>
      <c r="H470">
        <v>27</v>
      </c>
      <c r="I470" t="s">
        <v>19</v>
      </c>
      <c r="J470">
        <v>2002</v>
      </c>
      <c r="K470">
        <v>2002</v>
      </c>
      <c r="L470" t="s">
        <v>20</v>
      </c>
      <c r="M470">
        <v>19164</v>
      </c>
      <c r="N470">
        <v>1904</v>
      </c>
    </row>
    <row r="471" spans="1:14" x14ac:dyDescent="0.35">
      <c r="A471" t="s">
        <v>505</v>
      </c>
      <c r="B471" t="s">
        <v>15</v>
      </c>
      <c r="C471" t="s">
        <v>16</v>
      </c>
      <c r="D471">
        <v>115</v>
      </c>
      <c r="E471" t="s">
        <v>488</v>
      </c>
      <c r="F471">
        <v>5419</v>
      </c>
      <c r="G471" t="s">
        <v>18</v>
      </c>
      <c r="H471">
        <v>27</v>
      </c>
      <c r="I471" t="s">
        <v>19</v>
      </c>
      <c r="J471">
        <v>2004</v>
      </c>
      <c r="K471">
        <v>2004</v>
      </c>
      <c r="L471" t="s">
        <v>20</v>
      </c>
      <c r="M471">
        <v>19773</v>
      </c>
      <c r="N471">
        <v>1904</v>
      </c>
    </row>
    <row r="472" spans="1:14" x14ac:dyDescent="0.35">
      <c r="A472" t="s">
        <v>506</v>
      </c>
      <c r="B472" t="s">
        <v>15</v>
      </c>
      <c r="C472" t="s">
        <v>16</v>
      </c>
      <c r="D472">
        <v>115</v>
      </c>
      <c r="E472" t="s">
        <v>488</v>
      </c>
      <c r="F472">
        <v>5419</v>
      </c>
      <c r="G472" t="s">
        <v>18</v>
      </c>
      <c r="H472">
        <v>27</v>
      </c>
      <c r="I472" t="s">
        <v>19</v>
      </c>
      <c r="J472">
        <v>2005</v>
      </c>
      <c r="K472">
        <v>2005</v>
      </c>
      <c r="L472" t="s">
        <v>20</v>
      </c>
      <c r="M472">
        <v>24793</v>
      </c>
      <c r="N472">
        <v>1904</v>
      </c>
    </row>
    <row r="473" spans="1:14" x14ac:dyDescent="0.35">
      <c r="A473" t="s">
        <v>507</v>
      </c>
      <c r="B473" t="s">
        <v>15</v>
      </c>
      <c r="C473" t="s">
        <v>16</v>
      </c>
      <c r="D473">
        <v>115</v>
      </c>
      <c r="E473" t="s">
        <v>488</v>
      </c>
      <c r="F473">
        <v>5419</v>
      </c>
      <c r="G473" t="s">
        <v>18</v>
      </c>
      <c r="H473">
        <v>27</v>
      </c>
      <c r="I473" t="s">
        <v>19</v>
      </c>
      <c r="J473">
        <v>2006</v>
      </c>
      <c r="K473">
        <v>2006</v>
      </c>
      <c r="L473" t="s">
        <v>20</v>
      </c>
      <c r="M473">
        <v>24893</v>
      </c>
      <c r="N473">
        <v>1904</v>
      </c>
    </row>
    <row r="474" spans="1:14" x14ac:dyDescent="0.35">
      <c r="A474" t="s">
        <v>508</v>
      </c>
      <c r="B474" t="s">
        <v>15</v>
      </c>
      <c r="C474" t="s">
        <v>16</v>
      </c>
      <c r="D474">
        <v>115</v>
      </c>
      <c r="E474" t="s">
        <v>488</v>
      </c>
      <c r="F474">
        <v>5419</v>
      </c>
      <c r="G474" t="s">
        <v>18</v>
      </c>
      <c r="H474">
        <v>27</v>
      </c>
      <c r="I474" t="s">
        <v>19</v>
      </c>
      <c r="J474">
        <v>2007</v>
      </c>
      <c r="K474">
        <v>2007</v>
      </c>
      <c r="L474" t="s">
        <v>20</v>
      </c>
      <c r="M474">
        <v>26216</v>
      </c>
      <c r="N474">
        <v>1904</v>
      </c>
    </row>
    <row r="475" spans="1:14" x14ac:dyDescent="0.35">
      <c r="A475" t="s">
        <v>509</v>
      </c>
      <c r="B475" t="s">
        <v>15</v>
      </c>
      <c r="C475" t="s">
        <v>16</v>
      </c>
      <c r="D475">
        <v>115</v>
      </c>
      <c r="E475" t="s">
        <v>488</v>
      </c>
      <c r="F475">
        <v>5419</v>
      </c>
      <c r="G475" t="s">
        <v>18</v>
      </c>
      <c r="H475">
        <v>27</v>
      </c>
      <c r="I475" t="s">
        <v>19</v>
      </c>
      <c r="J475">
        <v>2008</v>
      </c>
      <c r="K475">
        <v>2008</v>
      </c>
      <c r="L475" t="s">
        <v>20</v>
      </c>
      <c r="M475">
        <v>27457</v>
      </c>
      <c r="N475">
        <v>1904</v>
      </c>
    </row>
    <row r="476" spans="1:14" x14ac:dyDescent="0.35">
      <c r="A476" t="s">
        <v>510</v>
      </c>
      <c r="B476" t="s">
        <v>15</v>
      </c>
      <c r="C476" t="s">
        <v>16</v>
      </c>
      <c r="D476">
        <v>115</v>
      </c>
      <c r="E476" t="s">
        <v>488</v>
      </c>
      <c r="F476">
        <v>5419</v>
      </c>
      <c r="G476" t="s">
        <v>18</v>
      </c>
      <c r="H476">
        <v>27</v>
      </c>
      <c r="I476" t="s">
        <v>19</v>
      </c>
      <c r="J476">
        <v>2009</v>
      </c>
      <c r="K476">
        <v>2009</v>
      </c>
      <c r="L476" t="s">
        <v>20</v>
      </c>
      <c r="M476">
        <v>28363</v>
      </c>
      <c r="N476">
        <v>1904</v>
      </c>
    </row>
    <row r="477" spans="1:14" x14ac:dyDescent="0.35">
      <c r="A477" t="s">
        <v>511</v>
      </c>
      <c r="B477" t="s">
        <v>15</v>
      </c>
      <c r="C477" t="s">
        <v>16</v>
      </c>
      <c r="D477">
        <v>115</v>
      </c>
      <c r="E477" t="s">
        <v>488</v>
      </c>
      <c r="F477">
        <v>5419</v>
      </c>
      <c r="G477" t="s">
        <v>18</v>
      </c>
      <c r="H477">
        <v>27</v>
      </c>
      <c r="I477" t="s">
        <v>19</v>
      </c>
      <c r="J477">
        <v>2010</v>
      </c>
      <c r="K477">
        <v>2010</v>
      </c>
      <c r="L477" t="s">
        <v>20</v>
      </c>
      <c r="M477">
        <v>29697</v>
      </c>
      <c r="N477">
        <v>1904</v>
      </c>
    </row>
    <row r="478" spans="1:14" x14ac:dyDescent="0.35">
      <c r="A478" t="s">
        <v>512</v>
      </c>
      <c r="B478" t="s">
        <v>15</v>
      </c>
      <c r="C478" t="s">
        <v>16</v>
      </c>
      <c r="D478">
        <v>115</v>
      </c>
      <c r="E478" t="s">
        <v>488</v>
      </c>
      <c r="F478">
        <v>5419</v>
      </c>
      <c r="G478" t="s">
        <v>18</v>
      </c>
      <c r="H478">
        <v>27</v>
      </c>
      <c r="I478" t="s">
        <v>19</v>
      </c>
      <c r="J478">
        <v>2011</v>
      </c>
      <c r="K478">
        <v>2011</v>
      </c>
      <c r="L478" t="s">
        <v>20</v>
      </c>
      <c r="M478">
        <v>29574</v>
      </c>
      <c r="N478">
        <v>1904</v>
      </c>
    </row>
    <row r="479" spans="1:14" x14ac:dyDescent="0.35">
      <c r="A479" t="s">
        <v>513</v>
      </c>
      <c r="B479" t="s">
        <v>15</v>
      </c>
      <c r="C479" t="s">
        <v>16</v>
      </c>
      <c r="D479">
        <v>115</v>
      </c>
      <c r="E479" t="s">
        <v>488</v>
      </c>
      <c r="F479">
        <v>5419</v>
      </c>
      <c r="G479" t="s">
        <v>18</v>
      </c>
      <c r="H479">
        <v>27</v>
      </c>
      <c r="I479" t="s">
        <v>19</v>
      </c>
      <c r="J479">
        <v>2012</v>
      </c>
      <c r="K479">
        <v>2012</v>
      </c>
      <c r="L479" t="s">
        <v>20</v>
      </c>
      <c r="M479">
        <v>30892</v>
      </c>
      <c r="N479">
        <v>1904</v>
      </c>
    </row>
    <row r="480" spans="1:14" x14ac:dyDescent="0.35">
      <c r="A480" t="s">
        <v>514</v>
      </c>
      <c r="B480" t="s">
        <v>15</v>
      </c>
      <c r="C480" t="s">
        <v>16</v>
      </c>
      <c r="D480">
        <v>115</v>
      </c>
      <c r="E480" t="s">
        <v>488</v>
      </c>
      <c r="F480">
        <v>5419</v>
      </c>
      <c r="G480" t="s">
        <v>18</v>
      </c>
      <c r="H480">
        <v>27</v>
      </c>
      <c r="I480" t="s">
        <v>19</v>
      </c>
      <c r="J480">
        <v>2013</v>
      </c>
      <c r="K480">
        <v>2013</v>
      </c>
      <c r="L480" t="s">
        <v>20</v>
      </c>
      <c r="M480">
        <v>31675</v>
      </c>
      <c r="N480">
        <v>1904</v>
      </c>
    </row>
    <row r="481" spans="1:14" x14ac:dyDescent="0.35">
      <c r="A481" t="s">
        <v>515</v>
      </c>
      <c r="B481" t="s">
        <v>15</v>
      </c>
      <c r="C481" t="s">
        <v>16</v>
      </c>
      <c r="D481">
        <v>115</v>
      </c>
      <c r="E481" t="s">
        <v>488</v>
      </c>
      <c r="F481">
        <v>5419</v>
      </c>
      <c r="G481" t="s">
        <v>18</v>
      </c>
      <c r="H481">
        <v>27</v>
      </c>
      <c r="I481" t="s">
        <v>19</v>
      </c>
      <c r="J481">
        <v>2014</v>
      </c>
      <c r="K481">
        <v>2014</v>
      </c>
      <c r="L481" t="s">
        <v>20</v>
      </c>
      <c r="M481">
        <v>32639</v>
      </c>
      <c r="N481">
        <v>1904</v>
      </c>
    </row>
    <row r="482" spans="1:14" x14ac:dyDescent="0.35">
      <c r="A482" t="s">
        <v>516</v>
      </c>
      <c r="B482" t="s">
        <v>15</v>
      </c>
      <c r="C482" t="s">
        <v>16</v>
      </c>
      <c r="D482">
        <v>115</v>
      </c>
      <c r="E482" t="s">
        <v>488</v>
      </c>
      <c r="F482">
        <v>5419</v>
      </c>
      <c r="G482" t="s">
        <v>18</v>
      </c>
      <c r="H482">
        <v>27</v>
      </c>
      <c r="I482" t="s">
        <v>19</v>
      </c>
      <c r="J482">
        <v>2015</v>
      </c>
      <c r="K482">
        <v>2015</v>
      </c>
      <c r="L482" t="s">
        <v>20</v>
      </c>
      <c r="M482">
        <v>33398</v>
      </c>
      <c r="N482">
        <v>1904</v>
      </c>
    </row>
    <row r="483" spans="1:14" x14ac:dyDescent="0.35">
      <c r="A483" t="s">
        <v>517</v>
      </c>
      <c r="B483" t="s">
        <v>15</v>
      </c>
      <c r="C483" t="s">
        <v>16</v>
      </c>
      <c r="D483">
        <v>115</v>
      </c>
      <c r="E483" t="s">
        <v>488</v>
      </c>
      <c r="F483">
        <v>5419</v>
      </c>
      <c r="G483" t="s">
        <v>18</v>
      </c>
      <c r="H483">
        <v>27</v>
      </c>
      <c r="I483" t="s">
        <v>19</v>
      </c>
      <c r="J483">
        <v>2016</v>
      </c>
      <c r="K483">
        <v>2016</v>
      </c>
      <c r="L483" t="s">
        <v>20</v>
      </c>
      <c r="M483">
        <v>34277</v>
      </c>
      <c r="N483">
        <v>1904</v>
      </c>
    </row>
    <row r="484" spans="1:14" x14ac:dyDescent="0.35">
      <c r="A484" t="s">
        <v>518</v>
      </c>
      <c r="B484" t="s">
        <v>15</v>
      </c>
      <c r="C484" t="s">
        <v>16</v>
      </c>
      <c r="D484">
        <v>32</v>
      </c>
      <c r="E484" t="s">
        <v>519</v>
      </c>
      <c r="F484">
        <v>5419</v>
      </c>
      <c r="G484" t="s">
        <v>18</v>
      </c>
      <c r="H484">
        <v>27</v>
      </c>
      <c r="I484" t="s">
        <v>19</v>
      </c>
      <c r="J484">
        <v>1985</v>
      </c>
      <c r="K484">
        <v>1985</v>
      </c>
      <c r="L484" t="s">
        <v>20</v>
      </c>
      <c r="M484">
        <v>47375</v>
      </c>
      <c r="N484">
        <v>1604</v>
      </c>
    </row>
    <row r="485" spans="1:14" x14ac:dyDescent="0.35">
      <c r="A485" t="s">
        <v>520</v>
      </c>
      <c r="B485" t="s">
        <v>15</v>
      </c>
      <c r="C485" t="s">
        <v>16</v>
      </c>
      <c r="D485">
        <v>32</v>
      </c>
      <c r="E485" t="s">
        <v>519</v>
      </c>
      <c r="F485">
        <v>5419</v>
      </c>
      <c r="G485" t="s">
        <v>18</v>
      </c>
      <c r="H485">
        <v>27</v>
      </c>
      <c r="I485" t="s">
        <v>19</v>
      </c>
      <c r="J485">
        <v>1986</v>
      </c>
      <c r="K485">
        <v>1986</v>
      </c>
      <c r="L485" t="s">
        <v>20</v>
      </c>
      <c r="M485">
        <v>45000</v>
      </c>
      <c r="N485">
        <v>1604</v>
      </c>
    </row>
    <row r="486" spans="1:14" x14ac:dyDescent="0.35">
      <c r="A486" t="s">
        <v>521</v>
      </c>
      <c r="B486" t="s">
        <v>15</v>
      </c>
      <c r="C486" t="s">
        <v>16</v>
      </c>
      <c r="D486">
        <v>32</v>
      </c>
      <c r="E486" t="s">
        <v>519</v>
      </c>
      <c r="F486">
        <v>5419</v>
      </c>
      <c r="G486" t="s">
        <v>18</v>
      </c>
      <c r="H486">
        <v>27</v>
      </c>
      <c r="I486" t="s">
        <v>19</v>
      </c>
      <c r="J486">
        <v>1987</v>
      </c>
      <c r="K486">
        <v>1987</v>
      </c>
      <c r="L486" t="s">
        <v>20</v>
      </c>
      <c r="M486">
        <v>43400</v>
      </c>
      <c r="N486">
        <v>1604</v>
      </c>
    </row>
    <row r="487" spans="1:14" x14ac:dyDescent="0.35">
      <c r="A487" t="s">
        <v>522</v>
      </c>
      <c r="B487" t="s">
        <v>15</v>
      </c>
      <c r="C487" t="s">
        <v>16</v>
      </c>
      <c r="D487">
        <v>32</v>
      </c>
      <c r="E487" t="s">
        <v>519</v>
      </c>
      <c r="F487">
        <v>5419</v>
      </c>
      <c r="G487" t="s">
        <v>18</v>
      </c>
      <c r="H487">
        <v>27</v>
      </c>
      <c r="I487" t="s">
        <v>19</v>
      </c>
      <c r="J487">
        <v>1989</v>
      </c>
      <c r="K487">
        <v>1989</v>
      </c>
      <c r="L487" t="s">
        <v>20</v>
      </c>
      <c r="M487">
        <v>54668</v>
      </c>
      <c r="N487">
        <v>1604</v>
      </c>
    </row>
    <row r="488" spans="1:14" x14ac:dyDescent="0.35">
      <c r="A488" t="s">
        <v>523</v>
      </c>
      <c r="B488" t="s">
        <v>15</v>
      </c>
      <c r="C488" t="s">
        <v>16</v>
      </c>
      <c r="D488">
        <v>32</v>
      </c>
      <c r="E488" t="s">
        <v>519</v>
      </c>
      <c r="F488">
        <v>5419</v>
      </c>
      <c r="G488" t="s">
        <v>18</v>
      </c>
      <c r="H488">
        <v>27</v>
      </c>
      <c r="I488" t="s">
        <v>19</v>
      </c>
      <c r="J488">
        <v>1990</v>
      </c>
      <c r="K488">
        <v>1990</v>
      </c>
      <c r="L488" t="s">
        <v>20</v>
      </c>
      <c r="M488">
        <v>49999</v>
      </c>
      <c r="N488">
        <v>1604</v>
      </c>
    </row>
    <row r="489" spans="1:14" x14ac:dyDescent="0.35">
      <c r="A489" t="s">
        <v>524</v>
      </c>
      <c r="B489" t="s">
        <v>15</v>
      </c>
      <c r="C489" t="s">
        <v>16</v>
      </c>
      <c r="D489">
        <v>32</v>
      </c>
      <c r="E489" t="s">
        <v>519</v>
      </c>
      <c r="F489">
        <v>5419</v>
      </c>
      <c r="G489" t="s">
        <v>18</v>
      </c>
      <c r="H489">
        <v>27</v>
      </c>
      <c r="I489" t="s">
        <v>19</v>
      </c>
      <c r="J489">
        <v>1991</v>
      </c>
      <c r="K489">
        <v>1991</v>
      </c>
      <c r="L489" t="s">
        <v>20</v>
      </c>
      <c r="M489">
        <v>36400</v>
      </c>
      <c r="N489">
        <v>1604</v>
      </c>
    </row>
    <row r="490" spans="1:14" x14ac:dyDescent="0.35">
      <c r="A490" t="s">
        <v>525</v>
      </c>
      <c r="B490" t="s">
        <v>15</v>
      </c>
      <c r="C490" t="s">
        <v>16</v>
      </c>
      <c r="D490">
        <v>32</v>
      </c>
      <c r="E490" t="s">
        <v>519</v>
      </c>
      <c r="F490">
        <v>5419</v>
      </c>
      <c r="G490" t="s">
        <v>18</v>
      </c>
      <c r="H490">
        <v>27</v>
      </c>
      <c r="I490" t="s">
        <v>19</v>
      </c>
      <c r="J490">
        <v>1992</v>
      </c>
      <c r="K490">
        <v>1992</v>
      </c>
      <c r="L490" t="s">
        <v>20</v>
      </c>
      <c r="M490">
        <v>35000</v>
      </c>
      <c r="N490">
        <v>1604</v>
      </c>
    </row>
    <row r="491" spans="1:14" x14ac:dyDescent="0.35">
      <c r="A491" t="s">
        <v>526</v>
      </c>
      <c r="B491" t="s">
        <v>15</v>
      </c>
      <c r="C491" t="s">
        <v>16</v>
      </c>
      <c r="D491">
        <v>32</v>
      </c>
      <c r="E491" t="s">
        <v>519</v>
      </c>
      <c r="F491">
        <v>5419</v>
      </c>
      <c r="G491" t="s">
        <v>18</v>
      </c>
      <c r="H491">
        <v>27</v>
      </c>
      <c r="I491" t="s">
        <v>19</v>
      </c>
      <c r="J491">
        <v>1993</v>
      </c>
      <c r="K491">
        <v>1993</v>
      </c>
      <c r="L491" t="s">
        <v>20</v>
      </c>
      <c r="M491">
        <v>29000</v>
      </c>
      <c r="N491">
        <v>1604</v>
      </c>
    </row>
    <row r="492" spans="1:14" x14ac:dyDescent="0.35">
      <c r="A492" t="s">
        <v>527</v>
      </c>
      <c r="B492" t="s">
        <v>15</v>
      </c>
      <c r="C492" t="s">
        <v>16</v>
      </c>
      <c r="D492">
        <v>32</v>
      </c>
      <c r="E492" t="s">
        <v>519</v>
      </c>
      <c r="F492">
        <v>5419</v>
      </c>
      <c r="G492" t="s">
        <v>18</v>
      </c>
      <c r="H492">
        <v>27</v>
      </c>
      <c r="I492" t="s">
        <v>19</v>
      </c>
      <c r="J492">
        <v>1994</v>
      </c>
      <c r="K492">
        <v>1994</v>
      </c>
      <c r="L492" t="s">
        <v>20</v>
      </c>
      <c r="M492">
        <v>31423</v>
      </c>
      <c r="N492">
        <v>1604</v>
      </c>
    </row>
    <row r="493" spans="1:14" x14ac:dyDescent="0.35">
      <c r="A493" t="s">
        <v>528</v>
      </c>
      <c r="B493" t="s">
        <v>15</v>
      </c>
      <c r="C493" t="s">
        <v>16</v>
      </c>
      <c r="D493">
        <v>32</v>
      </c>
      <c r="E493" t="s">
        <v>519</v>
      </c>
      <c r="F493">
        <v>5419</v>
      </c>
      <c r="G493" t="s">
        <v>18</v>
      </c>
      <c r="H493">
        <v>27</v>
      </c>
      <c r="I493" t="s">
        <v>19</v>
      </c>
      <c r="J493">
        <v>1995</v>
      </c>
      <c r="K493">
        <v>1995</v>
      </c>
      <c r="L493" t="s">
        <v>20</v>
      </c>
      <c r="M493">
        <v>31307</v>
      </c>
      <c r="N493">
        <v>1604</v>
      </c>
    </row>
    <row r="494" spans="1:14" x14ac:dyDescent="0.35">
      <c r="A494" t="s">
        <v>529</v>
      </c>
      <c r="B494" t="s">
        <v>15</v>
      </c>
      <c r="C494" t="s">
        <v>16</v>
      </c>
      <c r="D494">
        <v>32</v>
      </c>
      <c r="E494" t="s">
        <v>519</v>
      </c>
      <c r="F494">
        <v>5419</v>
      </c>
      <c r="G494" t="s">
        <v>18</v>
      </c>
      <c r="H494">
        <v>27</v>
      </c>
      <c r="I494" t="s">
        <v>19</v>
      </c>
      <c r="J494">
        <v>1996</v>
      </c>
      <c r="K494">
        <v>1996</v>
      </c>
      <c r="L494" t="s">
        <v>20</v>
      </c>
      <c r="M494">
        <v>31391</v>
      </c>
      <c r="N494">
        <v>1604</v>
      </c>
    </row>
    <row r="495" spans="1:14" x14ac:dyDescent="0.35">
      <c r="A495" t="s">
        <v>530</v>
      </c>
      <c r="B495" t="s">
        <v>15</v>
      </c>
      <c r="C495" t="s">
        <v>16</v>
      </c>
      <c r="D495">
        <v>32</v>
      </c>
      <c r="E495" t="s">
        <v>519</v>
      </c>
      <c r="F495">
        <v>5419</v>
      </c>
      <c r="G495" t="s">
        <v>18</v>
      </c>
      <c r="H495">
        <v>27</v>
      </c>
      <c r="I495" t="s">
        <v>19</v>
      </c>
      <c r="J495">
        <v>1997</v>
      </c>
      <c r="K495">
        <v>1997</v>
      </c>
      <c r="L495" t="s">
        <v>20</v>
      </c>
      <c r="M495">
        <v>33636</v>
      </c>
      <c r="N495">
        <v>1604</v>
      </c>
    </row>
    <row r="496" spans="1:14" x14ac:dyDescent="0.35">
      <c r="A496" t="s">
        <v>531</v>
      </c>
      <c r="B496" t="s">
        <v>15</v>
      </c>
      <c r="C496" t="s">
        <v>16</v>
      </c>
      <c r="D496">
        <v>32</v>
      </c>
      <c r="E496" t="s">
        <v>519</v>
      </c>
      <c r="F496">
        <v>5419</v>
      </c>
      <c r="G496" t="s">
        <v>18</v>
      </c>
      <c r="H496">
        <v>27</v>
      </c>
      <c r="I496" t="s">
        <v>19</v>
      </c>
      <c r="J496">
        <v>1998</v>
      </c>
      <c r="K496">
        <v>1998</v>
      </c>
      <c r="L496" t="s">
        <v>20</v>
      </c>
      <c r="M496">
        <v>35467</v>
      </c>
      <c r="N496">
        <v>1604</v>
      </c>
    </row>
    <row r="497" spans="1:14" x14ac:dyDescent="0.35">
      <c r="A497" t="s">
        <v>532</v>
      </c>
      <c r="B497" t="s">
        <v>15</v>
      </c>
      <c r="C497" t="s">
        <v>16</v>
      </c>
      <c r="D497">
        <v>32</v>
      </c>
      <c r="E497" t="s">
        <v>519</v>
      </c>
      <c r="F497">
        <v>5419</v>
      </c>
      <c r="G497" t="s">
        <v>18</v>
      </c>
      <c r="H497">
        <v>27</v>
      </c>
      <c r="I497" t="s">
        <v>19</v>
      </c>
      <c r="J497">
        <v>1999</v>
      </c>
      <c r="K497">
        <v>1999</v>
      </c>
      <c r="L497" t="s">
        <v>20</v>
      </c>
      <c r="M497">
        <v>33095</v>
      </c>
      <c r="N497">
        <v>1604</v>
      </c>
    </row>
    <row r="498" spans="1:14" x14ac:dyDescent="0.35">
      <c r="A498" t="s">
        <v>533</v>
      </c>
      <c r="B498" t="s">
        <v>15</v>
      </c>
      <c r="C498" t="s">
        <v>16</v>
      </c>
      <c r="D498">
        <v>32</v>
      </c>
      <c r="E498" t="s">
        <v>519</v>
      </c>
      <c r="F498">
        <v>5419</v>
      </c>
      <c r="G498" t="s">
        <v>18</v>
      </c>
      <c r="H498">
        <v>27</v>
      </c>
      <c r="I498" t="s">
        <v>19</v>
      </c>
      <c r="J498">
        <v>2000</v>
      </c>
      <c r="K498">
        <v>2000</v>
      </c>
      <c r="L498" t="s">
        <v>20</v>
      </c>
      <c r="M498">
        <v>30103</v>
      </c>
      <c r="N498">
        <v>1604</v>
      </c>
    </row>
    <row r="499" spans="1:14" x14ac:dyDescent="0.35">
      <c r="A499" t="s">
        <v>534</v>
      </c>
      <c r="B499" t="s">
        <v>15</v>
      </c>
      <c r="C499" t="s">
        <v>16</v>
      </c>
      <c r="D499">
        <v>32</v>
      </c>
      <c r="E499" t="s">
        <v>519</v>
      </c>
      <c r="F499">
        <v>5419</v>
      </c>
      <c r="G499" t="s">
        <v>18</v>
      </c>
      <c r="H499">
        <v>27</v>
      </c>
      <c r="I499" t="s">
        <v>19</v>
      </c>
      <c r="J499">
        <v>2001</v>
      </c>
      <c r="K499">
        <v>2001</v>
      </c>
      <c r="L499" t="s">
        <v>20</v>
      </c>
      <c r="M499">
        <v>30242</v>
      </c>
      <c r="N499">
        <v>1604</v>
      </c>
    </row>
    <row r="500" spans="1:14" x14ac:dyDescent="0.35">
      <c r="A500" t="s">
        <v>535</v>
      </c>
      <c r="B500" t="s">
        <v>15</v>
      </c>
      <c r="C500" t="s">
        <v>16</v>
      </c>
      <c r="D500">
        <v>32</v>
      </c>
      <c r="E500" t="s">
        <v>519</v>
      </c>
      <c r="F500">
        <v>5419</v>
      </c>
      <c r="G500" t="s">
        <v>18</v>
      </c>
      <c r="H500">
        <v>27</v>
      </c>
      <c r="I500" t="s">
        <v>19</v>
      </c>
      <c r="J500">
        <v>2002</v>
      </c>
      <c r="K500">
        <v>2002</v>
      </c>
      <c r="L500" t="s">
        <v>20</v>
      </c>
      <c r="M500">
        <v>11137</v>
      </c>
      <c r="N500">
        <v>1604</v>
      </c>
    </row>
    <row r="501" spans="1:14" x14ac:dyDescent="0.35">
      <c r="A501" t="s">
        <v>536</v>
      </c>
      <c r="B501" t="s">
        <v>15</v>
      </c>
      <c r="C501" t="s">
        <v>16</v>
      </c>
      <c r="D501">
        <v>32</v>
      </c>
      <c r="E501" t="s">
        <v>519</v>
      </c>
      <c r="F501">
        <v>5419</v>
      </c>
      <c r="G501" t="s">
        <v>18</v>
      </c>
      <c r="H501">
        <v>27</v>
      </c>
      <c r="I501" t="s">
        <v>19</v>
      </c>
      <c r="J501">
        <v>2004</v>
      </c>
      <c r="K501">
        <v>2004</v>
      </c>
      <c r="L501" t="s">
        <v>20</v>
      </c>
      <c r="M501">
        <v>12416</v>
      </c>
      <c r="N501">
        <v>1604</v>
      </c>
    </row>
    <row r="502" spans="1:14" x14ac:dyDescent="0.35">
      <c r="A502" t="s">
        <v>537</v>
      </c>
      <c r="B502" t="s">
        <v>15</v>
      </c>
      <c r="C502" t="s">
        <v>16</v>
      </c>
      <c r="D502">
        <v>32</v>
      </c>
      <c r="E502" t="s">
        <v>519</v>
      </c>
      <c r="F502">
        <v>5419</v>
      </c>
      <c r="G502" t="s">
        <v>18</v>
      </c>
      <c r="H502">
        <v>27</v>
      </c>
      <c r="I502" t="s">
        <v>19</v>
      </c>
      <c r="J502">
        <v>2005</v>
      </c>
      <c r="K502">
        <v>2005</v>
      </c>
      <c r="L502" t="s">
        <v>20</v>
      </c>
      <c r="M502">
        <v>12971</v>
      </c>
      <c r="N502">
        <v>1604</v>
      </c>
    </row>
    <row r="503" spans="1:14" x14ac:dyDescent="0.35">
      <c r="A503" t="s">
        <v>538</v>
      </c>
      <c r="B503" t="s">
        <v>15</v>
      </c>
      <c r="C503" t="s">
        <v>16</v>
      </c>
      <c r="D503">
        <v>32</v>
      </c>
      <c r="E503" t="s">
        <v>519</v>
      </c>
      <c r="F503">
        <v>5419</v>
      </c>
      <c r="G503" t="s">
        <v>18</v>
      </c>
      <c r="H503">
        <v>27</v>
      </c>
      <c r="I503" t="s">
        <v>19</v>
      </c>
      <c r="J503">
        <v>2006</v>
      </c>
      <c r="K503">
        <v>2006</v>
      </c>
      <c r="L503" t="s">
        <v>20</v>
      </c>
      <c r="M503">
        <v>12905</v>
      </c>
      <c r="N503">
        <v>1604</v>
      </c>
    </row>
    <row r="504" spans="1:14" x14ac:dyDescent="0.35">
      <c r="A504" t="s">
        <v>539</v>
      </c>
      <c r="B504" t="s">
        <v>15</v>
      </c>
      <c r="C504" t="s">
        <v>16</v>
      </c>
      <c r="D504">
        <v>32</v>
      </c>
      <c r="E504" t="s">
        <v>519</v>
      </c>
      <c r="F504">
        <v>5419</v>
      </c>
      <c r="G504" t="s">
        <v>18</v>
      </c>
      <c r="H504">
        <v>27</v>
      </c>
      <c r="I504" t="s">
        <v>19</v>
      </c>
      <c r="J504">
        <v>2007</v>
      </c>
      <c r="K504">
        <v>2007</v>
      </c>
      <c r="L504" t="s">
        <v>20</v>
      </c>
      <c r="M504">
        <v>10000</v>
      </c>
      <c r="N504">
        <v>1604</v>
      </c>
    </row>
    <row r="505" spans="1:14" x14ac:dyDescent="0.35">
      <c r="A505" t="s">
        <v>540</v>
      </c>
      <c r="B505" t="s">
        <v>15</v>
      </c>
      <c r="C505" t="s">
        <v>16</v>
      </c>
      <c r="D505">
        <v>32</v>
      </c>
      <c r="E505" t="s">
        <v>519</v>
      </c>
      <c r="F505">
        <v>5419</v>
      </c>
      <c r="G505" t="s">
        <v>18</v>
      </c>
      <c r="H505">
        <v>27</v>
      </c>
      <c r="I505" t="s">
        <v>19</v>
      </c>
      <c r="J505">
        <v>2008</v>
      </c>
      <c r="K505">
        <v>2008</v>
      </c>
      <c r="L505" t="s">
        <v>20</v>
      </c>
      <c r="M505">
        <v>10000</v>
      </c>
      <c r="N505">
        <v>1604</v>
      </c>
    </row>
    <row r="506" spans="1:14" x14ac:dyDescent="0.35">
      <c r="A506" t="s">
        <v>541</v>
      </c>
      <c r="B506" t="s">
        <v>15</v>
      </c>
      <c r="C506" t="s">
        <v>16</v>
      </c>
      <c r="D506">
        <v>32</v>
      </c>
      <c r="E506" t="s">
        <v>519</v>
      </c>
      <c r="F506">
        <v>5419</v>
      </c>
      <c r="G506" t="s">
        <v>18</v>
      </c>
      <c r="H506">
        <v>27</v>
      </c>
      <c r="I506" t="s">
        <v>19</v>
      </c>
      <c r="J506">
        <v>2009</v>
      </c>
      <c r="K506">
        <v>2009</v>
      </c>
      <c r="L506" t="s">
        <v>20</v>
      </c>
      <c r="M506">
        <v>27475</v>
      </c>
      <c r="N506">
        <v>1604</v>
      </c>
    </row>
    <row r="507" spans="1:14" x14ac:dyDescent="0.35">
      <c r="A507" t="s">
        <v>542</v>
      </c>
      <c r="B507" t="s">
        <v>15</v>
      </c>
      <c r="C507" t="s">
        <v>16</v>
      </c>
      <c r="D507">
        <v>32</v>
      </c>
      <c r="E507" t="s">
        <v>519</v>
      </c>
      <c r="F507">
        <v>5419</v>
      </c>
      <c r="G507" t="s">
        <v>18</v>
      </c>
      <c r="H507">
        <v>27</v>
      </c>
      <c r="I507" t="s">
        <v>19</v>
      </c>
      <c r="J507">
        <v>2010</v>
      </c>
      <c r="K507">
        <v>2010</v>
      </c>
      <c r="L507" t="s">
        <v>20</v>
      </c>
      <c r="M507">
        <v>10936</v>
      </c>
      <c r="N507">
        <v>1604</v>
      </c>
    </row>
    <row r="508" spans="1:14" x14ac:dyDescent="0.35">
      <c r="A508" t="s">
        <v>543</v>
      </c>
      <c r="B508" t="s">
        <v>15</v>
      </c>
      <c r="C508" t="s">
        <v>16</v>
      </c>
      <c r="D508">
        <v>32</v>
      </c>
      <c r="E508" t="s">
        <v>519</v>
      </c>
      <c r="F508">
        <v>5419</v>
      </c>
      <c r="G508" t="s">
        <v>18</v>
      </c>
      <c r="H508">
        <v>27</v>
      </c>
      <c r="I508" t="s">
        <v>19</v>
      </c>
      <c r="J508">
        <v>2011</v>
      </c>
      <c r="K508">
        <v>2011</v>
      </c>
      <c r="L508" t="s">
        <v>20</v>
      </c>
      <c r="M508">
        <v>13464</v>
      </c>
      <c r="N508">
        <v>1604</v>
      </c>
    </row>
    <row r="509" spans="1:14" x14ac:dyDescent="0.35">
      <c r="A509" t="s">
        <v>544</v>
      </c>
      <c r="B509" t="s">
        <v>15</v>
      </c>
      <c r="C509" t="s">
        <v>16</v>
      </c>
      <c r="D509">
        <v>32</v>
      </c>
      <c r="E509" t="s">
        <v>519</v>
      </c>
      <c r="F509">
        <v>5419</v>
      </c>
      <c r="G509" t="s">
        <v>18</v>
      </c>
      <c r="H509">
        <v>27</v>
      </c>
      <c r="I509" t="s">
        <v>19</v>
      </c>
      <c r="J509">
        <v>2012</v>
      </c>
      <c r="K509">
        <v>2012</v>
      </c>
      <c r="L509" t="s">
        <v>20</v>
      </c>
      <c r="M509">
        <v>14217</v>
      </c>
      <c r="N509">
        <v>1604</v>
      </c>
    </row>
    <row r="510" spans="1:14" x14ac:dyDescent="0.35">
      <c r="A510" t="s">
        <v>545</v>
      </c>
      <c r="B510" t="s">
        <v>15</v>
      </c>
      <c r="C510" t="s">
        <v>16</v>
      </c>
      <c r="D510">
        <v>32</v>
      </c>
      <c r="E510" t="s">
        <v>519</v>
      </c>
      <c r="F510">
        <v>5419</v>
      </c>
      <c r="G510" t="s">
        <v>18</v>
      </c>
      <c r="H510">
        <v>27</v>
      </c>
      <c r="I510" t="s">
        <v>19</v>
      </c>
      <c r="J510">
        <v>2013</v>
      </c>
      <c r="K510">
        <v>2013</v>
      </c>
      <c r="L510" t="s">
        <v>20</v>
      </c>
      <c r="M510">
        <v>11641</v>
      </c>
      <c r="N510">
        <v>1604</v>
      </c>
    </row>
    <row r="511" spans="1:14" x14ac:dyDescent="0.35">
      <c r="A511" t="s">
        <v>546</v>
      </c>
      <c r="B511" t="s">
        <v>15</v>
      </c>
      <c r="C511" t="s">
        <v>16</v>
      </c>
      <c r="D511">
        <v>32</v>
      </c>
      <c r="E511" t="s">
        <v>519</v>
      </c>
      <c r="F511">
        <v>5419</v>
      </c>
      <c r="G511" t="s">
        <v>18</v>
      </c>
      <c r="H511">
        <v>27</v>
      </c>
      <c r="I511" t="s">
        <v>19</v>
      </c>
      <c r="J511">
        <v>2014</v>
      </c>
      <c r="K511">
        <v>2014</v>
      </c>
      <c r="L511" t="s">
        <v>20</v>
      </c>
      <c r="M511">
        <v>12076</v>
      </c>
      <c r="N511">
        <v>1604</v>
      </c>
    </row>
    <row r="512" spans="1:14" x14ac:dyDescent="0.35">
      <c r="A512" t="s">
        <v>547</v>
      </c>
      <c r="B512" t="s">
        <v>15</v>
      </c>
      <c r="C512" t="s">
        <v>16</v>
      </c>
      <c r="D512">
        <v>32</v>
      </c>
      <c r="E512" t="s">
        <v>519</v>
      </c>
      <c r="F512">
        <v>5419</v>
      </c>
      <c r="G512" t="s">
        <v>18</v>
      </c>
      <c r="H512">
        <v>27</v>
      </c>
      <c r="I512" t="s">
        <v>19</v>
      </c>
      <c r="J512">
        <v>2015</v>
      </c>
      <c r="K512">
        <v>2015</v>
      </c>
      <c r="L512" t="s">
        <v>20</v>
      </c>
      <c r="M512">
        <v>12271</v>
      </c>
      <c r="N512">
        <v>1604</v>
      </c>
    </row>
    <row r="513" spans="1:14" x14ac:dyDescent="0.35">
      <c r="A513" t="s">
        <v>548</v>
      </c>
      <c r="B513" t="s">
        <v>15</v>
      </c>
      <c r="C513" t="s">
        <v>16</v>
      </c>
      <c r="D513">
        <v>32</v>
      </c>
      <c r="E513" t="s">
        <v>519</v>
      </c>
      <c r="F513">
        <v>5419</v>
      </c>
      <c r="G513" t="s">
        <v>18</v>
      </c>
      <c r="H513">
        <v>27</v>
      </c>
      <c r="I513" t="s">
        <v>19</v>
      </c>
      <c r="J513">
        <v>2016</v>
      </c>
      <c r="K513">
        <v>2016</v>
      </c>
      <c r="L513" t="s">
        <v>20</v>
      </c>
      <c r="M513">
        <v>13011</v>
      </c>
      <c r="N513">
        <v>1604</v>
      </c>
    </row>
    <row r="514" spans="1:14" x14ac:dyDescent="0.35">
      <c r="A514" t="s">
        <v>549</v>
      </c>
      <c r="B514" t="s">
        <v>15</v>
      </c>
      <c r="C514" t="s">
        <v>16</v>
      </c>
      <c r="D514">
        <v>37</v>
      </c>
      <c r="E514" t="s">
        <v>550</v>
      </c>
      <c r="F514">
        <v>5419</v>
      </c>
      <c r="G514" t="s">
        <v>18</v>
      </c>
      <c r="H514">
        <v>27</v>
      </c>
      <c r="I514" t="s">
        <v>19</v>
      </c>
      <c r="J514">
        <v>1985</v>
      </c>
      <c r="K514">
        <v>1985</v>
      </c>
      <c r="L514" t="s">
        <v>20</v>
      </c>
      <c r="M514">
        <v>16839</v>
      </c>
      <c r="N514">
        <v>1342</v>
      </c>
    </row>
    <row r="515" spans="1:14" x14ac:dyDescent="0.35">
      <c r="A515" t="s">
        <v>551</v>
      </c>
      <c r="B515" t="s">
        <v>15</v>
      </c>
      <c r="C515" t="s">
        <v>16</v>
      </c>
      <c r="D515">
        <v>37</v>
      </c>
      <c r="E515" t="s">
        <v>550</v>
      </c>
      <c r="F515">
        <v>5419</v>
      </c>
      <c r="G515" t="s">
        <v>18</v>
      </c>
      <c r="H515">
        <v>27</v>
      </c>
      <c r="I515" t="s">
        <v>19</v>
      </c>
      <c r="J515">
        <v>1986</v>
      </c>
      <c r="K515">
        <v>1986</v>
      </c>
      <c r="L515" t="s">
        <v>20</v>
      </c>
      <c r="M515">
        <v>10693</v>
      </c>
      <c r="N515">
        <v>1342</v>
      </c>
    </row>
    <row r="516" spans="1:14" x14ac:dyDescent="0.35">
      <c r="A516" t="s">
        <v>552</v>
      </c>
      <c r="B516" t="s">
        <v>15</v>
      </c>
      <c r="C516" t="s">
        <v>16</v>
      </c>
      <c r="D516">
        <v>37</v>
      </c>
      <c r="E516" t="s">
        <v>550</v>
      </c>
      <c r="F516">
        <v>5419</v>
      </c>
      <c r="G516" t="s">
        <v>18</v>
      </c>
      <c r="H516">
        <v>27</v>
      </c>
      <c r="I516" t="s">
        <v>19</v>
      </c>
      <c r="J516">
        <v>1987</v>
      </c>
      <c r="K516">
        <v>1987</v>
      </c>
      <c r="L516" t="s">
        <v>20</v>
      </c>
      <c r="M516">
        <v>11583</v>
      </c>
      <c r="N516">
        <v>1342</v>
      </c>
    </row>
    <row r="517" spans="1:14" x14ac:dyDescent="0.35">
      <c r="A517" t="s">
        <v>553</v>
      </c>
      <c r="B517" t="s">
        <v>15</v>
      </c>
      <c r="C517" t="s">
        <v>16</v>
      </c>
      <c r="D517">
        <v>37</v>
      </c>
      <c r="E517" t="s">
        <v>550</v>
      </c>
      <c r="F517">
        <v>5419</v>
      </c>
      <c r="G517" t="s">
        <v>18</v>
      </c>
      <c r="H517">
        <v>27</v>
      </c>
      <c r="I517" t="s">
        <v>19</v>
      </c>
      <c r="J517">
        <v>1989</v>
      </c>
      <c r="K517">
        <v>1989</v>
      </c>
      <c r="L517" t="s">
        <v>20</v>
      </c>
      <c r="M517">
        <v>15485</v>
      </c>
      <c r="N517">
        <v>1342</v>
      </c>
    </row>
    <row r="518" spans="1:14" x14ac:dyDescent="0.35">
      <c r="A518" t="s">
        <v>554</v>
      </c>
      <c r="B518" t="s">
        <v>15</v>
      </c>
      <c r="C518" t="s">
        <v>16</v>
      </c>
      <c r="D518">
        <v>37</v>
      </c>
      <c r="E518" t="s">
        <v>550</v>
      </c>
      <c r="F518">
        <v>5419</v>
      </c>
      <c r="G518" t="s">
        <v>18</v>
      </c>
      <c r="H518">
        <v>27</v>
      </c>
      <c r="I518" t="s">
        <v>19</v>
      </c>
      <c r="J518">
        <v>1990</v>
      </c>
      <c r="K518">
        <v>1990</v>
      </c>
      <c r="L518" t="s">
        <v>20</v>
      </c>
      <c r="M518">
        <v>16729</v>
      </c>
      <c r="N518">
        <v>1342</v>
      </c>
    </row>
    <row r="519" spans="1:14" x14ac:dyDescent="0.35">
      <c r="A519" t="s">
        <v>555</v>
      </c>
      <c r="B519" t="s">
        <v>15</v>
      </c>
      <c r="C519" t="s">
        <v>16</v>
      </c>
      <c r="D519">
        <v>37</v>
      </c>
      <c r="E519" t="s">
        <v>550</v>
      </c>
      <c r="F519">
        <v>5419</v>
      </c>
      <c r="G519" t="s">
        <v>18</v>
      </c>
      <c r="H519">
        <v>27</v>
      </c>
      <c r="I519" t="s">
        <v>19</v>
      </c>
      <c r="J519">
        <v>1991</v>
      </c>
      <c r="K519">
        <v>1991</v>
      </c>
      <c r="L519" t="s">
        <v>20</v>
      </c>
      <c r="M519">
        <v>13375</v>
      </c>
      <c r="N519">
        <v>1342</v>
      </c>
    </row>
    <row r="520" spans="1:14" x14ac:dyDescent="0.35">
      <c r="A520" t="s">
        <v>556</v>
      </c>
      <c r="B520" t="s">
        <v>15</v>
      </c>
      <c r="C520" t="s">
        <v>16</v>
      </c>
      <c r="D520">
        <v>37</v>
      </c>
      <c r="E520" t="s">
        <v>550</v>
      </c>
      <c r="F520">
        <v>5419</v>
      </c>
      <c r="G520" t="s">
        <v>18</v>
      </c>
      <c r="H520">
        <v>27</v>
      </c>
      <c r="I520" t="s">
        <v>19</v>
      </c>
      <c r="J520">
        <v>1992</v>
      </c>
      <c r="K520">
        <v>1992</v>
      </c>
      <c r="L520" t="s">
        <v>20</v>
      </c>
      <c r="M520">
        <v>14516</v>
      </c>
      <c r="N520">
        <v>1342</v>
      </c>
    </row>
    <row r="521" spans="1:14" x14ac:dyDescent="0.35">
      <c r="A521" t="s">
        <v>557</v>
      </c>
      <c r="B521" t="s">
        <v>15</v>
      </c>
      <c r="C521" t="s">
        <v>16</v>
      </c>
      <c r="D521">
        <v>37</v>
      </c>
      <c r="E521" t="s">
        <v>550</v>
      </c>
      <c r="F521">
        <v>5419</v>
      </c>
      <c r="G521" t="s">
        <v>18</v>
      </c>
      <c r="H521">
        <v>27</v>
      </c>
      <c r="I521" t="s">
        <v>19</v>
      </c>
      <c r="J521">
        <v>1993</v>
      </c>
      <c r="K521">
        <v>1993</v>
      </c>
      <c r="L521" t="s">
        <v>20</v>
      </c>
      <c r="M521">
        <v>14514</v>
      </c>
      <c r="N521">
        <v>1342</v>
      </c>
    </row>
    <row r="522" spans="1:14" x14ac:dyDescent="0.35">
      <c r="A522" t="s">
        <v>558</v>
      </c>
      <c r="B522" t="s">
        <v>15</v>
      </c>
      <c r="C522" t="s">
        <v>16</v>
      </c>
      <c r="D522">
        <v>37</v>
      </c>
      <c r="E522" t="s">
        <v>550</v>
      </c>
      <c r="F522">
        <v>5419</v>
      </c>
      <c r="G522" t="s">
        <v>18</v>
      </c>
      <c r="H522">
        <v>27</v>
      </c>
      <c r="I522" t="s">
        <v>19</v>
      </c>
      <c r="J522">
        <v>1994</v>
      </c>
      <c r="K522">
        <v>1994</v>
      </c>
      <c r="L522" t="s">
        <v>20</v>
      </c>
      <c r="M522">
        <v>13201</v>
      </c>
      <c r="N522">
        <v>1342</v>
      </c>
    </row>
    <row r="523" spans="1:14" x14ac:dyDescent="0.35">
      <c r="A523" t="s">
        <v>559</v>
      </c>
      <c r="B523" t="s">
        <v>15</v>
      </c>
      <c r="C523" t="s">
        <v>16</v>
      </c>
      <c r="D523">
        <v>37</v>
      </c>
      <c r="E523" t="s">
        <v>550</v>
      </c>
      <c r="F523">
        <v>5419</v>
      </c>
      <c r="G523" t="s">
        <v>18</v>
      </c>
      <c r="H523">
        <v>27</v>
      </c>
      <c r="I523" t="s">
        <v>19</v>
      </c>
      <c r="J523">
        <v>1995</v>
      </c>
      <c r="K523">
        <v>1995</v>
      </c>
      <c r="L523" t="s">
        <v>20</v>
      </c>
      <c r="M523">
        <v>15214</v>
      </c>
      <c r="N523">
        <v>1342</v>
      </c>
    </row>
    <row r="524" spans="1:14" x14ac:dyDescent="0.35">
      <c r="A524" t="s">
        <v>560</v>
      </c>
      <c r="B524" t="s">
        <v>15</v>
      </c>
      <c r="C524" t="s">
        <v>16</v>
      </c>
      <c r="D524">
        <v>37</v>
      </c>
      <c r="E524" t="s">
        <v>550</v>
      </c>
      <c r="F524">
        <v>5419</v>
      </c>
      <c r="G524" t="s">
        <v>18</v>
      </c>
      <c r="H524">
        <v>27</v>
      </c>
      <c r="I524" t="s">
        <v>19</v>
      </c>
      <c r="J524">
        <v>1996</v>
      </c>
      <c r="K524">
        <v>1996</v>
      </c>
      <c r="L524" t="s">
        <v>20</v>
      </c>
      <c r="M524">
        <v>13200</v>
      </c>
      <c r="N524">
        <v>1342</v>
      </c>
    </row>
    <row r="525" spans="1:14" x14ac:dyDescent="0.35">
      <c r="A525" t="s">
        <v>561</v>
      </c>
      <c r="B525" t="s">
        <v>15</v>
      </c>
      <c r="C525" t="s">
        <v>16</v>
      </c>
      <c r="D525">
        <v>37</v>
      </c>
      <c r="E525" t="s">
        <v>550</v>
      </c>
      <c r="F525">
        <v>5419</v>
      </c>
      <c r="G525" t="s">
        <v>18</v>
      </c>
      <c r="H525">
        <v>27</v>
      </c>
      <c r="I525" t="s">
        <v>19</v>
      </c>
      <c r="J525">
        <v>1997</v>
      </c>
      <c r="K525">
        <v>1997</v>
      </c>
      <c r="L525" t="s">
        <v>20</v>
      </c>
      <c r="M525">
        <v>14167</v>
      </c>
      <c r="N525">
        <v>1342</v>
      </c>
    </row>
    <row r="526" spans="1:14" x14ac:dyDescent="0.35">
      <c r="A526" t="s">
        <v>562</v>
      </c>
      <c r="B526" t="s">
        <v>15</v>
      </c>
      <c r="C526" t="s">
        <v>16</v>
      </c>
      <c r="D526">
        <v>37</v>
      </c>
      <c r="E526" t="s">
        <v>550</v>
      </c>
      <c r="F526">
        <v>5419</v>
      </c>
      <c r="G526" t="s">
        <v>18</v>
      </c>
      <c r="H526">
        <v>27</v>
      </c>
      <c r="I526" t="s">
        <v>19</v>
      </c>
      <c r="J526">
        <v>1998</v>
      </c>
      <c r="K526">
        <v>1998</v>
      </c>
      <c r="L526" t="s">
        <v>20</v>
      </c>
      <c r="M526">
        <v>14231</v>
      </c>
      <c r="N526">
        <v>1342</v>
      </c>
    </row>
    <row r="527" spans="1:14" x14ac:dyDescent="0.35">
      <c r="A527" t="s">
        <v>563</v>
      </c>
      <c r="B527" t="s">
        <v>15</v>
      </c>
      <c r="C527" t="s">
        <v>16</v>
      </c>
      <c r="D527">
        <v>37</v>
      </c>
      <c r="E527" t="s">
        <v>550</v>
      </c>
      <c r="F527">
        <v>5419</v>
      </c>
      <c r="G527" t="s">
        <v>18</v>
      </c>
      <c r="H527">
        <v>27</v>
      </c>
      <c r="I527" t="s">
        <v>19</v>
      </c>
      <c r="J527">
        <v>1999</v>
      </c>
      <c r="K527">
        <v>1999</v>
      </c>
      <c r="L527" t="s">
        <v>20</v>
      </c>
      <c r="M527">
        <v>15000</v>
      </c>
      <c r="N527">
        <v>1342</v>
      </c>
    </row>
    <row r="528" spans="1:14" x14ac:dyDescent="0.35">
      <c r="A528" t="s">
        <v>564</v>
      </c>
      <c r="B528" t="s">
        <v>15</v>
      </c>
      <c r="C528" t="s">
        <v>16</v>
      </c>
      <c r="D528">
        <v>37</v>
      </c>
      <c r="E528" t="s">
        <v>550</v>
      </c>
      <c r="F528">
        <v>5419</v>
      </c>
      <c r="G528" t="s">
        <v>18</v>
      </c>
      <c r="H528">
        <v>27</v>
      </c>
      <c r="I528" t="s">
        <v>19</v>
      </c>
      <c r="J528">
        <v>2000</v>
      </c>
      <c r="K528">
        <v>2000</v>
      </c>
      <c r="L528" t="s">
        <v>20</v>
      </c>
      <c r="M528">
        <v>14903</v>
      </c>
      <c r="N528">
        <v>1342</v>
      </c>
    </row>
    <row r="529" spans="1:14" x14ac:dyDescent="0.35">
      <c r="A529" t="s">
        <v>565</v>
      </c>
      <c r="B529" t="s">
        <v>15</v>
      </c>
      <c r="C529" t="s">
        <v>16</v>
      </c>
      <c r="D529">
        <v>37</v>
      </c>
      <c r="E529" t="s">
        <v>550</v>
      </c>
      <c r="F529">
        <v>5419</v>
      </c>
      <c r="G529" t="s">
        <v>18</v>
      </c>
      <c r="H529">
        <v>27</v>
      </c>
      <c r="I529" t="s">
        <v>19</v>
      </c>
      <c r="J529">
        <v>2001</v>
      </c>
      <c r="K529">
        <v>2001</v>
      </c>
      <c r="L529" t="s">
        <v>20</v>
      </c>
      <c r="M529">
        <v>14882</v>
      </c>
      <c r="N529">
        <v>1342</v>
      </c>
    </row>
    <row r="530" spans="1:14" x14ac:dyDescent="0.35">
      <c r="A530" t="s">
        <v>566</v>
      </c>
      <c r="B530" t="s">
        <v>15</v>
      </c>
      <c r="C530" t="s">
        <v>16</v>
      </c>
      <c r="D530">
        <v>37</v>
      </c>
      <c r="E530" t="s">
        <v>550</v>
      </c>
      <c r="F530">
        <v>5419</v>
      </c>
      <c r="G530" t="s">
        <v>18</v>
      </c>
      <c r="H530">
        <v>27</v>
      </c>
      <c r="I530" t="s">
        <v>19</v>
      </c>
      <c r="J530">
        <v>2002</v>
      </c>
      <c r="K530">
        <v>2002</v>
      </c>
      <c r="L530" t="s">
        <v>20</v>
      </c>
      <c r="M530">
        <v>14891</v>
      </c>
      <c r="N530">
        <v>1342</v>
      </c>
    </row>
    <row r="531" spans="1:14" x14ac:dyDescent="0.35">
      <c r="A531" t="s">
        <v>567</v>
      </c>
      <c r="B531" t="s">
        <v>15</v>
      </c>
      <c r="C531" t="s">
        <v>16</v>
      </c>
      <c r="D531">
        <v>37</v>
      </c>
      <c r="E531" t="s">
        <v>550</v>
      </c>
      <c r="F531">
        <v>5419</v>
      </c>
      <c r="G531" t="s">
        <v>18</v>
      </c>
      <c r="H531">
        <v>27</v>
      </c>
      <c r="I531" t="s">
        <v>19</v>
      </c>
      <c r="J531">
        <v>2004</v>
      </c>
      <c r="K531">
        <v>2004</v>
      </c>
      <c r="L531" t="s">
        <v>20</v>
      </c>
      <c r="M531">
        <v>19938</v>
      </c>
      <c r="N531">
        <v>1342</v>
      </c>
    </row>
    <row r="532" spans="1:14" x14ac:dyDescent="0.35">
      <c r="A532" t="s">
        <v>568</v>
      </c>
      <c r="B532" t="s">
        <v>15</v>
      </c>
      <c r="C532" t="s">
        <v>16</v>
      </c>
      <c r="D532">
        <v>37</v>
      </c>
      <c r="E532" t="s">
        <v>550</v>
      </c>
      <c r="F532">
        <v>5419</v>
      </c>
      <c r="G532" t="s">
        <v>18</v>
      </c>
      <c r="H532">
        <v>27</v>
      </c>
      <c r="I532" t="s">
        <v>19</v>
      </c>
      <c r="J532">
        <v>2005</v>
      </c>
      <c r="K532">
        <v>2005</v>
      </c>
      <c r="L532" t="s">
        <v>20</v>
      </c>
      <c r="M532">
        <v>20087</v>
      </c>
      <c r="N532">
        <v>1342</v>
      </c>
    </row>
    <row r="533" spans="1:14" x14ac:dyDescent="0.35">
      <c r="A533" t="s">
        <v>569</v>
      </c>
      <c r="B533" t="s">
        <v>15</v>
      </c>
      <c r="C533" t="s">
        <v>16</v>
      </c>
      <c r="D533">
        <v>37</v>
      </c>
      <c r="E533" t="s">
        <v>550</v>
      </c>
      <c r="F533">
        <v>5419</v>
      </c>
      <c r="G533" t="s">
        <v>18</v>
      </c>
      <c r="H533">
        <v>27</v>
      </c>
      <c r="I533" t="s">
        <v>19</v>
      </c>
      <c r="J533">
        <v>2006</v>
      </c>
      <c r="K533">
        <v>2006</v>
      </c>
      <c r="L533" t="s">
        <v>20</v>
      </c>
      <c r="M533">
        <v>16000</v>
      </c>
      <c r="N533">
        <v>1342</v>
      </c>
    </row>
    <row r="534" spans="1:14" x14ac:dyDescent="0.35">
      <c r="A534" t="s">
        <v>570</v>
      </c>
      <c r="B534" t="s">
        <v>15</v>
      </c>
      <c r="C534" t="s">
        <v>16</v>
      </c>
      <c r="D534">
        <v>37</v>
      </c>
      <c r="E534" t="s">
        <v>550</v>
      </c>
      <c r="F534">
        <v>5419</v>
      </c>
      <c r="G534" t="s">
        <v>18</v>
      </c>
      <c r="H534">
        <v>27</v>
      </c>
      <c r="I534" t="s">
        <v>19</v>
      </c>
      <c r="J534">
        <v>2007</v>
      </c>
      <c r="K534">
        <v>2007</v>
      </c>
      <c r="L534" t="s">
        <v>20</v>
      </c>
      <c r="M534">
        <v>15000</v>
      </c>
      <c r="N534">
        <v>1342</v>
      </c>
    </row>
    <row r="535" spans="1:14" x14ac:dyDescent="0.35">
      <c r="A535" t="s">
        <v>571</v>
      </c>
      <c r="B535" t="s">
        <v>15</v>
      </c>
      <c r="C535" t="s">
        <v>16</v>
      </c>
      <c r="D535">
        <v>37</v>
      </c>
      <c r="E535" t="s">
        <v>550</v>
      </c>
      <c r="F535">
        <v>5419</v>
      </c>
      <c r="G535" t="s">
        <v>18</v>
      </c>
      <c r="H535">
        <v>27</v>
      </c>
      <c r="I535" t="s">
        <v>19</v>
      </c>
      <c r="J535">
        <v>2008</v>
      </c>
      <c r="K535">
        <v>2008</v>
      </c>
      <c r="L535" t="s">
        <v>20</v>
      </c>
      <c r="M535">
        <v>15000</v>
      </c>
      <c r="N535">
        <v>1342</v>
      </c>
    </row>
    <row r="536" spans="1:14" x14ac:dyDescent="0.35">
      <c r="A536" t="s">
        <v>572</v>
      </c>
      <c r="B536" t="s">
        <v>15</v>
      </c>
      <c r="C536" t="s">
        <v>16</v>
      </c>
      <c r="D536">
        <v>37</v>
      </c>
      <c r="E536" t="s">
        <v>550</v>
      </c>
      <c r="F536">
        <v>5419</v>
      </c>
      <c r="G536" t="s">
        <v>18</v>
      </c>
      <c r="H536">
        <v>27</v>
      </c>
      <c r="I536" t="s">
        <v>19</v>
      </c>
      <c r="J536">
        <v>2009</v>
      </c>
      <c r="K536">
        <v>2009</v>
      </c>
      <c r="L536" t="s">
        <v>20</v>
      </c>
      <c r="M536">
        <v>15000</v>
      </c>
      <c r="N536">
        <v>1342</v>
      </c>
    </row>
    <row r="537" spans="1:14" x14ac:dyDescent="0.35">
      <c r="A537" t="s">
        <v>573</v>
      </c>
      <c r="B537" t="s">
        <v>15</v>
      </c>
      <c r="C537" t="s">
        <v>16</v>
      </c>
      <c r="D537">
        <v>37</v>
      </c>
      <c r="E537" t="s">
        <v>550</v>
      </c>
      <c r="F537">
        <v>5419</v>
      </c>
      <c r="G537" t="s">
        <v>18</v>
      </c>
      <c r="H537">
        <v>27</v>
      </c>
      <c r="I537" t="s">
        <v>19</v>
      </c>
      <c r="J537">
        <v>2010</v>
      </c>
      <c r="K537">
        <v>2010</v>
      </c>
      <c r="L537" t="s">
        <v>20</v>
      </c>
      <c r="M537">
        <v>23353</v>
      </c>
      <c r="N537">
        <v>1342</v>
      </c>
    </row>
    <row r="538" spans="1:14" x14ac:dyDescent="0.35">
      <c r="A538" t="s">
        <v>574</v>
      </c>
      <c r="B538" t="s">
        <v>15</v>
      </c>
      <c r="C538" t="s">
        <v>16</v>
      </c>
      <c r="D538">
        <v>37</v>
      </c>
      <c r="E538" t="s">
        <v>550</v>
      </c>
      <c r="F538">
        <v>5419</v>
      </c>
      <c r="G538" t="s">
        <v>18</v>
      </c>
      <c r="H538">
        <v>27</v>
      </c>
      <c r="I538" t="s">
        <v>19</v>
      </c>
      <c r="J538">
        <v>2011</v>
      </c>
      <c r="K538">
        <v>2011</v>
      </c>
      <c r="L538" t="s">
        <v>20</v>
      </c>
      <c r="M538">
        <v>16000</v>
      </c>
      <c r="N538">
        <v>1342</v>
      </c>
    </row>
    <row r="539" spans="1:14" x14ac:dyDescent="0.35">
      <c r="A539" t="s">
        <v>575</v>
      </c>
      <c r="B539" t="s">
        <v>15</v>
      </c>
      <c r="C539" t="s">
        <v>16</v>
      </c>
      <c r="D539">
        <v>37</v>
      </c>
      <c r="E539" t="s">
        <v>550</v>
      </c>
      <c r="F539">
        <v>5419</v>
      </c>
      <c r="G539" t="s">
        <v>18</v>
      </c>
      <c r="H539">
        <v>27</v>
      </c>
      <c r="I539" t="s">
        <v>19</v>
      </c>
      <c r="J539">
        <v>2012</v>
      </c>
      <c r="K539">
        <v>2012</v>
      </c>
      <c r="L539" t="s">
        <v>20</v>
      </c>
      <c r="M539">
        <v>30000</v>
      </c>
      <c r="N539">
        <v>1342</v>
      </c>
    </row>
    <row r="540" spans="1:14" x14ac:dyDescent="0.35">
      <c r="A540" t="s">
        <v>576</v>
      </c>
      <c r="B540" t="s">
        <v>15</v>
      </c>
      <c r="C540" t="s">
        <v>16</v>
      </c>
      <c r="D540">
        <v>37</v>
      </c>
      <c r="E540" t="s">
        <v>550</v>
      </c>
      <c r="F540">
        <v>5419</v>
      </c>
      <c r="G540" t="s">
        <v>18</v>
      </c>
      <c r="H540">
        <v>27</v>
      </c>
      <c r="I540" t="s">
        <v>19</v>
      </c>
      <c r="J540">
        <v>2013</v>
      </c>
      <c r="K540">
        <v>2013</v>
      </c>
      <c r="L540" t="s">
        <v>20</v>
      </c>
      <c r="M540">
        <v>18665</v>
      </c>
      <c r="N540">
        <v>1342</v>
      </c>
    </row>
    <row r="541" spans="1:14" x14ac:dyDescent="0.35">
      <c r="A541" t="s">
        <v>577</v>
      </c>
      <c r="B541" t="s">
        <v>15</v>
      </c>
      <c r="C541" t="s">
        <v>16</v>
      </c>
      <c r="D541">
        <v>37</v>
      </c>
      <c r="E541" t="s">
        <v>550</v>
      </c>
      <c r="F541">
        <v>5419</v>
      </c>
      <c r="G541" t="s">
        <v>18</v>
      </c>
      <c r="H541">
        <v>27</v>
      </c>
      <c r="I541" t="s">
        <v>19</v>
      </c>
      <c r="J541">
        <v>2014</v>
      </c>
      <c r="K541">
        <v>2014</v>
      </c>
      <c r="L541" t="s">
        <v>20</v>
      </c>
      <c r="M541">
        <v>14000</v>
      </c>
      <c r="N541">
        <v>1342</v>
      </c>
    </row>
    <row r="542" spans="1:14" x14ac:dyDescent="0.35">
      <c r="A542" t="s">
        <v>578</v>
      </c>
      <c r="B542" t="s">
        <v>15</v>
      </c>
      <c r="C542" t="s">
        <v>16</v>
      </c>
      <c r="D542">
        <v>37</v>
      </c>
      <c r="E542" t="s">
        <v>550</v>
      </c>
      <c r="F542">
        <v>5419</v>
      </c>
      <c r="G542" t="s">
        <v>18</v>
      </c>
      <c r="H542">
        <v>27</v>
      </c>
      <c r="I542" t="s">
        <v>19</v>
      </c>
      <c r="J542">
        <v>2015</v>
      </c>
      <c r="K542">
        <v>2015</v>
      </c>
      <c r="L542" t="s">
        <v>20</v>
      </c>
      <c r="M542">
        <v>14000</v>
      </c>
      <c r="N542">
        <v>1342</v>
      </c>
    </row>
    <row r="543" spans="1:14" x14ac:dyDescent="0.35">
      <c r="A543" t="s">
        <v>579</v>
      </c>
      <c r="B543" t="s">
        <v>15</v>
      </c>
      <c r="C543" t="s">
        <v>16</v>
      </c>
      <c r="D543">
        <v>37</v>
      </c>
      <c r="E543" t="s">
        <v>550</v>
      </c>
      <c r="F543">
        <v>5419</v>
      </c>
      <c r="G543" t="s">
        <v>18</v>
      </c>
      <c r="H543">
        <v>27</v>
      </c>
      <c r="I543" t="s">
        <v>19</v>
      </c>
      <c r="J543">
        <v>2016</v>
      </c>
      <c r="K543">
        <v>2016</v>
      </c>
      <c r="L543" t="s">
        <v>20</v>
      </c>
      <c r="M543">
        <v>14792</v>
      </c>
      <c r="N543">
        <v>1342</v>
      </c>
    </row>
    <row r="544" spans="1:14" x14ac:dyDescent="0.35">
      <c r="A544" t="s">
        <v>580</v>
      </c>
      <c r="B544" t="s">
        <v>15</v>
      </c>
      <c r="C544" t="s">
        <v>16</v>
      </c>
      <c r="D544">
        <v>39</v>
      </c>
      <c r="E544" t="s">
        <v>581</v>
      </c>
      <c r="F544">
        <v>5419</v>
      </c>
      <c r="G544" t="s">
        <v>18</v>
      </c>
      <c r="H544">
        <v>27</v>
      </c>
      <c r="I544" t="s">
        <v>19</v>
      </c>
      <c r="J544">
        <v>1985</v>
      </c>
      <c r="K544">
        <v>1985</v>
      </c>
      <c r="L544" t="s">
        <v>20</v>
      </c>
      <c r="M544">
        <v>5287</v>
      </c>
      <c r="N544">
        <v>322</v>
      </c>
    </row>
    <row r="545" spans="1:14" x14ac:dyDescent="0.35">
      <c r="A545" t="s">
        <v>582</v>
      </c>
      <c r="B545" t="s">
        <v>15</v>
      </c>
      <c r="C545" t="s">
        <v>16</v>
      </c>
      <c r="D545">
        <v>39</v>
      </c>
      <c r="E545" t="s">
        <v>581</v>
      </c>
      <c r="F545">
        <v>5419</v>
      </c>
      <c r="G545" t="s">
        <v>18</v>
      </c>
      <c r="H545">
        <v>27</v>
      </c>
      <c r="I545" t="s">
        <v>19</v>
      </c>
      <c r="J545">
        <v>1986</v>
      </c>
      <c r="K545">
        <v>1986</v>
      </c>
      <c r="L545" t="s">
        <v>20</v>
      </c>
      <c r="M545">
        <v>8083</v>
      </c>
      <c r="N545">
        <v>322</v>
      </c>
    </row>
    <row r="546" spans="1:14" x14ac:dyDescent="0.35">
      <c r="A546" t="s">
        <v>583</v>
      </c>
      <c r="B546" t="s">
        <v>15</v>
      </c>
      <c r="C546" t="s">
        <v>16</v>
      </c>
      <c r="D546">
        <v>39</v>
      </c>
      <c r="E546" t="s">
        <v>581</v>
      </c>
      <c r="F546">
        <v>5419</v>
      </c>
      <c r="G546" t="s">
        <v>18</v>
      </c>
      <c r="H546">
        <v>27</v>
      </c>
      <c r="I546" t="s">
        <v>19</v>
      </c>
      <c r="J546">
        <v>1987</v>
      </c>
      <c r="K546">
        <v>1987</v>
      </c>
      <c r="L546" t="s">
        <v>20</v>
      </c>
      <c r="M546">
        <v>9131</v>
      </c>
      <c r="N546">
        <v>322</v>
      </c>
    </row>
    <row r="547" spans="1:14" x14ac:dyDescent="0.35">
      <c r="A547" t="s">
        <v>584</v>
      </c>
      <c r="B547" t="s">
        <v>15</v>
      </c>
      <c r="C547" t="s">
        <v>16</v>
      </c>
      <c r="D547">
        <v>39</v>
      </c>
      <c r="E547" t="s">
        <v>581</v>
      </c>
      <c r="F547">
        <v>5419</v>
      </c>
      <c r="G547" t="s">
        <v>18</v>
      </c>
      <c r="H547">
        <v>27</v>
      </c>
      <c r="I547" t="s">
        <v>19</v>
      </c>
      <c r="J547">
        <v>1989</v>
      </c>
      <c r="K547">
        <v>1989</v>
      </c>
      <c r="L547" t="s">
        <v>20</v>
      </c>
      <c r="M547">
        <v>27888</v>
      </c>
      <c r="N547">
        <v>322</v>
      </c>
    </row>
    <row r="548" spans="1:14" x14ac:dyDescent="0.35">
      <c r="A548" t="s">
        <v>585</v>
      </c>
      <c r="B548" t="s">
        <v>15</v>
      </c>
      <c r="C548" t="s">
        <v>16</v>
      </c>
      <c r="D548">
        <v>39</v>
      </c>
      <c r="E548" t="s">
        <v>581</v>
      </c>
      <c r="F548">
        <v>5419</v>
      </c>
      <c r="G548" t="s">
        <v>18</v>
      </c>
      <c r="H548">
        <v>27</v>
      </c>
      <c r="I548" t="s">
        <v>19</v>
      </c>
      <c r="J548">
        <v>1990</v>
      </c>
      <c r="K548">
        <v>1990</v>
      </c>
      <c r="L548" t="s">
        <v>20</v>
      </c>
      <c r="M548">
        <v>17916</v>
      </c>
      <c r="N548">
        <v>322</v>
      </c>
    </row>
    <row r="549" spans="1:14" x14ac:dyDescent="0.35">
      <c r="A549" t="s">
        <v>586</v>
      </c>
      <c r="B549" t="s">
        <v>15</v>
      </c>
      <c r="C549" t="s">
        <v>16</v>
      </c>
      <c r="D549">
        <v>39</v>
      </c>
      <c r="E549" t="s">
        <v>581</v>
      </c>
      <c r="F549">
        <v>5419</v>
      </c>
      <c r="G549" t="s">
        <v>18</v>
      </c>
      <c r="H549">
        <v>27</v>
      </c>
      <c r="I549" t="s">
        <v>19</v>
      </c>
      <c r="J549">
        <v>1991</v>
      </c>
      <c r="K549">
        <v>1991</v>
      </c>
      <c r="L549" t="s">
        <v>20</v>
      </c>
      <c r="M549">
        <v>24287</v>
      </c>
      <c r="N549">
        <v>322</v>
      </c>
    </row>
    <row r="550" spans="1:14" x14ac:dyDescent="0.35">
      <c r="A550" t="s">
        <v>587</v>
      </c>
      <c r="B550" t="s">
        <v>15</v>
      </c>
      <c r="C550" t="s">
        <v>16</v>
      </c>
      <c r="D550">
        <v>39</v>
      </c>
      <c r="E550" t="s">
        <v>581</v>
      </c>
      <c r="F550">
        <v>5419</v>
      </c>
      <c r="G550" t="s">
        <v>18</v>
      </c>
      <c r="H550">
        <v>27</v>
      </c>
      <c r="I550" t="s">
        <v>19</v>
      </c>
      <c r="J550">
        <v>1992</v>
      </c>
      <c r="K550">
        <v>1992</v>
      </c>
      <c r="L550" t="s">
        <v>20</v>
      </c>
      <c r="M550">
        <v>20265</v>
      </c>
      <c r="N550">
        <v>322</v>
      </c>
    </row>
    <row r="551" spans="1:14" x14ac:dyDescent="0.35">
      <c r="A551" t="s">
        <v>588</v>
      </c>
      <c r="B551" t="s">
        <v>15</v>
      </c>
      <c r="C551" t="s">
        <v>16</v>
      </c>
      <c r="D551">
        <v>39</v>
      </c>
      <c r="E551" t="s">
        <v>581</v>
      </c>
      <c r="F551">
        <v>5419</v>
      </c>
      <c r="G551" t="s">
        <v>18</v>
      </c>
      <c r="H551">
        <v>27</v>
      </c>
      <c r="I551" t="s">
        <v>19</v>
      </c>
      <c r="J551">
        <v>1993</v>
      </c>
      <c r="K551">
        <v>1993</v>
      </c>
      <c r="L551" t="s">
        <v>20</v>
      </c>
      <c r="M551">
        <v>5586</v>
      </c>
      <c r="N551">
        <v>322</v>
      </c>
    </row>
    <row r="552" spans="1:14" x14ac:dyDescent="0.35">
      <c r="A552" t="s">
        <v>589</v>
      </c>
      <c r="B552" t="s">
        <v>15</v>
      </c>
      <c r="C552" t="s">
        <v>16</v>
      </c>
      <c r="D552">
        <v>39</v>
      </c>
      <c r="E552" t="s">
        <v>581</v>
      </c>
      <c r="F552">
        <v>5419</v>
      </c>
      <c r="G552" t="s">
        <v>18</v>
      </c>
      <c r="H552">
        <v>27</v>
      </c>
      <c r="I552" t="s">
        <v>19</v>
      </c>
      <c r="J552">
        <v>1994</v>
      </c>
      <c r="K552">
        <v>1994</v>
      </c>
      <c r="L552" t="s">
        <v>20</v>
      </c>
      <c r="M552">
        <v>17414</v>
      </c>
      <c r="N552">
        <v>322</v>
      </c>
    </row>
    <row r="553" spans="1:14" x14ac:dyDescent="0.35">
      <c r="A553" t="s">
        <v>590</v>
      </c>
      <c r="B553" t="s">
        <v>15</v>
      </c>
      <c r="C553" t="s">
        <v>16</v>
      </c>
      <c r="D553">
        <v>39</v>
      </c>
      <c r="E553" t="s">
        <v>581</v>
      </c>
      <c r="F553">
        <v>5419</v>
      </c>
      <c r="G553" t="s">
        <v>18</v>
      </c>
      <c r="H553">
        <v>27</v>
      </c>
      <c r="I553" t="s">
        <v>19</v>
      </c>
      <c r="J553">
        <v>1995</v>
      </c>
      <c r="K553">
        <v>1995</v>
      </c>
      <c r="L553" t="s">
        <v>20</v>
      </c>
      <c r="M553">
        <v>11342</v>
      </c>
      <c r="N553">
        <v>322</v>
      </c>
    </row>
    <row r="554" spans="1:14" x14ac:dyDescent="0.35">
      <c r="A554" t="s">
        <v>591</v>
      </c>
      <c r="B554" t="s">
        <v>15</v>
      </c>
      <c r="C554" t="s">
        <v>16</v>
      </c>
      <c r="D554">
        <v>39</v>
      </c>
      <c r="E554" t="s">
        <v>581</v>
      </c>
      <c r="F554">
        <v>5419</v>
      </c>
      <c r="G554" t="s">
        <v>18</v>
      </c>
      <c r="H554">
        <v>27</v>
      </c>
      <c r="I554" t="s">
        <v>19</v>
      </c>
      <c r="J554">
        <v>1996</v>
      </c>
      <c r="K554">
        <v>1996</v>
      </c>
      <c r="L554" t="s">
        <v>20</v>
      </c>
      <c r="M554">
        <v>15685</v>
      </c>
      <c r="N554">
        <v>322</v>
      </c>
    </row>
    <row r="555" spans="1:14" x14ac:dyDescent="0.35">
      <c r="A555" t="s">
        <v>592</v>
      </c>
      <c r="B555" t="s">
        <v>15</v>
      </c>
      <c r="C555" t="s">
        <v>16</v>
      </c>
      <c r="D555">
        <v>39</v>
      </c>
      <c r="E555" t="s">
        <v>581</v>
      </c>
      <c r="F555">
        <v>5419</v>
      </c>
      <c r="G555" t="s">
        <v>18</v>
      </c>
      <c r="H555">
        <v>27</v>
      </c>
      <c r="I555" t="s">
        <v>19</v>
      </c>
      <c r="J555">
        <v>1997</v>
      </c>
      <c r="K555">
        <v>1997</v>
      </c>
      <c r="L555" t="s">
        <v>20</v>
      </c>
      <c r="M555">
        <v>12903</v>
      </c>
      <c r="N555">
        <v>322</v>
      </c>
    </row>
    <row r="556" spans="1:14" x14ac:dyDescent="0.35">
      <c r="A556" t="s">
        <v>593</v>
      </c>
      <c r="B556" t="s">
        <v>15</v>
      </c>
      <c r="C556" t="s">
        <v>16</v>
      </c>
      <c r="D556">
        <v>39</v>
      </c>
      <c r="E556" t="s">
        <v>581</v>
      </c>
      <c r="F556">
        <v>5419</v>
      </c>
      <c r="G556" t="s">
        <v>18</v>
      </c>
      <c r="H556">
        <v>27</v>
      </c>
      <c r="I556" t="s">
        <v>19</v>
      </c>
      <c r="J556">
        <v>1998</v>
      </c>
      <c r="K556">
        <v>1998</v>
      </c>
      <c r="L556" t="s">
        <v>20</v>
      </c>
      <c r="M556">
        <v>13125</v>
      </c>
      <c r="N556">
        <v>322</v>
      </c>
    </row>
    <row r="557" spans="1:14" x14ac:dyDescent="0.35">
      <c r="A557" t="s">
        <v>594</v>
      </c>
      <c r="B557" t="s">
        <v>15</v>
      </c>
      <c r="C557" t="s">
        <v>16</v>
      </c>
      <c r="D557">
        <v>39</v>
      </c>
      <c r="E557" t="s">
        <v>581</v>
      </c>
      <c r="F557">
        <v>5419</v>
      </c>
      <c r="G557" t="s">
        <v>18</v>
      </c>
      <c r="H557">
        <v>27</v>
      </c>
      <c r="I557" t="s">
        <v>19</v>
      </c>
      <c r="J557">
        <v>1999</v>
      </c>
      <c r="K557">
        <v>1999</v>
      </c>
      <c r="L557" t="s">
        <v>20</v>
      </c>
      <c r="M557">
        <v>17421</v>
      </c>
      <c r="N557">
        <v>322</v>
      </c>
    </row>
    <row r="558" spans="1:14" x14ac:dyDescent="0.35">
      <c r="A558" t="s">
        <v>595</v>
      </c>
      <c r="B558" t="s">
        <v>15</v>
      </c>
      <c r="C558" t="s">
        <v>16</v>
      </c>
      <c r="D558">
        <v>39</v>
      </c>
      <c r="E558" t="s">
        <v>581</v>
      </c>
      <c r="F558">
        <v>5419</v>
      </c>
      <c r="G558" t="s">
        <v>18</v>
      </c>
      <c r="H558">
        <v>27</v>
      </c>
      <c r="I558" t="s">
        <v>19</v>
      </c>
      <c r="J558">
        <v>2000</v>
      </c>
      <c r="K558">
        <v>2000</v>
      </c>
      <c r="L558" t="s">
        <v>20</v>
      </c>
      <c r="M558">
        <v>10341</v>
      </c>
      <c r="N558">
        <v>322</v>
      </c>
    </row>
    <row r="559" spans="1:14" x14ac:dyDescent="0.35">
      <c r="A559" t="s">
        <v>596</v>
      </c>
      <c r="B559" t="s">
        <v>15</v>
      </c>
      <c r="C559" t="s">
        <v>16</v>
      </c>
      <c r="D559">
        <v>39</v>
      </c>
      <c r="E559" t="s">
        <v>581</v>
      </c>
      <c r="F559">
        <v>5419</v>
      </c>
      <c r="G559" t="s">
        <v>18</v>
      </c>
      <c r="H559">
        <v>27</v>
      </c>
      <c r="I559" t="s">
        <v>19</v>
      </c>
      <c r="J559">
        <v>2001</v>
      </c>
      <c r="K559">
        <v>2001</v>
      </c>
      <c r="L559" t="s">
        <v>20</v>
      </c>
      <c r="M559">
        <v>12868</v>
      </c>
      <c r="N559">
        <v>322</v>
      </c>
    </row>
    <row r="560" spans="1:14" x14ac:dyDescent="0.35">
      <c r="A560" t="s">
        <v>597</v>
      </c>
      <c r="B560" t="s">
        <v>15</v>
      </c>
      <c r="C560" t="s">
        <v>16</v>
      </c>
      <c r="D560">
        <v>39</v>
      </c>
      <c r="E560" t="s">
        <v>581</v>
      </c>
      <c r="F560">
        <v>5419</v>
      </c>
      <c r="G560" t="s">
        <v>18</v>
      </c>
      <c r="H560">
        <v>27</v>
      </c>
      <c r="I560" t="s">
        <v>19</v>
      </c>
      <c r="J560">
        <v>2002</v>
      </c>
      <c r="K560">
        <v>2002</v>
      </c>
      <c r="L560" t="s">
        <v>20</v>
      </c>
      <c r="M560">
        <v>12994</v>
      </c>
      <c r="N560">
        <v>322</v>
      </c>
    </row>
    <row r="561" spans="1:14" x14ac:dyDescent="0.35">
      <c r="A561" t="s">
        <v>598</v>
      </c>
      <c r="B561" t="s">
        <v>15</v>
      </c>
      <c r="C561" t="s">
        <v>16</v>
      </c>
      <c r="D561">
        <v>39</v>
      </c>
      <c r="E561" t="s">
        <v>581</v>
      </c>
      <c r="F561">
        <v>5419</v>
      </c>
      <c r="G561" t="s">
        <v>18</v>
      </c>
      <c r="H561">
        <v>27</v>
      </c>
      <c r="I561" t="s">
        <v>19</v>
      </c>
      <c r="J561">
        <v>2004</v>
      </c>
      <c r="K561">
        <v>2004</v>
      </c>
      <c r="L561" t="s">
        <v>20</v>
      </c>
      <c r="M561">
        <v>9705</v>
      </c>
      <c r="N561">
        <v>322</v>
      </c>
    </row>
    <row r="562" spans="1:14" x14ac:dyDescent="0.35">
      <c r="A562" t="s">
        <v>599</v>
      </c>
      <c r="B562" t="s">
        <v>15</v>
      </c>
      <c r="C562" t="s">
        <v>16</v>
      </c>
      <c r="D562">
        <v>39</v>
      </c>
      <c r="E562" t="s">
        <v>581</v>
      </c>
      <c r="F562">
        <v>5419</v>
      </c>
      <c r="G562" t="s">
        <v>18</v>
      </c>
      <c r="H562">
        <v>27</v>
      </c>
      <c r="I562" t="s">
        <v>19</v>
      </c>
      <c r="J562">
        <v>2005</v>
      </c>
      <c r="K562">
        <v>2005</v>
      </c>
      <c r="L562" t="s">
        <v>20</v>
      </c>
      <c r="M562">
        <v>13264</v>
      </c>
      <c r="N562">
        <v>322</v>
      </c>
    </row>
    <row r="563" spans="1:14" x14ac:dyDescent="0.35">
      <c r="A563" t="s">
        <v>600</v>
      </c>
      <c r="B563" t="s">
        <v>15</v>
      </c>
      <c r="C563" t="s">
        <v>16</v>
      </c>
      <c r="D563">
        <v>39</v>
      </c>
      <c r="E563" t="s">
        <v>581</v>
      </c>
      <c r="F563">
        <v>5419</v>
      </c>
      <c r="G563" t="s">
        <v>18</v>
      </c>
      <c r="H563">
        <v>27</v>
      </c>
      <c r="I563" t="s">
        <v>19</v>
      </c>
      <c r="J563">
        <v>2006</v>
      </c>
      <c r="K563">
        <v>2006</v>
      </c>
      <c r="L563" t="s">
        <v>20</v>
      </c>
      <c r="M563">
        <v>10263</v>
      </c>
      <c r="N563">
        <v>322</v>
      </c>
    </row>
    <row r="564" spans="1:14" x14ac:dyDescent="0.35">
      <c r="A564" t="s">
        <v>601</v>
      </c>
      <c r="B564" t="s">
        <v>15</v>
      </c>
      <c r="C564" t="s">
        <v>16</v>
      </c>
      <c r="D564">
        <v>39</v>
      </c>
      <c r="E564" t="s">
        <v>581</v>
      </c>
      <c r="F564">
        <v>5419</v>
      </c>
      <c r="G564" t="s">
        <v>18</v>
      </c>
      <c r="H564">
        <v>27</v>
      </c>
      <c r="I564" t="s">
        <v>19</v>
      </c>
      <c r="J564">
        <v>2007</v>
      </c>
      <c r="K564">
        <v>2007</v>
      </c>
      <c r="L564" t="s">
        <v>20</v>
      </c>
      <c r="M564">
        <v>12486</v>
      </c>
      <c r="N564">
        <v>322</v>
      </c>
    </row>
    <row r="565" spans="1:14" x14ac:dyDescent="0.35">
      <c r="A565" t="s">
        <v>602</v>
      </c>
      <c r="B565" t="s">
        <v>15</v>
      </c>
      <c r="C565" t="s">
        <v>16</v>
      </c>
      <c r="D565">
        <v>39</v>
      </c>
      <c r="E565" t="s">
        <v>581</v>
      </c>
      <c r="F565">
        <v>5419</v>
      </c>
      <c r="G565" t="s">
        <v>18</v>
      </c>
      <c r="H565">
        <v>27</v>
      </c>
      <c r="I565" t="s">
        <v>19</v>
      </c>
      <c r="J565">
        <v>2008</v>
      </c>
      <c r="K565">
        <v>2008</v>
      </c>
      <c r="L565" t="s">
        <v>20</v>
      </c>
      <c r="M565">
        <v>15696</v>
      </c>
      <c r="N565">
        <v>322</v>
      </c>
    </row>
    <row r="566" spans="1:14" x14ac:dyDescent="0.35">
      <c r="A566" t="s">
        <v>603</v>
      </c>
      <c r="B566" t="s">
        <v>15</v>
      </c>
      <c r="C566" t="s">
        <v>16</v>
      </c>
      <c r="D566">
        <v>39</v>
      </c>
      <c r="E566" t="s">
        <v>581</v>
      </c>
      <c r="F566">
        <v>5419</v>
      </c>
      <c r="G566" t="s">
        <v>18</v>
      </c>
      <c r="H566">
        <v>27</v>
      </c>
      <c r="I566" t="s">
        <v>19</v>
      </c>
      <c r="J566">
        <v>2009</v>
      </c>
      <c r="K566">
        <v>2009</v>
      </c>
      <c r="L566" t="s">
        <v>20</v>
      </c>
      <c r="M566">
        <v>10481</v>
      </c>
      <c r="N566">
        <v>322</v>
      </c>
    </row>
    <row r="567" spans="1:14" x14ac:dyDescent="0.35">
      <c r="A567" t="s">
        <v>604</v>
      </c>
      <c r="B567" t="s">
        <v>15</v>
      </c>
      <c r="C567" t="s">
        <v>16</v>
      </c>
      <c r="D567">
        <v>39</v>
      </c>
      <c r="E567" t="s">
        <v>581</v>
      </c>
      <c r="F567">
        <v>5419</v>
      </c>
      <c r="G567" t="s">
        <v>18</v>
      </c>
      <c r="H567">
        <v>27</v>
      </c>
      <c r="I567" t="s">
        <v>19</v>
      </c>
      <c r="J567">
        <v>2010</v>
      </c>
      <c r="K567">
        <v>2010</v>
      </c>
      <c r="L567" t="s">
        <v>20</v>
      </c>
      <c r="M567">
        <v>13415</v>
      </c>
      <c r="N567">
        <v>322</v>
      </c>
    </row>
    <row r="568" spans="1:14" x14ac:dyDescent="0.35">
      <c r="A568" t="s">
        <v>605</v>
      </c>
      <c r="B568" t="s">
        <v>15</v>
      </c>
      <c r="C568" t="s">
        <v>16</v>
      </c>
      <c r="D568">
        <v>39</v>
      </c>
      <c r="E568" t="s">
        <v>581</v>
      </c>
      <c r="F568">
        <v>5419</v>
      </c>
      <c r="G568" t="s">
        <v>18</v>
      </c>
      <c r="H568">
        <v>27</v>
      </c>
      <c r="I568" t="s">
        <v>19</v>
      </c>
      <c r="J568">
        <v>2011</v>
      </c>
      <c r="K568">
        <v>2011</v>
      </c>
      <c r="L568" t="s">
        <v>20</v>
      </c>
      <c r="M568">
        <v>14296</v>
      </c>
      <c r="N568">
        <v>322</v>
      </c>
    </row>
    <row r="569" spans="1:14" x14ac:dyDescent="0.35">
      <c r="A569" t="s">
        <v>606</v>
      </c>
      <c r="B569" t="s">
        <v>15</v>
      </c>
      <c r="C569" t="s">
        <v>16</v>
      </c>
      <c r="D569">
        <v>39</v>
      </c>
      <c r="E569" t="s">
        <v>581</v>
      </c>
      <c r="F569">
        <v>5419</v>
      </c>
      <c r="G569" t="s">
        <v>18</v>
      </c>
      <c r="H569">
        <v>27</v>
      </c>
      <c r="I569" t="s">
        <v>19</v>
      </c>
      <c r="J569">
        <v>2012</v>
      </c>
      <c r="K569">
        <v>2012</v>
      </c>
      <c r="L569" t="s">
        <v>20</v>
      </c>
      <c r="M569">
        <v>12978</v>
      </c>
      <c r="N569">
        <v>322</v>
      </c>
    </row>
    <row r="570" spans="1:14" x14ac:dyDescent="0.35">
      <c r="A570" t="s">
        <v>607</v>
      </c>
      <c r="B570" t="s">
        <v>15</v>
      </c>
      <c r="C570" t="s">
        <v>16</v>
      </c>
      <c r="D570">
        <v>39</v>
      </c>
      <c r="E570" t="s">
        <v>581</v>
      </c>
      <c r="F570">
        <v>5419</v>
      </c>
      <c r="G570" t="s">
        <v>18</v>
      </c>
      <c r="H570">
        <v>27</v>
      </c>
      <c r="I570" t="s">
        <v>19</v>
      </c>
      <c r="J570">
        <v>2013</v>
      </c>
      <c r="K570">
        <v>2013</v>
      </c>
      <c r="L570" t="s">
        <v>20</v>
      </c>
      <c r="M570">
        <v>17377</v>
      </c>
      <c r="N570">
        <v>322</v>
      </c>
    </row>
    <row r="571" spans="1:14" x14ac:dyDescent="0.35">
      <c r="A571" t="s">
        <v>608</v>
      </c>
      <c r="B571" t="s">
        <v>15</v>
      </c>
      <c r="C571" t="s">
        <v>16</v>
      </c>
      <c r="D571">
        <v>39</v>
      </c>
      <c r="E571" t="s">
        <v>581</v>
      </c>
      <c r="F571">
        <v>5419</v>
      </c>
      <c r="G571" t="s">
        <v>18</v>
      </c>
      <c r="H571">
        <v>27</v>
      </c>
      <c r="I571" t="s">
        <v>19</v>
      </c>
      <c r="J571">
        <v>2014</v>
      </c>
      <c r="K571">
        <v>2014</v>
      </c>
      <c r="L571" t="s">
        <v>20</v>
      </c>
      <c r="M571">
        <v>15699</v>
      </c>
      <c r="N571">
        <v>322</v>
      </c>
    </row>
    <row r="572" spans="1:14" x14ac:dyDescent="0.35">
      <c r="A572" t="s">
        <v>609</v>
      </c>
      <c r="B572" t="s">
        <v>15</v>
      </c>
      <c r="C572" t="s">
        <v>16</v>
      </c>
      <c r="D572">
        <v>39</v>
      </c>
      <c r="E572" t="s">
        <v>581</v>
      </c>
      <c r="F572">
        <v>5419</v>
      </c>
      <c r="G572" t="s">
        <v>18</v>
      </c>
      <c r="H572">
        <v>27</v>
      </c>
      <c r="I572" t="s">
        <v>19</v>
      </c>
      <c r="J572">
        <v>2015</v>
      </c>
      <c r="K572">
        <v>2015</v>
      </c>
      <c r="L572" t="s">
        <v>20</v>
      </c>
      <c r="M572">
        <v>14155</v>
      </c>
      <c r="N572">
        <v>322</v>
      </c>
    </row>
    <row r="573" spans="1:14" x14ac:dyDescent="0.35">
      <c r="A573" t="s">
        <v>610</v>
      </c>
      <c r="B573" t="s">
        <v>15</v>
      </c>
      <c r="C573" t="s">
        <v>16</v>
      </c>
      <c r="D573">
        <v>39</v>
      </c>
      <c r="E573" t="s">
        <v>581</v>
      </c>
      <c r="F573">
        <v>5419</v>
      </c>
      <c r="G573" t="s">
        <v>18</v>
      </c>
      <c r="H573">
        <v>27</v>
      </c>
      <c r="I573" t="s">
        <v>19</v>
      </c>
      <c r="J573">
        <v>2016</v>
      </c>
      <c r="K573">
        <v>2016</v>
      </c>
      <c r="L573" t="s">
        <v>20</v>
      </c>
      <c r="M573">
        <v>14128</v>
      </c>
      <c r="N573">
        <v>322</v>
      </c>
    </row>
    <row r="574" spans="1:14" x14ac:dyDescent="0.35">
      <c r="A574" t="s">
        <v>611</v>
      </c>
      <c r="B574" t="s">
        <v>15</v>
      </c>
      <c r="C574" t="s">
        <v>16</v>
      </c>
      <c r="D574">
        <v>40</v>
      </c>
      <c r="E574" t="s">
        <v>612</v>
      </c>
      <c r="F574">
        <v>5419</v>
      </c>
      <c r="G574" t="s">
        <v>18</v>
      </c>
      <c r="H574">
        <v>27</v>
      </c>
      <c r="I574" t="s">
        <v>19</v>
      </c>
      <c r="J574">
        <v>1985</v>
      </c>
      <c r="K574">
        <v>1985</v>
      </c>
      <c r="L574" t="s">
        <v>20</v>
      </c>
      <c r="M574">
        <v>40667</v>
      </c>
      <c r="N574">
        <v>1522</v>
      </c>
    </row>
    <row r="575" spans="1:14" x14ac:dyDescent="0.35">
      <c r="A575" t="s">
        <v>613</v>
      </c>
      <c r="B575" t="s">
        <v>15</v>
      </c>
      <c r="C575" t="s">
        <v>16</v>
      </c>
      <c r="D575">
        <v>40</v>
      </c>
      <c r="E575" t="s">
        <v>612</v>
      </c>
      <c r="F575">
        <v>5419</v>
      </c>
      <c r="G575" t="s">
        <v>18</v>
      </c>
      <c r="H575">
        <v>27</v>
      </c>
      <c r="I575" t="s">
        <v>19</v>
      </c>
      <c r="J575">
        <v>1986</v>
      </c>
      <c r="K575">
        <v>1986</v>
      </c>
      <c r="L575" t="s">
        <v>20</v>
      </c>
      <c r="M575">
        <v>39559</v>
      </c>
      <c r="N575">
        <v>1522</v>
      </c>
    </row>
    <row r="576" spans="1:14" x14ac:dyDescent="0.35">
      <c r="A576" t="s">
        <v>614</v>
      </c>
      <c r="B576" t="s">
        <v>15</v>
      </c>
      <c r="C576" t="s">
        <v>16</v>
      </c>
      <c r="D576">
        <v>40</v>
      </c>
      <c r="E576" t="s">
        <v>612</v>
      </c>
      <c r="F576">
        <v>5419</v>
      </c>
      <c r="G576" t="s">
        <v>18</v>
      </c>
      <c r="H576">
        <v>27</v>
      </c>
      <c r="I576" t="s">
        <v>19</v>
      </c>
      <c r="J576">
        <v>1987</v>
      </c>
      <c r="K576">
        <v>1987</v>
      </c>
      <c r="L576" t="s">
        <v>20</v>
      </c>
      <c r="M576">
        <v>39451</v>
      </c>
      <c r="N576">
        <v>1522</v>
      </c>
    </row>
    <row r="577" spans="1:14" x14ac:dyDescent="0.35">
      <c r="A577" t="s">
        <v>615</v>
      </c>
      <c r="B577" t="s">
        <v>15</v>
      </c>
      <c r="C577" t="s">
        <v>16</v>
      </c>
      <c r="D577">
        <v>40</v>
      </c>
      <c r="E577" t="s">
        <v>612</v>
      </c>
      <c r="F577">
        <v>5419</v>
      </c>
      <c r="G577" t="s">
        <v>18</v>
      </c>
      <c r="H577">
        <v>27</v>
      </c>
      <c r="I577" t="s">
        <v>19</v>
      </c>
      <c r="J577">
        <v>1989</v>
      </c>
      <c r="K577">
        <v>1989</v>
      </c>
      <c r="L577" t="s">
        <v>20</v>
      </c>
      <c r="M577">
        <v>43077</v>
      </c>
      <c r="N577">
        <v>1522</v>
      </c>
    </row>
    <row r="578" spans="1:14" x14ac:dyDescent="0.35">
      <c r="A578" t="s">
        <v>616</v>
      </c>
      <c r="B578" t="s">
        <v>15</v>
      </c>
      <c r="C578" t="s">
        <v>16</v>
      </c>
      <c r="D578">
        <v>40</v>
      </c>
      <c r="E578" t="s">
        <v>612</v>
      </c>
      <c r="F578">
        <v>5419</v>
      </c>
      <c r="G578" t="s">
        <v>18</v>
      </c>
      <c r="H578">
        <v>27</v>
      </c>
      <c r="I578" t="s">
        <v>19</v>
      </c>
      <c r="J578">
        <v>1990</v>
      </c>
      <c r="K578">
        <v>1990</v>
      </c>
      <c r="L578" t="s">
        <v>20</v>
      </c>
      <c r="M578">
        <v>41734</v>
      </c>
      <c r="N578">
        <v>1522</v>
      </c>
    </row>
    <row r="579" spans="1:14" x14ac:dyDescent="0.35">
      <c r="A579" t="s">
        <v>617</v>
      </c>
      <c r="B579" t="s">
        <v>15</v>
      </c>
      <c r="C579" t="s">
        <v>16</v>
      </c>
      <c r="D579">
        <v>40</v>
      </c>
      <c r="E579" t="s">
        <v>612</v>
      </c>
      <c r="F579">
        <v>5419</v>
      </c>
      <c r="G579" t="s">
        <v>18</v>
      </c>
      <c r="H579">
        <v>27</v>
      </c>
      <c r="I579" t="s">
        <v>19</v>
      </c>
      <c r="J579">
        <v>1991</v>
      </c>
      <c r="K579">
        <v>1991</v>
      </c>
      <c r="L579" t="s">
        <v>20</v>
      </c>
      <c r="M579">
        <v>39366</v>
      </c>
      <c r="N579">
        <v>1522</v>
      </c>
    </row>
    <row r="580" spans="1:14" x14ac:dyDescent="0.35">
      <c r="A580" t="s">
        <v>618</v>
      </c>
      <c r="B580" t="s">
        <v>15</v>
      </c>
      <c r="C580" t="s">
        <v>16</v>
      </c>
      <c r="D580">
        <v>40</v>
      </c>
      <c r="E580" t="s">
        <v>612</v>
      </c>
      <c r="F580">
        <v>5419</v>
      </c>
      <c r="G580" t="s">
        <v>18</v>
      </c>
      <c r="H580">
        <v>27</v>
      </c>
      <c r="I580" t="s">
        <v>19</v>
      </c>
      <c r="J580">
        <v>1992</v>
      </c>
      <c r="K580">
        <v>1992</v>
      </c>
      <c r="L580" t="s">
        <v>20</v>
      </c>
      <c r="M580">
        <v>42044</v>
      </c>
      <c r="N580">
        <v>1522</v>
      </c>
    </row>
    <row r="581" spans="1:14" x14ac:dyDescent="0.35">
      <c r="A581" t="s">
        <v>619</v>
      </c>
      <c r="B581" t="s">
        <v>15</v>
      </c>
      <c r="C581" t="s">
        <v>16</v>
      </c>
      <c r="D581">
        <v>40</v>
      </c>
      <c r="E581" t="s">
        <v>612</v>
      </c>
      <c r="F581">
        <v>5419</v>
      </c>
      <c r="G581" t="s">
        <v>18</v>
      </c>
      <c r="H581">
        <v>27</v>
      </c>
      <c r="I581" t="s">
        <v>19</v>
      </c>
      <c r="J581">
        <v>1993</v>
      </c>
      <c r="K581">
        <v>1993</v>
      </c>
      <c r="L581" t="s">
        <v>20</v>
      </c>
      <c r="M581">
        <v>44921</v>
      </c>
      <c r="N581">
        <v>1522</v>
      </c>
    </row>
    <row r="582" spans="1:14" x14ac:dyDescent="0.35">
      <c r="A582" t="s">
        <v>620</v>
      </c>
      <c r="B582" t="s">
        <v>15</v>
      </c>
      <c r="C582" t="s">
        <v>16</v>
      </c>
      <c r="D582">
        <v>40</v>
      </c>
      <c r="E582" t="s">
        <v>612</v>
      </c>
      <c r="F582">
        <v>5419</v>
      </c>
      <c r="G582" t="s">
        <v>18</v>
      </c>
      <c r="H582">
        <v>27</v>
      </c>
      <c r="I582" t="s">
        <v>19</v>
      </c>
      <c r="J582">
        <v>1994</v>
      </c>
      <c r="K582">
        <v>1994</v>
      </c>
      <c r="L582" t="s">
        <v>20</v>
      </c>
      <c r="M582">
        <v>43834</v>
      </c>
      <c r="N582">
        <v>1522</v>
      </c>
    </row>
    <row r="583" spans="1:14" x14ac:dyDescent="0.35">
      <c r="A583" t="s">
        <v>621</v>
      </c>
      <c r="B583" t="s">
        <v>15</v>
      </c>
      <c r="C583" t="s">
        <v>16</v>
      </c>
      <c r="D583">
        <v>40</v>
      </c>
      <c r="E583" t="s">
        <v>612</v>
      </c>
      <c r="F583">
        <v>5419</v>
      </c>
      <c r="G583" t="s">
        <v>18</v>
      </c>
      <c r="H583">
        <v>27</v>
      </c>
      <c r="I583" t="s">
        <v>19</v>
      </c>
      <c r="J583">
        <v>1995</v>
      </c>
      <c r="K583">
        <v>1995</v>
      </c>
      <c r="L583" t="s">
        <v>20</v>
      </c>
      <c r="M583">
        <v>43000</v>
      </c>
      <c r="N583">
        <v>1522</v>
      </c>
    </row>
    <row r="584" spans="1:14" x14ac:dyDescent="0.35">
      <c r="A584" t="s">
        <v>622</v>
      </c>
      <c r="B584" t="s">
        <v>15</v>
      </c>
      <c r="C584" t="s">
        <v>16</v>
      </c>
      <c r="D584">
        <v>40</v>
      </c>
      <c r="E584" t="s">
        <v>612</v>
      </c>
      <c r="F584">
        <v>5419</v>
      </c>
      <c r="G584" t="s">
        <v>18</v>
      </c>
      <c r="H584">
        <v>27</v>
      </c>
      <c r="I584" t="s">
        <v>19</v>
      </c>
      <c r="J584">
        <v>1996</v>
      </c>
      <c r="K584">
        <v>1996</v>
      </c>
      <c r="L584" t="s">
        <v>20</v>
      </c>
      <c r="M584">
        <v>47704</v>
      </c>
      <c r="N584">
        <v>1522</v>
      </c>
    </row>
    <row r="585" spans="1:14" x14ac:dyDescent="0.35">
      <c r="A585" t="s">
        <v>623</v>
      </c>
      <c r="B585" t="s">
        <v>15</v>
      </c>
      <c r="C585" t="s">
        <v>16</v>
      </c>
      <c r="D585">
        <v>40</v>
      </c>
      <c r="E585" t="s">
        <v>612</v>
      </c>
      <c r="F585">
        <v>5419</v>
      </c>
      <c r="G585" t="s">
        <v>18</v>
      </c>
      <c r="H585">
        <v>27</v>
      </c>
      <c r="I585" t="s">
        <v>19</v>
      </c>
      <c r="J585">
        <v>1997</v>
      </c>
      <c r="K585">
        <v>1997</v>
      </c>
      <c r="L585" t="s">
        <v>20</v>
      </c>
      <c r="M585">
        <v>36336</v>
      </c>
      <c r="N585">
        <v>1522</v>
      </c>
    </row>
    <row r="586" spans="1:14" x14ac:dyDescent="0.35">
      <c r="A586" t="s">
        <v>624</v>
      </c>
      <c r="B586" t="s">
        <v>15</v>
      </c>
      <c r="C586" t="s">
        <v>16</v>
      </c>
      <c r="D586">
        <v>40</v>
      </c>
      <c r="E586" t="s">
        <v>612</v>
      </c>
      <c r="F586">
        <v>5419</v>
      </c>
      <c r="G586" t="s">
        <v>18</v>
      </c>
      <c r="H586">
        <v>27</v>
      </c>
      <c r="I586" t="s">
        <v>19</v>
      </c>
      <c r="J586">
        <v>1998</v>
      </c>
      <c r="K586">
        <v>1998</v>
      </c>
      <c r="L586" t="s">
        <v>20</v>
      </c>
      <c r="M586">
        <v>39089</v>
      </c>
      <c r="N586">
        <v>1522</v>
      </c>
    </row>
    <row r="587" spans="1:14" x14ac:dyDescent="0.35">
      <c r="A587" t="s">
        <v>625</v>
      </c>
      <c r="B587" t="s">
        <v>15</v>
      </c>
      <c r="C587" t="s">
        <v>16</v>
      </c>
      <c r="D587">
        <v>40</v>
      </c>
      <c r="E587" t="s">
        <v>612</v>
      </c>
      <c r="F587">
        <v>5419</v>
      </c>
      <c r="G587" t="s">
        <v>18</v>
      </c>
      <c r="H587">
        <v>27</v>
      </c>
      <c r="I587" t="s">
        <v>19</v>
      </c>
      <c r="J587">
        <v>1999</v>
      </c>
      <c r="K587">
        <v>1999</v>
      </c>
      <c r="L587" t="s">
        <v>20</v>
      </c>
      <c r="M587">
        <v>41508</v>
      </c>
      <c r="N587">
        <v>1522</v>
      </c>
    </row>
    <row r="588" spans="1:14" x14ac:dyDescent="0.35">
      <c r="A588" t="s">
        <v>626</v>
      </c>
      <c r="B588" t="s">
        <v>15</v>
      </c>
      <c r="C588" t="s">
        <v>16</v>
      </c>
      <c r="D588">
        <v>40</v>
      </c>
      <c r="E588" t="s">
        <v>612</v>
      </c>
      <c r="F588">
        <v>5419</v>
      </c>
      <c r="G588" t="s">
        <v>18</v>
      </c>
      <c r="H588">
        <v>27</v>
      </c>
      <c r="I588" t="s">
        <v>19</v>
      </c>
      <c r="J588">
        <v>2000</v>
      </c>
      <c r="K588">
        <v>2000</v>
      </c>
      <c r="L588" t="s">
        <v>20</v>
      </c>
      <c r="M588">
        <v>52414</v>
      </c>
      <c r="N588">
        <v>1522</v>
      </c>
    </row>
    <row r="589" spans="1:14" x14ac:dyDescent="0.35">
      <c r="A589" t="s">
        <v>627</v>
      </c>
      <c r="B589" t="s">
        <v>15</v>
      </c>
      <c r="C589" t="s">
        <v>16</v>
      </c>
      <c r="D589">
        <v>40</v>
      </c>
      <c r="E589" t="s">
        <v>612</v>
      </c>
      <c r="F589">
        <v>5419</v>
      </c>
      <c r="G589" t="s">
        <v>18</v>
      </c>
      <c r="H589">
        <v>27</v>
      </c>
      <c r="I589" t="s">
        <v>19</v>
      </c>
      <c r="J589">
        <v>2001</v>
      </c>
      <c r="K589">
        <v>2001</v>
      </c>
      <c r="L589" t="s">
        <v>20</v>
      </c>
      <c r="M589">
        <v>50179</v>
      </c>
      <c r="N589">
        <v>1522</v>
      </c>
    </row>
    <row r="590" spans="1:14" x14ac:dyDescent="0.35">
      <c r="A590" t="s">
        <v>628</v>
      </c>
      <c r="B590" t="s">
        <v>15</v>
      </c>
      <c r="C590" t="s">
        <v>16</v>
      </c>
      <c r="D590">
        <v>40</v>
      </c>
      <c r="E590" t="s">
        <v>612</v>
      </c>
      <c r="F590">
        <v>5419</v>
      </c>
      <c r="G590" t="s">
        <v>18</v>
      </c>
      <c r="H590">
        <v>27</v>
      </c>
      <c r="I590" t="s">
        <v>19</v>
      </c>
      <c r="J590">
        <v>2002</v>
      </c>
      <c r="K590">
        <v>2002</v>
      </c>
      <c r="L590" t="s">
        <v>20</v>
      </c>
      <c r="M590">
        <v>50724</v>
      </c>
      <c r="N590">
        <v>1522</v>
      </c>
    </row>
    <row r="591" spans="1:14" x14ac:dyDescent="0.35">
      <c r="A591" t="s">
        <v>629</v>
      </c>
      <c r="B591" t="s">
        <v>15</v>
      </c>
      <c r="C591" t="s">
        <v>16</v>
      </c>
      <c r="D591">
        <v>40</v>
      </c>
      <c r="E591" t="s">
        <v>612</v>
      </c>
      <c r="F591">
        <v>5419</v>
      </c>
      <c r="G591" t="s">
        <v>18</v>
      </c>
      <c r="H591">
        <v>27</v>
      </c>
      <c r="I591" t="s">
        <v>19</v>
      </c>
      <c r="J591">
        <v>2004</v>
      </c>
      <c r="K591">
        <v>2004</v>
      </c>
      <c r="L591" t="s">
        <v>20</v>
      </c>
      <c r="M591">
        <v>47898</v>
      </c>
      <c r="N591">
        <v>1522</v>
      </c>
    </row>
    <row r="592" spans="1:14" x14ac:dyDescent="0.35">
      <c r="A592" t="s">
        <v>630</v>
      </c>
      <c r="B592" t="s">
        <v>15</v>
      </c>
      <c r="C592" t="s">
        <v>16</v>
      </c>
      <c r="D592">
        <v>40</v>
      </c>
      <c r="E592" t="s">
        <v>612</v>
      </c>
      <c r="F592">
        <v>5419</v>
      </c>
      <c r="G592" t="s">
        <v>18</v>
      </c>
      <c r="H592">
        <v>27</v>
      </c>
      <c r="I592" t="s">
        <v>19</v>
      </c>
      <c r="J592">
        <v>2005</v>
      </c>
      <c r="K592">
        <v>2005</v>
      </c>
      <c r="L592" t="s">
        <v>20</v>
      </c>
      <c r="M592">
        <v>46677</v>
      </c>
      <c r="N592">
        <v>1522</v>
      </c>
    </row>
    <row r="593" spans="1:14" x14ac:dyDescent="0.35">
      <c r="A593" t="s">
        <v>631</v>
      </c>
      <c r="B593" t="s">
        <v>15</v>
      </c>
      <c r="C593" t="s">
        <v>16</v>
      </c>
      <c r="D593">
        <v>40</v>
      </c>
      <c r="E593" t="s">
        <v>612</v>
      </c>
      <c r="F593">
        <v>5419</v>
      </c>
      <c r="G593" t="s">
        <v>18</v>
      </c>
      <c r="H593">
        <v>27</v>
      </c>
      <c r="I593" t="s">
        <v>19</v>
      </c>
      <c r="J593">
        <v>2006</v>
      </c>
      <c r="K593">
        <v>2006</v>
      </c>
      <c r="L593" t="s">
        <v>20</v>
      </c>
      <c r="M593">
        <v>57296</v>
      </c>
      <c r="N593">
        <v>1522</v>
      </c>
    </row>
    <row r="594" spans="1:14" x14ac:dyDescent="0.35">
      <c r="A594" t="s">
        <v>632</v>
      </c>
      <c r="B594" t="s">
        <v>15</v>
      </c>
      <c r="C594" t="s">
        <v>16</v>
      </c>
      <c r="D594">
        <v>40</v>
      </c>
      <c r="E594" t="s">
        <v>612</v>
      </c>
      <c r="F594">
        <v>5419</v>
      </c>
      <c r="G594" t="s">
        <v>18</v>
      </c>
      <c r="H594">
        <v>27</v>
      </c>
      <c r="I594" t="s">
        <v>19</v>
      </c>
      <c r="J594">
        <v>2007</v>
      </c>
      <c r="K594">
        <v>2007</v>
      </c>
      <c r="L594" t="s">
        <v>20</v>
      </c>
      <c r="M594">
        <v>50663</v>
      </c>
      <c r="N594">
        <v>1522</v>
      </c>
    </row>
    <row r="595" spans="1:14" x14ac:dyDescent="0.35">
      <c r="A595" t="s">
        <v>633</v>
      </c>
      <c r="B595" t="s">
        <v>15</v>
      </c>
      <c r="C595" t="s">
        <v>16</v>
      </c>
      <c r="D595">
        <v>40</v>
      </c>
      <c r="E595" t="s">
        <v>612</v>
      </c>
      <c r="F595">
        <v>5419</v>
      </c>
      <c r="G595" t="s">
        <v>18</v>
      </c>
      <c r="H595">
        <v>27</v>
      </c>
      <c r="I595" t="s">
        <v>19</v>
      </c>
      <c r="J595">
        <v>2008</v>
      </c>
      <c r="K595">
        <v>2008</v>
      </c>
      <c r="L595" t="s">
        <v>20</v>
      </c>
      <c r="M595">
        <v>57920</v>
      </c>
      <c r="N595">
        <v>1522</v>
      </c>
    </row>
    <row r="596" spans="1:14" x14ac:dyDescent="0.35">
      <c r="A596" t="s">
        <v>634</v>
      </c>
      <c r="B596" t="s">
        <v>15</v>
      </c>
      <c r="C596" t="s">
        <v>16</v>
      </c>
      <c r="D596">
        <v>40</v>
      </c>
      <c r="E596" t="s">
        <v>612</v>
      </c>
      <c r="F596">
        <v>5419</v>
      </c>
      <c r="G596" t="s">
        <v>18</v>
      </c>
      <c r="H596">
        <v>27</v>
      </c>
      <c r="I596" t="s">
        <v>19</v>
      </c>
      <c r="J596">
        <v>2009</v>
      </c>
      <c r="K596">
        <v>2009</v>
      </c>
      <c r="L596" t="s">
        <v>20</v>
      </c>
      <c r="M596">
        <v>53763</v>
      </c>
      <c r="N596">
        <v>1522</v>
      </c>
    </row>
    <row r="597" spans="1:14" x14ac:dyDescent="0.35">
      <c r="A597" t="s">
        <v>635</v>
      </c>
      <c r="B597" t="s">
        <v>15</v>
      </c>
      <c r="C597" t="s">
        <v>16</v>
      </c>
      <c r="D597">
        <v>40</v>
      </c>
      <c r="E597" t="s">
        <v>612</v>
      </c>
      <c r="F597">
        <v>5419</v>
      </c>
      <c r="G597" t="s">
        <v>18</v>
      </c>
      <c r="H597">
        <v>27</v>
      </c>
      <c r="I597" t="s">
        <v>19</v>
      </c>
      <c r="J597">
        <v>2010</v>
      </c>
      <c r="K597">
        <v>2010</v>
      </c>
      <c r="L597" t="s">
        <v>20</v>
      </c>
      <c r="M597">
        <v>38599</v>
      </c>
      <c r="N597">
        <v>1522</v>
      </c>
    </row>
    <row r="598" spans="1:14" x14ac:dyDescent="0.35">
      <c r="A598" t="s">
        <v>636</v>
      </c>
      <c r="B598" t="s">
        <v>15</v>
      </c>
      <c r="C598" t="s">
        <v>16</v>
      </c>
      <c r="D598">
        <v>40</v>
      </c>
      <c r="E598" t="s">
        <v>612</v>
      </c>
      <c r="F598">
        <v>5419</v>
      </c>
      <c r="G598" t="s">
        <v>18</v>
      </c>
      <c r="H598">
        <v>27</v>
      </c>
      <c r="I598" t="s">
        <v>19</v>
      </c>
      <c r="J598">
        <v>2011</v>
      </c>
      <c r="K598">
        <v>2011</v>
      </c>
      <c r="L598" t="s">
        <v>20</v>
      </c>
      <c r="M598">
        <v>51899</v>
      </c>
      <c r="N598">
        <v>1522</v>
      </c>
    </row>
    <row r="599" spans="1:14" x14ac:dyDescent="0.35">
      <c r="A599" t="s">
        <v>637</v>
      </c>
      <c r="B599" t="s">
        <v>15</v>
      </c>
      <c r="C599" t="s">
        <v>16</v>
      </c>
      <c r="D599">
        <v>40</v>
      </c>
      <c r="E599" t="s">
        <v>612</v>
      </c>
      <c r="F599">
        <v>5419</v>
      </c>
      <c r="G599" t="s">
        <v>18</v>
      </c>
      <c r="H599">
        <v>27</v>
      </c>
      <c r="I599" t="s">
        <v>19</v>
      </c>
      <c r="J599">
        <v>2012</v>
      </c>
      <c r="K599">
        <v>2012</v>
      </c>
      <c r="L599" t="s">
        <v>20</v>
      </c>
      <c r="M599">
        <v>62435</v>
      </c>
      <c r="N599">
        <v>1522</v>
      </c>
    </row>
    <row r="600" spans="1:14" x14ac:dyDescent="0.35">
      <c r="A600" t="s">
        <v>638</v>
      </c>
      <c r="B600" t="s">
        <v>15</v>
      </c>
      <c r="C600" t="s">
        <v>16</v>
      </c>
      <c r="D600">
        <v>40</v>
      </c>
      <c r="E600" t="s">
        <v>612</v>
      </c>
      <c r="F600">
        <v>5419</v>
      </c>
      <c r="G600" t="s">
        <v>18</v>
      </c>
      <c r="H600">
        <v>27</v>
      </c>
      <c r="I600" t="s">
        <v>19</v>
      </c>
      <c r="J600">
        <v>2013</v>
      </c>
      <c r="K600">
        <v>2013</v>
      </c>
      <c r="L600" t="s">
        <v>20</v>
      </c>
      <c r="M600">
        <v>62051</v>
      </c>
      <c r="N600">
        <v>1522</v>
      </c>
    </row>
    <row r="601" spans="1:14" x14ac:dyDescent="0.35">
      <c r="A601" t="s">
        <v>639</v>
      </c>
      <c r="B601" t="s">
        <v>15</v>
      </c>
      <c r="C601" t="s">
        <v>16</v>
      </c>
      <c r="D601">
        <v>40</v>
      </c>
      <c r="E601" t="s">
        <v>612</v>
      </c>
      <c r="F601">
        <v>5419</v>
      </c>
      <c r="G601" t="s">
        <v>18</v>
      </c>
      <c r="H601">
        <v>27</v>
      </c>
      <c r="I601" t="s">
        <v>19</v>
      </c>
      <c r="J601">
        <v>2014</v>
      </c>
      <c r="K601">
        <v>2014</v>
      </c>
      <c r="L601" t="s">
        <v>20</v>
      </c>
      <c r="M601">
        <v>60221</v>
      </c>
      <c r="N601">
        <v>1522</v>
      </c>
    </row>
    <row r="602" spans="1:14" x14ac:dyDescent="0.35">
      <c r="A602" t="s">
        <v>640</v>
      </c>
      <c r="B602" t="s">
        <v>15</v>
      </c>
      <c r="C602" t="s">
        <v>16</v>
      </c>
      <c r="D602">
        <v>40</v>
      </c>
      <c r="E602" t="s">
        <v>612</v>
      </c>
      <c r="F602">
        <v>5419</v>
      </c>
      <c r="G602" t="s">
        <v>18</v>
      </c>
      <c r="H602">
        <v>27</v>
      </c>
      <c r="I602" t="s">
        <v>19</v>
      </c>
      <c r="J602">
        <v>2015</v>
      </c>
      <c r="K602">
        <v>2015</v>
      </c>
      <c r="L602" t="s">
        <v>20</v>
      </c>
      <c r="M602">
        <v>68972</v>
      </c>
      <c r="N602">
        <v>1522</v>
      </c>
    </row>
    <row r="603" spans="1:14" x14ac:dyDescent="0.35">
      <c r="A603" t="s">
        <v>641</v>
      </c>
      <c r="B603" t="s">
        <v>15</v>
      </c>
      <c r="C603" t="s">
        <v>16</v>
      </c>
      <c r="D603">
        <v>40</v>
      </c>
      <c r="E603" t="s">
        <v>612</v>
      </c>
      <c r="F603">
        <v>5419</v>
      </c>
      <c r="G603" t="s">
        <v>18</v>
      </c>
      <c r="H603">
        <v>27</v>
      </c>
      <c r="I603" t="s">
        <v>19</v>
      </c>
      <c r="J603">
        <v>2016</v>
      </c>
      <c r="K603">
        <v>2016</v>
      </c>
      <c r="L603" t="s">
        <v>20</v>
      </c>
      <c r="M603">
        <v>65564</v>
      </c>
      <c r="N603">
        <v>1522</v>
      </c>
    </row>
    <row r="604" spans="1:14" x14ac:dyDescent="0.35">
      <c r="A604" t="s">
        <v>642</v>
      </c>
      <c r="B604" t="s">
        <v>15</v>
      </c>
      <c r="C604" t="s">
        <v>16</v>
      </c>
      <c r="D604">
        <v>351</v>
      </c>
      <c r="E604" t="s">
        <v>643</v>
      </c>
      <c r="F604">
        <v>5419</v>
      </c>
      <c r="G604" t="s">
        <v>18</v>
      </c>
      <c r="H604">
        <v>27</v>
      </c>
      <c r="I604" t="s">
        <v>19</v>
      </c>
      <c r="J604">
        <v>1985</v>
      </c>
      <c r="K604">
        <v>1985</v>
      </c>
      <c r="L604" t="s">
        <v>20</v>
      </c>
      <c r="M604">
        <v>52498</v>
      </c>
      <c r="N604">
        <v>645</v>
      </c>
    </row>
    <row r="605" spans="1:14" x14ac:dyDescent="0.35">
      <c r="A605" t="s">
        <v>644</v>
      </c>
      <c r="B605" t="s">
        <v>15</v>
      </c>
      <c r="C605" t="s">
        <v>16</v>
      </c>
      <c r="D605">
        <v>351</v>
      </c>
      <c r="E605" t="s">
        <v>643</v>
      </c>
      <c r="F605">
        <v>5419</v>
      </c>
      <c r="G605" t="s">
        <v>18</v>
      </c>
      <c r="H605">
        <v>27</v>
      </c>
      <c r="I605" t="s">
        <v>19</v>
      </c>
      <c r="J605">
        <v>1986</v>
      </c>
      <c r="K605">
        <v>1986</v>
      </c>
      <c r="L605" t="s">
        <v>20</v>
      </c>
      <c r="M605">
        <v>53272</v>
      </c>
      <c r="N605">
        <v>645</v>
      </c>
    </row>
    <row r="606" spans="1:14" x14ac:dyDescent="0.35">
      <c r="A606" t="s">
        <v>645</v>
      </c>
      <c r="B606" t="s">
        <v>15</v>
      </c>
      <c r="C606" t="s">
        <v>16</v>
      </c>
      <c r="D606">
        <v>351</v>
      </c>
      <c r="E606" t="s">
        <v>643</v>
      </c>
      <c r="F606">
        <v>5419</v>
      </c>
      <c r="G606" t="s">
        <v>18</v>
      </c>
      <c r="H606">
        <v>27</v>
      </c>
      <c r="I606" t="s">
        <v>19</v>
      </c>
      <c r="J606">
        <v>1987</v>
      </c>
      <c r="K606">
        <v>1987</v>
      </c>
      <c r="L606" t="s">
        <v>20</v>
      </c>
      <c r="M606">
        <v>54035</v>
      </c>
      <c r="N606">
        <v>645</v>
      </c>
    </row>
    <row r="607" spans="1:14" x14ac:dyDescent="0.35">
      <c r="A607" t="s">
        <v>646</v>
      </c>
      <c r="B607" t="s">
        <v>15</v>
      </c>
      <c r="C607" t="s">
        <v>16</v>
      </c>
      <c r="D607">
        <v>351</v>
      </c>
      <c r="E607" t="s">
        <v>643</v>
      </c>
      <c r="F607">
        <v>5419</v>
      </c>
      <c r="G607" t="s">
        <v>18</v>
      </c>
      <c r="H607">
        <v>27</v>
      </c>
      <c r="I607" t="s">
        <v>19</v>
      </c>
      <c r="J607">
        <v>1989</v>
      </c>
      <c r="K607">
        <v>1989</v>
      </c>
      <c r="L607" t="s">
        <v>20</v>
      </c>
      <c r="M607">
        <v>55005</v>
      </c>
      <c r="N607">
        <v>645</v>
      </c>
    </row>
    <row r="608" spans="1:14" x14ac:dyDescent="0.35">
      <c r="A608" t="s">
        <v>647</v>
      </c>
      <c r="B608" t="s">
        <v>15</v>
      </c>
      <c r="C608" t="s">
        <v>16</v>
      </c>
      <c r="D608">
        <v>351</v>
      </c>
      <c r="E608" t="s">
        <v>643</v>
      </c>
      <c r="F608">
        <v>5419</v>
      </c>
      <c r="G608" t="s">
        <v>18</v>
      </c>
      <c r="H608">
        <v>27</v>
      </c>
      <c r="I608" t="s">
        <v>19</v>
      </c>
      <c r="J608">
        <v>1990</v>
      </c>
      <c r="K608">
        <v>1990</v>
      </c>
      <c r="L608" t="s">
        <v>20</v>
      </c>
      <c r="M608">
        <v>57166</v>
      </c>
      <c r="N608">
        <v>645</v>
      </c>
    </row>
    <row r="609" spans="1:14" x14ac:dyDescent="0.35">
      <c r="A609" t="s">
        <v>648</v>
      </c>
      <c r="B609" t="s">
        <v>15</v>
      </c>
      <c r="C609" t="s">
        <v>16</v>
      </c>
      <c r="D609">
        <v>351</v>
      </c>
      <c r="E609" t="s">
        <v>643</v>
      </c>
      <c r="F609">
        <v>5419</v>
      </c>
      <c r="G609" t="s">
        <v>18</v>
      </c>
      <c r="H609">
        <v>27</v>
      </c>
      <c r="I609" t="s">
        <v>19</v>
      </c>
      <c r="J609">
        <v>1991</v>
      </c>
      <c r="K609">
        <v>1991</v>
      </c>
      <c r="L609" t="s">
        <v>20</v>
      </c>
      <c r="M609">
        <v>56369</v>
      </c>
      <c r="N609">
        <v>645</v>
      </c>
    </row>
    <row r="610" spans="1:14" x14ac:dyDescent="0.35">
      <c r="A610" t="s">
        <v>649</v>
      </c>
      <c r="B610" t="s">
        <v>15</v>
      </c>
      <c r="C610" t="s">
        <v>16</v>
      </c>
      <c r="D610">
        <v>351</v>
      </c>
      <c r="E610" t="s">
        <v>643</v>
      </c>
      <c r="F610">
        <v>5419</v>
      </c>
      <c r="G610" t="s">
        <v>18</v>
      </c>
      <c r="H610">
        <v>27</v>
      </c>
      <c r="I610" t="s">
        <v>19</v>
      </c>
      <c r="J610">
        <v>1992</v>
      </c>
      <c r="K610">
        <v>1992</v>
      </c>
      <c r="L610" t="s">
        <v>20</v>
      </c>
      <c r="M610">
        <v>57959</v>
      </c>
      <c r="N610">
        <v>645</v>
      </c>
    </row>
    <row r="611" spans="1:14" x14ac:dyDescent="0.35">
      <c r="A611" t="s">
        <v>650</v>
      </c>
      <c r="B611" t="s">
        <v>15</v>
      </c>
      <c r="C611" t="s">
        <v>16</v>
      </c>
      <c r="D611">
        <v>351</v>
      </c>
      <c r="E611" t="s">
        <v>643</v>
      </c>
      <c r="F611">
        <v>5419</v>
      </c>
      <c r="G611" t="s">
        <v>18</v>
      </c>
      <c r="H611">
        <v>27</v>
      </c>
      <c r="I611" t="s">
        <v>19</v>
      </c>
      <c r="J611">
        <v>1993</v>
      </c>
      <c r="K611">
        <v>1993</v>
      </c>
      <c r="L611" t="s">
        <v>20</v>
      </c>
      <c r="M611">
        <v>58462</v>
      </c>
      <c r="N611">
        <v>645</v>
      </c>
    </row>
    <row r="612" spans="1:14" x14ac:dyDescent="0.35">
      <c r="A612" t="s">
        <v>651</v>
      </c>
      <c r="B612" t="s">
        <v>15</v>
      </c>
      <c r="C612" t="s">
        <v>16</v>
      </c>
      <c r="D612">
        <v>351</v>
      </c>
      <c r="E612" t="s">
        <v>643</v>
      </c>
      <c r="F612">
        <v>5419</v>
      </c>
      <c r="G612" t="s">
        <v>18</v>
      </c>
      <c r="H612">
        <v>27</v>
      </c>
      <c r="I612" t="s">
        <v>19</v>
      </c>
      <c r="J612">
        <v>1994</v>
      </c>
      <c r="K612">
        <v>1994</v>
      </c>
      <c r="L612" t="s">
        <v>20</v>
      </c>
      <c r="M612">
        <v>58288</v>
      </c>
      <c r="N612">
        <v>645</v>
      </c>
    </row>
    <row r="613" spans="1:14" x14ac:dyDescent="0.35">
      <c r="A613" t="s">
        <v>652</v>
      </c>
      <c r="B613" t="s">
        <v>15</v>
      </c>
      <c r="C613" t="s">
        <v>16</v>
      </c>
      <c r="D613">
        <v>351</v>
      </c>
      <c r="E613" t="s">
        <v>643</v>
      </c>
      <c r="F613">
        <v>5419</v>
      </c>
      <c r="G613" t="s">
        <v>18</v>
      </c>
      <c r="H613">
        <v>27</v>
      </c>
      <c r="I613" t="s">
        <v>19</v>
      </c>
      <c r="J613">
        <v>1995</v>
      </c>
      <c r="K613">
        <v>1995</v>
      </c>
      <c r="L613" t="s">
        <v>20</v>
      </c>
      <c r="M613">
        <v>60210</v>
      </c>
      <c r="N613">
        <v>645</v>
      </c>
    </row>
    <row r="614" spans="1:14" x14ac:dyDescent="0.35">
      <c r="A614" t="s">
        <v>653</v>
      </c>
      <c r="B614" t="s">
        <v>15</v>
      </c>
      <c r="C614" t="s">
        <v>16</v>
      </c>
      <c r="D614">
        <v>351</v>
      </c>
      <c r="E614" t="s">
        <v>643</v>
      </c>
      <c r="F614">
        <v>5419</v>
      </c>
      <c r="G614" t="s">
        <v>18</v>
      </c>
      <c r="H614">
        <v>27</v>
      </c>
      <c r="I614" t="s">
        <v>19</v>
      </c>
      <c r="J614">
        <v>1996</v>
      </c>
      <c r="K614">
        <v>1996</v>
      </c>
      <c r="L614" t="s">
        <v>20</v>
      </c>
      <c r="M614">
        <v>62050</v>
      </c>
      <c r="N614">
        <v>645</v>
      </c>
    </row>
    <row r="615" spans="1:14" x14ac:dyDescent="0.35">
      <c r="A615" t="s">
        <v>654</v>
      </c>
      <c r="B615" t="s">
        <v>15</v>
      </c>
      <c r="C615" t="s">
        <v>16</v>
      </c>
      <c r="D615">
        <v>351</v>
      </c>
      <c r="E615" t="s">
        <v>643</v>
      </c>
      <c r="F615">
        <v>5419</v>
      </c>
      <c r="G615" t="s">
        <v>18</v>
      </c>
      <c r="H615">
        <v>27</v>
      </c>
      <c r="I615" t="s">
        <v>19</v>
      </c>
      <c r="J615">
        <v>1997</v>
      </c>
      <c r="K615">
        <v>1997</v>
      </c>
      <c r="L615" t="s">
        <v>20</v>
      </c>
      <c r="M615">
        <v>63111</v>
      </c>
      <c r="N615">
        <v>645</v>
      </c>
    </row>
    <row r="616" spans="1:14" x14ac:dyDescent="0.35">
      <c r="A616" t="s">
        <v>655</v>
      </c>
      <c r="B616" t="s">
        <v>15</v>
      </c>
      <c r="C616" t="s">
        <v>16</v>
      </c>
      <c r="D616">
        <v>351</v>
      </c>
      <c r="E616" t="s">
        <v>643</v>
      </c>
      <c r="F616">
        <v>5419</v>
      </c>
      <c r="G616" t="s">
        <v>18</v>
      </c>
      <c r="H616">
        <v>27</v>
      </c>
      <c r="I616" t="s">
        <v>19</v>
      </c>
      <c r="J616">
        <v>1998</v>
      </c>
      <c r="K616">
        <v>1998</v>
      </c>
      <c r="L616" t="s">
        <v>20</v>
      </c>
      <c r="M616">
        <v>63529</v>
      </c>
      <c r="N616">
        <v>645</v>
      </c>
    </row>
    <row r="617" spans="1:14" x14ac:dyDescent="0.35">
      <c r="A617" t="s">
        <v>656</v>
      </c>
      <c r="B617" t="s">
        <v>15</v>
      </c>
      <c r="C617" t="s">
        <v>16</v>
      </c>
      <c r="D617">
        <v>351</v>
      </c>
      <c r="E617" t="s">
        <v>643</v>
      </c>
      <c r="F617">
        <v>5419</v>
      </c>
      <c r="G617" t="s">
        <v>18</v>
      </c>
      <c r="H617">
        <v>27</v>
      </c>
      <c r="I617" t="s">
        <v>19</v>
      </c>
      <c r="J617">
        <v>1999</v>
      </c>
      <c r="K617">
        <v>1999</v>
      </c>
      <c r="L617" t="s">
        <v>20</v>
      </c>
      <c r="M617">
        <v>63344</v>
      </c>
      <c r="N617">
        <v>645</v>
      </c>
    </row>
    <row r="618" spans="1:14" x14ac:dyDescent="0.35">
      <c r="A618" t="s">
        <v>657</v>
      </c>
      <c r="B618" t="s">
        <v>15</v>
      </c>
      <c r="C618" t="s">
        <v>16</v>
      </c>
      <c r="D618">
        <v>351</v>
      </c>
      <c r="E618" t="s">
        <v>643</v>
      </c>
      <c r="F618">
        <v>5419</v>
      </c>
      <c r="G618" t="s">
        <v>18</v>
      </c>
      <c r="H618">
        <v>27</v>
      </c>
      <c r="I618" t="s">
        <v>19</v>
      </c>
      <c r="J618">
        <v>2000</v>
      </c>
      <c r="K618">
        <v>2000</v>
      </c>
      <c r="L618" t="s">
        <v>20</v>
      </c>
      <c r="M618">
        <v>62642</v>
      </c>
      <c r="N618">
        <v>645</v>
      </c>
    </row>
    <row r="619" spans="1:14" x14ac:dyDescent="0.35">
      <c r="A619" t="s">
        <v>658</v>
      </c>
      <c r="B619" t="s">
        <v>15</v>
      </c>
      <c r="C619" t="s">
        <v>16</v>
      </c>
      <c r="D619">
        <v>351</v>
      </c>
      <c r="E619" t="s">
        <v>643</v>
      </c>
      <c r="F619">
        <v>5419</v>
      </c>
      <c r="G619" t="s">
        <v>18</v>
      </c>
      <c r="H619">
        <v>27</v>
      </c>
      <c r="I619" t="s">
        <v>19</v>
      </c>
      <c r="J619">
        <v>2001</v>
      </c>
      <c r="K619">
        <v>2001</v>
      </c>
      <c r="L619" t="s">
        <v>20</v>
      </c>
      <c r="M619">
        <v>61524</v>
      </c>
      <c r="N619">
        <v>645</v>
      </c>
    </row>
    <row r="620" spans="1:14" x14ac:dyDescent="0.35">
      <c r="A620" t="s">
        <v>659</v>
      </c>
      <c r="B620" t="s">
        <v>15</v>
      </c>
      <c r="C620" t="s">
        <v>16</v>
      </c>
      <c r="D620">
        <v>351</v>
      </c>
      <c r="E620" t="s">
        <v>643</v>
      </c>
      <c r="F620">
        <v>5419</v>
      </c>
      <c r="G620" t="s">
        <v>18</v>
      </c>
      <c r="H620">
        <v>27</v>
      </c>
      <c r="I620" t="s">
        <v>19</v>
      </c>
      <c r="J620">
        <v>2002</v>
      </c>
      <c r="K620">
        <v>2002</v>
      </c>
      <c r="L620" t="s">
        <v>20</v>
      </c>
      <c r="M620">
        <v>61855</v>
      </c>
      <c r="N620">
        <v>645</v>
      </c>
    </row>
    <row r="621" spans="1:14" x14ac:dyDescent="0.35">
      <c r="A621" t="s">
        <v>660</v>
      </c>
      <c r="B621" t="s">
        <v>15</v>
      </c>
      <c r="C621" t="s">
        <v>16</v>
      </c>
      <c r="D621">
        <v>351</v>
      </c>
      <c r="E621" t="s">
        <v>643</v>
      </c>
      <c r="F621">
        <v>5419</v>
      </c>
      <c r="G621" t="s">
        <v>18</v>
      </c>
      <c r="H621">
        <v>27</v>
      </c>
      <c r="I621" t="s">
        <v>19</v>
      </c>
      <c r="J621">
        <v>2004</v>
      </c>
      <c r="K621">
        <v>2004</v>
      </c>
      <c r="L621" t="s">
        <v>20</v>
      </c>
      <c r="M621">
        <v>63085</v>
      </c>
      <c r="N621">
        <v>645</v>
      </c>
    </row>
    <row r="622" spans="1:14" x14ac:dyDescent="0.35">
      <c r="A622" t="s">
        <v>661</v>
      </c>
      <c r="B622" t="s">
        <v>15</v>
      </c>
      <c r="C622" t="s">
        <v>16</v>
      </c>
      <c r="D622">
        <v>351</v>
      </c>
      <c r="E622" t="s">
        <v>643</v>
      </c>
      <c r="F622">
        <v>5419</v>
      </c>
      <c r="G622" t="s">
        <v>18</v>
      </c>
      <c r="H622">
        <v>27</v>
      </c>
      <c r="I622" t="s">
        <v>19</v>
      </c>
      <c r="J622">
        <v>2005</v>
      </c>
      <c r="K622">
        <v>2005</v>
      </c>
      <c r="L622" t="s">
        <v>20</v>
      </c>
      <c r="M622">
        <v>62527</v>
      </c>
      <c r="N622">
        <v>645</v>
      </c>
    </row>
    <row r="623" spans="1:14" x14ac:dyDescent="0.35">
      <c r="A623" t="s">
        <v>662</v>
      </c>
      <c r="B623" t="s">
        <v>15</v>
      </c>
      <c r="C623" t="s">
        <v>16</v>
      </c>
      <c r="D623">
        <v>351</v>
      </c>
      <c r="E623" t="s">
        <v>643</v>
      </c>
      <c r="F623">
        <v>5419</v>
      </c>
      <c r="G623" t="s">
        <v>18</v>
      </c>
      <c r="H623">
        <v>27</v>
      </c>
      <c r="I623" t="s">
        <v>19</v>
      </c>
      <c r="J623">
        <v>2006</v>
      </c>
      <c r="K623">
        <v>2006</v>
      </c>
      <c r="L623" t="s">
        <v>20</v>
      </c>
      <c r="M623">
        <v>62763</v>
      </c>
      <c r="N623">
        <v>645</v>
      </c>
    </row>
    <row r="624" spans="1:14" x14ac:dyDescent="0.35">
      <c r="A624" t="s">
        <v>663</v>
      </c>
      <c r="B624" t="s">
        <v>15</v>
      </c>
      <c r="C624" t="s">
        <v>16</v>
      </c>
      <c r="D624">
        <v>351</v>
      </c>
      <c r="E624" t="s">
        <v>643</v>
      </c>
      <c r="F624">
        <v>5419</v>
      </c>
      <c r="G624" t="s">
        <v>18</v>
      </c>
      <c r="H624">
        <v>27</v>
      </c>
      <c r="I624" t="s">
        <v>19</v>
      </c>
      <c r="J624">
        <v>2007</v>
      </c>
      <c r="K624">
        <v>2007</v>
      </c>
      <c r="L624" t="s">
        <v>20</v>
      </c>
      <c r="M624">
        <v>64223</v>
      </c>
      <c r="N624">
        <v>645</v>
      </c>
    </row>
    <row r="625" spans="1:14" x14ac:dyDescent="0.35">
      <c r="A625" t="s">
        <v>664</v>
      </c>
      <c r="B625" t="s">
        <v>15</v>
      </c>
      <c r="C625" t="s">
        <v>16</v>
      </c>
      <c r="D625">
        <v>351</v>
      </c>
      <c r="E625" t="s">
        <v>643</v>
      </c>
      <c r="F625">
        <v>5419</v>
      </c>
      <c r="G625" t="s">
        <v>18</v>
      </c>
      <c r="H625">
        <v>27</v>
      </c>
      <c r="I625" t="s">
        <v>19</v>
      </c>
      <c r="J625">
        <v>2008</v>
      </c>
      <c r="K625">
        <v>2008</v>
      </c>
      <c r="L625" t="s">
        <v>20</v>
      </c>
      <c r="M625">
        <v>65558</v>
      </c>
      <c r="N625">
        <v>645</v>
      </c>
    </row>
    <row r="626" spans="1:14" x14ac:dyDescent="0.35">
      <c r="A626" t="s">
        <v>665</v>
      </c>
      <c r="B626" t="s">
        <v>15</v>
      </c>
      <c r="C626" t="s">
        <v>16</v>
      </c>
      <c r="D626">
        <v>351</v>
      </c>
      <c r="E626" t="s">
        <v>643</v>
      </c>
      <c r="F626">
        <v>5419</v>
      </c>
      <c r="G626" t="s">
        <v>18</v>
      </c>
      <c r="H626">
        <v>27</v>
      </c>
      <c r="I626" t="s">
        <v>19</v>
      </c>
      <c r="J626">
        <v>2009</v>
      </c>
      <c r="K626">
        <v>2009</v>
      </c>
      <c r="L626" t="s">
        <v>20</v>
      </c>
      <c r="M626">
        <v>65820</v>
      </c>
      <c r="N626">
        <v>645</v>
      </c>
    </row>
    <row r="627" spans="1:14" x14ac:dyDescent="0.35">
      <c r="A627" t="s">
        <v>666</v>
      </c>
      <c r="B627" t="s">
        <v>15</v>
      </c>
      <c r="C627" t="s">
        <v>16</v>
      </c>
      <c r="D627">
        <v>351</v>
      </c>
      <c r="E627" t="s">
        <v>643</v>
      </c>
      <c r="F627">
        <v>5419</v>
      </c>
      <c r="G627" t="s">
        <v>18</v>
      </c>
      <c r="H627">
        <v>27</v>
      </c>
      <c r="I627" t="s">
        <v>19</v>
      </c>
      <c r="J627">
        <v>2010</v>
      </c>
      <c r="K627">
        <v>2010</v>
      </c>
      <c r="L627" t="s">
        <v>20</v>
      </c>
      <c r="M627">
        <v>65481</v>
      </c>
      <c r="N627">
        <v>645</v>
      </c>
    </row>
    <row r="628" spans="1:14" x14ac:dyDescent="0.35">
      <c r="A628" t="s">
        <v>667</v>
      </c>
      <c r="B628" t="s">
        <v>15</v>
      </c>
      <c r="C628" t="s">
        <v>16</v>
      </c>
      <c r="D628">
        <v>351</v>
      </c>
      <c r="E628" t="s">
        <v>643</v>
      </c>
      <c r="F628">
        <v>5419</v>
      </c>
      <c r="G628" t="s">
        <v>18</v>
      </c>
      <c r="H628">
        <v>27</v>
      </c>
      <c r="I628" t="s">
        <v>19</v>
      </c>
      <c r="J628">
        <v>2011</v>
      </c>
      <c r="K628">
        <v>2011</v>
      </c>
      <c r="L628" t="s">
        <v>20</v>
      </c>
      <c r="M628">
        <v>66862</v>
      </c>
      <c r="N628">
        <v>645</v>
      </c>
    </row>
    <row r="629" spans="1:14" x14ac:dyDescent="0.35">
      <c r="A629" t="s">
        <v>668</v>
      </c>
      <c r="B629" t="s">
        <v>15</v>
      </c>
      <c r="C629" t="s">
        <v>16</v>
      </c>
      <c r="D629">
        <v>351</v>
      </c>
      <c r="E629" t="s">
        <v>643</v>
      </c>
      <c r="F629">
        <v>5419</v>
      </c>
      <c r="G629" t="s">
        <v>18</v>
      </c>
      <c r="H629">
        <v>27</v>
      </c>
      <c r="I629" t="s">
        <v>19</v>
      </c>
      <c r="J629">
        <v>2012</v>
      </c>
      <c r="K629">
        <v>2012</v>
      </c>
      <c r="L629" t="s">
        <v>20</v>
      </c>
      <c r="M629">
        <v>67747</v>
      </c>
      <c r="N629">
        <v>645</v>
      </c>
    </row>
    <row r="630" spans="1:14" x14ac:dyDescent="0.35">
      <c r="A630" t="s">
        <v>669</v>
      </c>
      <c r="B630" t="s">
        <v>15</v>
      </c>
      <c r="C630" t="s">
        <v>16</v>
      </c>
      <c r="D630">
        <v>351</v>
      </c>
      <c r="E630" t="s">
        <v>643</v>
      </c>
      <c r="F630">
        <v>5419</v>
      </c>
      <c r="G630" t="s">
        <v>18</v>
      </c>
      <c r="H630">
        <v>27</v>
      </c>
      <c r="I630" t="s">
        <v>19</v>
      </c>
      <c r="J630">
        <v>2013</v>
      </c>
      <c r="K630">
        <v>2013</v>
      </c>
      <c r="L630" t="s">
        <v>20</v>
      </c>
      <c r="M630">
        <v>67099</v>
      </c>
      <c r="N630">
        <v>645</v>
      </c>
    </row>
    <row r="631" spans="1:14" x14ac:dyDescent="0.35">
      <c r="A631" t="s">
        <v>670</v>
      </c>
      <c r="B631" t="s">
        <v>15</v>
      </c>
      <c r="C631" t="s">
        <v>16</v>
      </c>
      <c r="D631">
        <v>351</v>
      </c>
      <c r="E631" t="s">
        <v>643</v>
      </c>
      <c r="F631">
        <v>5419</v>
      </c>
      <c r="G631" t="s">
        <v>18</v>
      </c>
      <c r="H631">
        <v>27</v>
      </c>
      <c r="I631" t="s">
        <v>19</v>
      </c>
      <c r="J631">
        <v>2014</v>
      </c>
      <c r="K631">
        <v>2014</v>
      </c>
      <c r="L631" t="s">
        <v>20</v>
      </c>
      <c r="M631">
        <v>68095</v>
      </c>
      <c r="N631">
        <v>645</v>
      </c>
    </row>
    <row r="632" spans="1:14" x14ac:dyDescent="0.35">
      <c r="A632" t="s">
        <v>671</v>
      </c>
      <c r="B632" t="s">
        <v>15</v>
      </c>
      <c r="C632" t="s">
        <v>16</v>
      </c>
      <c r="D632">
        <v>351</v>
      </c>
      <c r="E632" t="s">
        <v>643</v>
      </c>
      <c r="F632">
        <v>5419</v>
      </c>
      <c r="G632" t="s">
        <v>18</v>
      </c>
      <c r="H632">
        <v>27</v>
      </c>
      <c r="I632" t="s">
        <v>19</v>
      </c>
      <c r="J632">
        <v>2015</v>
      </c>
      <c r="K632">
        <v>2015</v>
      </c>
      <c r="L632" t="s">
        <v>20</v>
      </c>
      <c r="M632">
        <v>68864</v>
      </c>
      <c r="N632">
        <v>645</v>
      </c>
    </row>
    <row r="633" spans="1:14" x14ac:dyDescent="0.35">
      <c r="A633" t="s">
        <v>672</v>
      </c>
      <c r="B633" t="s">
        <v>15</v>
      </c>
      <c r="C633" t="s">
        <v>16</v>
      </c>
      <c r="D633">
        <v>351</v>
      </c>
      <c r="E633" t="s">
        <v>643</v>
      </c>
      <c r="F633">
        <v>5419</v>
      </c>
      <c r="G633" t="s">
        <v>18</v>
      </c>
      <c r="H633">
        <v>27</v>
      </c>
      <c r="I633" t="s">
        <v>19</v>
      </c>
      <c r="J633">
        <v>2016</v>
      </c>
      <c r="K633">
        <v>2016</v>
      </c>
      <c r="L633" t="s">
        <v>20</v>
      </c>
      <c r="M633">
        <v>69324</v>
      </c>
      <c r="N633">
        <v>645</v>
      </c>
    </row>
    <row r="634" spans="1:14" x14ac:dyDescent="0.35">
      <c r="A634" t="s">
        <v>673</v>
      </c>
      <c r="B634" t="s">
        <v>15</v>
      </c>
      <c r="C634" t="s">
        <v>16</v>
      </c>
      <c r="D634">
        <v>44</v>
      </c>
      <c r="E634" t="s">
        <v>674</v>
      </c>
      <c r="F634">
        <v>5419</v>
      </c>
      <c r="G634" t="s">
        <v>18</v>
      </c>
      <c r="H634">
        <v>27</v>
      </c>
      <c r="I634" t="s">
        <v>19</v>
      </c>
      <c r="J634">
        <v>1985</v>
      </c>
      <c r="K634">
        <v>1985</v>
      </c>
      <c r="L634" t="s">
        <v>20</v>
      </c>
      <c r="M634">
        <v>46994</v>
      </c>
      <c r="N634">
        <v>3240</v>
      </c>
    </row>
    <row r="635" spans="1:14" x14ac:dyDescent="0.35">
      <c r="A635" t="s">
        <v>675</v>
      </c>
      <c r="B635" t="s">
        <v>15</v>
      </c>
      <c r="C635" t="s">
        <v>16</v>
      </c>
      <c r="D635">
        <v>44</v>
      </c>
      <c r="E635" t="s">
        <v>674</v>
      </c>
      <c r="F635">
        <v>5419</v>
      </c>
      <c r="G635" t="s">
        <v>18</v>
      </c>
      <c r="H635">
        <v>27</v>
      </c>
      <c r="I635" t="s">
        <v>19</v>
      </c>
      <c r="J635">
        <v>1986</v>
      </c>
      <c r="K635">
        <v>1986</v>
      </c>
      <c r="L635" t="s">
        <v>20</v>
      </c>
      <c r="M635">
        <v>46774</v>
      </c>
      <c r="N635">
        <v>3240</v>
      </c>
    </row>
    <row r="636" spans="1:14" x14ac:dyDescent="0.35">
      <c r="A636" t="s">
        <v>676</v>
      </c>
      <c r="B636" t="s">
        <v>15</v>
      </c>
      <c r="C636" t="s">
        <v>16</v>
      </c>
      <c r="D636">
        <v>44</v>
      </c>
      <c r="E636" t="s">
        <v>674</v>
      </c>
      <c r="F636">
        <v>5419</v>
      </c>
      <c r="G636" t="s">
        <v>18</v>
      </c>
      <c r="H636">
        <v>27</v>
      </c>
      <c r="I636" t="s">
        <v>19</v>
      </c>
      <c r="J636">
        <v>1987</v>
      </c>
      <c r="K636">
        <v>1987</v>
      </c>
      <c r="L636" t="s">
        <v>20</v>
      </c>
      <c r="M636">
        <v>53501</v>
      </c>
      <c r="N636">
        <v>3240</v>
      </c>
    </row>
    <row r="637" spans="1:14" x14ac:dyDescent="0.35">
      <c r="A637" t="s">
        <v>677</v>
      </c>
      <c r="B637" t="s">
        <v>15</v>
      </c>
      <c r="C637" t="s">
        <v>16</v>
      </c>
      <c r="D637">
        <v>44</v>
      </c>
      <c r="E637" t="s">
        <v>674</v>
      </c>
      <c r="F637">
        <v>5419</v>
      </c>
      <c r="G637" t="s">
        <v>18</v>
      </c>
      <c r="H637">
        <v>27</v>
      </c>
      <c r="I637" t="s">
        <v>19</v>
      </c>
      <c r="J637">
        <v>1989</v>
      </c>
      <c r="K637">
        <v>1989</v>
      </c>
      <c r="L637" t="s">
        <v>20</v>
      </c>
      <c r="M637">
        <v>40748</v>
      </c>
      <c r="N637">
        <v>3240</v>
      </c>
    </row>
    <row r="638" spans="1:14" x14ac:dyDescent="0.35">
      <c r="A638" t="s">
        <v>678</v>
      </c>
      <c r="B638" t="s">
        <v>15</v>
      </c>
      <c r="C638" t="s">
        <v>16</v>
      </c>
      <c r="D638">
        <v>44</v>
      </c>
      <c r="E638" t="s">
        <v>674</v>
      </c>
      <c r="F638">
        <v>5419</v>
      </c>
      <c r="G638" t="s">
        <v>18</v>
      </c>
      <c r="H638">
        <v>27</v>
      </c>
      <c r="I638" t="s">
        <v>19</v>
      </c>
      <c r="J638">
        <v>1990</v>
      </c>
      <c r="K638">
        <v>1990</v>
      </c>
      <c r="L638" t="s">
        <v>20</v>
      </c>
      <c r="M638">
        <v>40618</v>
      </c>
      <c r="N638">
        <v>3240</v>
      </c>
    </row>
    <row r="639" spans="1:14" x14ac:dyDescent="0.35">
      <c r="A639" t="s">
        <v>679</v>
      </c>
      <c r="B639" t="s">
        <v>15</v>
      </c>
      <c r="C639" t="s">
        <v>16</v>
      </c>
      <c r="D639">
        <v>44</v>
      </c>
      <c r="E639" t="s">
        <v>674</v>
      </c>
      <c r="F639">
        <v>5419</v>
      </c>
      <c r="G639" t="s">
        <v>18</v>
      </c>
      <c r="H639">
        <v>27</v>
      </c>
      <c r="I639" t="s">
        <v>19</v>
      </c>
      <c r="J639">
        <v>1991</v>
      </c>
      <c r="K639">
        <v>1991</v>
      </c>
      <c r="L639" t="s">
        <v>20</v>
      </c>
      <c r="M639">
        <v>39959</v>
      </c>
      <c r="N639">
        <v>3240</v>
      </c>
    </row>
    <row r="640" spans="1:14" x14ac:dyDescent="0.35">
      <c r="A640" t="s">
        <v>680</v>
      </c>
      <c r="B640" t="s">
        <v>15</v>
      </c>
      <c r="C640" t="s">
        <v>16</v>
      </c>
      <c r="D640">
        <v>44</v>
      </c>
      <c r="E640" t="s">
        <v>674</v>
      </c>
      <c r="F640">
        <v>5419</v>
      </c>
      <c r="G640" t="s">
        <v>18</v>
      </c>
      <c r="H640">
        <v>27</v>
      </c>
      <c r="I640" t="s">
        <v>19</v>
      </c>
      <c r="J640">
        <v>1992</v>
      </c>
      <c r="K640">
        <v>1992</v>
      </c>
      <c r="L640" t="s">
        <v>20</v>
      </c>
      <c r="M640">
        <v>40960</v>
      </c>
      <c r="N640">
        <v>3240</v>
      </c>
    </row>
    <row r="641" spans="1:14" x14ac:dyDescent="0.35">
      <c r="A641" t="s">
        <v>681</v>
      </c>
      <c r="B641" t="s">
        <v>15</v>
      </c>
      <c r="C641" t="s">
        <v>16</v>
      </c>
      <c r="D641">
        <v>44</v>
      </c>
      <c r="E641" t="s">
        <v>674</v>
      </c>
      <c r="F641">
        <v>5419</v>
      </c>
      <c r="G641" t="s">
        <v>18</v>
      </c>
      <c r="H641">
        <v>27</v>
      </c>
      <c r="I641" t="s">
        <v>19</v>
      </c>
      <c r="J641">
        <v>1993</v>
      </c>
      <c r="K641">
        <v>1993</v>
      </c>
      <c r="L641" t="s">
        <v>20</v>
      </c>
      <c r="M641">
        <v>41202</v>
      </c>
      <c r="N641">
        <v>3240</v>
      </c>
    </row>
    <row r="642" spans="1:14" x14ac:dyDescent="0.35">
      <c r="A642" t="s">
        <v>682</v>
      </c>
      <c r="B642" t="s">
        <v>15</v>
      </c>
      <c r="C642" t="s">
        <v>16</v>
      </c>
      <c r="D642">
        <v>44</v>
      </c>
      <c r="E642" t="s">
        <v>674</v>
      </c>
      <c r="F642">
        <v>5419</v>
      </c>
      <c r="G642" t="s">
        <v>18</v>
      </c>
      <c r="H642">
        <v>27</v>
      </c>
      <c r="I642" t="s">
        <v>19</v>
      </c>
      <c r="J642">
        <v>1994</v>
      </c>
      <c r="K642">
        <v>1994</v>
      </c>
      <c r="L642" t="s">
        <v>20</v>
      </c>
      <c r="M642">
        <v>40590</v>
      </c>
      <c r="N642">
        <v>3240</v>
      </c>
    </row>
    <row r="643" spans="1:14" x14ac:dyDescent="0.35">
      <c r="A643" t="s">
        <v>683</v>
      </c>
      <c r="B643" t="s">
        <v>15</v>
      </c>
      <c r="C643" t="s">
        <v>16</v>
      </c>
      <c r="D643">
        <v>44</v>
      </c>
      <c r="E643" t="s">
        <v>674</v>
      </c>
      <c r="F643">
        <v>5419</v>
      </c>
      <c r="G643" t="s">
        <v>18</v>
      </c>
      <c r="H643">
        <v>27</v>
      </c>
      <c r="I643" t="s">
        <v>19</v>
      </c>
      <c r="J643">
        <v>1995</v>
      </c>
      <c r="K643">
        <v>1995</v>
      </c>
      <c r="L643" t="s">
        <v>20</v>
      </c>
      <c r="M643">
        <v>42840</v>
      </c>
      <c r="N643">
        <v>3240</v>
      </c>
    </row>
    <row r="644" spans="1:14" x14ac:dyDescent="0.35">
      <c r="A644" t="s">
        <v>684</v>
      </c>
      <c r="B644" t="s">
        <v>15</v>
      </c>
      <c r="C644" t="s">
        <v>16</v>
      </c>
      <c r="D644">
        <v>44</v>
      </c>
      <c r="E644" t="s">
        <v>674</v>
      </c>
      <c r="F644">
        <v>5419</v>
      </c>
      <c r="G644" t="s">
        <v>18</v>
      </c>
      <c r="H644">
        <v>27</v>
      </c>
      <c r="I644" t="s">
        <v>19</v>
      </c>
      <c r="J644">
        <v>1996</v>
      </c>
      <c r="K644">
        <v>1996</v>
      </c>
      <c r="L644" t="s">
        <v>20</v>
      </c>
      <c r="M644">
        <v>40794</v>
      </c>
      <c r="N644">
        <v>3240</v>
      </c>
    </row>
    <row r="645" spans="1:14" x14ac:dyDescent="0.35">
      <c r="A645" t="s">
        <v>685</v>
      </c>
      <c r="B645" t="s">
        <v>15</v>
      </c>
      <c r="C645" t="s">
        <v>16</v>
      </c>
      <c r="D645">
        <v>44</v>
      </c>
      <c r="E645" t="s">
        <v>674</v>
      </c>
      <c r="F645">
        <v>5419</v>
      </c>
      <c r="G645" t="s">
        <v>18</v>
      </c>
      <c r="H645">
        <v>27</v>
      </c>
      <c r="I645" t="s">
        <v>19</v>
      </c>
      <c r="J645">
        <v>1997</v>
      </c>
      <c r="K645">
        <v>1997</v>
      </c>
      <c r="L645" t="s">
        <v>20</v>
      </c>
      <c r="M645">
        <v>46445</v>
      </c>
      <c r="N645">
        <v>3240</v>
      </c>
    </row>
    <row r="646" spans="1:14" x14ac:dyDescent="0.35">
      <c r="A646" t="s">
        <v>686</v>
      </c>
      <c r="B646" t="s">
        <v>15</v>
      </c>
      <c r="C646" t="s">
        <v>16</v>
      </c>
      <c r="D646">
        <v>44</v>
      </c>
      <c r="E646" t="s">
        <v>674</v>
      </c>
      <c r="F646">
        <v>5419</v>
      </c>
      <c r="G646" t="s">
        <v>18</v>
      </c>
      <c r="H646">
        <v>27</v>
      </c>
      <c r="I646" t="s">
        <v>19</v>
      </c>
      <c r="J646">
        <v>1998</v>
      </c>
      <c r="K646">
        <v>1998</v>
      </c>
      <c r="L646" t="s">
        <v>20</v>
      </c>
      <c r="M646">
        <v>47116</v>
      </c>
      <c r="N646">
        <v>3240</v>
      </c>
    </row>
    <row r="647" spans="1:14" x14ac:dyDescent="0.35">
      <c r="A647" t="s">
        <v>687</v>
      </c>
      <c r="B647" t="s">
        <v>15</v>
      </c>
      <c r="C647" t="s">
        <v>16</v>
      </c>
      <c r="D647">
        <v>44</v>
      </c>
      <c r="E647" t="s">
        <v>674</v>
      </c>
      <c r="F647">
        <v>5419</v>
      </c>
      <c r="G647" t="s">
        <v>18</v>
      </c>
      <c r="H647">
        <v>27</v>
      </c>
      <c r="I647" t="s">
        <v>19</v>
      </c>
      <c r="J647">
        <v>1999</v>
      </c>
      <c r="K647">
        <v>1999</v>
      </c>
      <c r="L647" t="s">
        <v>20</v>
      </c>
      <c r="M647">
        <v>48009</v>
      </c>
      <c r="N647">
        <v>3240</v>
      </c>
    </row>
    <row r="648" spans="1:14" x14ac:dyDescent="0.35">
      <c r="A648" t="s">
        <v>688</v>
      </c>
      <c r="B648" t="s">
        <v>15</v>
      </c>
      <c r="C648" t="s">
        <v>16</v>
      </c>
      <c r="D648">
        <v>44</v>
      </c>
      <c r="E648" t="s">
        <v>674</v>
      </c>
      <c r="F648">
        <v>5419</v>
      </c>
      <c r="G648" t="s">
        <v>18</v>
      </c>
      <c r="H648">
        <v>27</v>
      </c>
      <c r="I648" t="s">
        <v>19</v>
      </c>
      <c r="J648">
        <v>2000</v>
      </c>
      <c r="K648">
        <v>2000</v>
      </c>
      <c r="L648" t="s">
        <v>20</v>
      </c>
      <c r="M648">
        <v>47324</v>
      </c>
      <c r="N648">
        <v>3240</v>
      </c>
    </row>
    <row r="649" spans="1:14" x14ac:dyDescent="0.35">
      <c r="A649" t="s">
        <v>689</v>
      </c>
      <c r="B649" t="s">
        <v>15</v>
      </c>
      <c r="C649" t="s">
        <v>16</v>
      </c>
      <c r="D649">
        <v>44</v>
      </c>
      <c r="E649" t="s">
        <v>674</v>
      </c>
      <c r="F649">
        <v>5419</v>
      </c>
      <c r="G649" t="s">
        <v>18</v>
      </c>
      <c r="H649">
        <v>27</v>
      </c>
      <c r="I649" t="s">
        <v>19</v>
      </c>
      <c r="J649">
        <v>2001</v>
      </c>
      <c r="K649">
        <v>2001</v>
      </c>
      <c r="L649" t="s">
        <v>20</v>
      </c>
      <c r="M649">
        <v>45472</v>
      </c>
      <c r="N649">
        <v>3240</v>
      </c>
    </row>
    <row r="650" spans="1:14" x14ac:dyDescent="0.35">
      <c r="A650" t="s">
        <v>690</v>
      </c>
      <c r="B650" t="s">
        <v>15</v>
      </c>
      <c r="C650" t="s">
        <v>16</v>
      </c>
      <c r="D650">
        <v>44</v>
      </c>
      <c r="E650" t="s">
        <v>674</v>
      </c>
      <c r="F650">
        <v>5419</v>
      </c>
      <c r="G650" t="s">
        <v>18</v>
      </c>
      <c r="H650">
        <v>27</v>
      </c>
      <c r="I650" t="s">
        <v>19</v>
      </c>
      <c r="J650">
        <v>2002</v>
      </c>
      <c r="K650">
        <v>2002</v>
      </c>
      <c r="L650" t="s">
        <v>20</v>
      </c>
      <c r="M650">
        <v>48001</v>
      </c>
      <c r="N650">
        <v>3240</v>
      </c>
    </row>
    <row r="651" spans="1:14" x14ac:dyDescent="0.35">
      <c r="A651" t="s">
        <v>691</v>
      </c>
      <c r="B651" t="s">
        <v>15</v>
      </c>
      <c r="C651" t="s">
        <v>16</v>
      </c>
      <c r="D651">
        <v>44</v>
      </c>
      <c r="E651" t="s">
        <v>674</v>
      </c>
      <c r="F651">
        <v>5419</v>
      </c>
      <c r="G651" t="s">
        <v>18</v>
      </c>
      <c r="H651">
        <v>27</v>
      </c>
      <c r="I651" t="s">
        <v>19</v>
      </c>
      <c r="J651">
        <v>2004</v>
      </c>
      <c r="K651">
        <v>2004</v>
      </c>
      <c r="L651" t="s">
        <v>20</v>
      </c>
      <c r="M651">
        <v>48038</v>
      </c>
      <c r="N651">
        <v>3240</v>
      </c>
    </row>
    <row r="652" spans="1:14" x14ac:dyDescent="0.35">
      <c r="A652" t="s">
        <v>692</v>
      </c>
      <c r="B652" t="s">
        <v>15</v>
      </c>
      <c r="C652" t="s">
        <v>16</v>
      </c>
      <c r="D652">
        <v>44</v>
      </c>
      <c r="E652" t="s">
        <v>674</v>
      </c>
      <c r="F652">
        <v>5419</v>
      </c>
      <c r="G652" t="s">
        <v>18</v>
      </c>
      <c r="H652">
        <v>27</v>
      </c>
      <c r="I652" t="s">
        <v>19</v>
      </c>
      <c r="J652">
        <v>2005</v>
      </c>
      <c r="K652">
        <v>2005</v>
      </c>
      <c r="L652" t="s">
        <v>20</v>
      </c>
      <c r="M652">
        <v>48388</v>
      </c>
      <c r="N652">
        <v>3240</v>
      </c>
    </row>
    <row r="653" spans="1:14" x14ac:dyDescent="0.35">
      <c r="A653" t="s">
        <v>693</v>
      </c>
      <c r="B653" t="s">
        <v>15</v>
      </c>
      <c r="C653" t="s">
        <v>16</v>
      </c>
      <c r="D653">
        <v>44</v>
      </c>
      <c r="E653" t="s">
        <v>674</v>
      </c>
      <c r="F653">
        <v>5419</v>
      </c>
      <c r="G653" t="s">
        <v>18</v>
      </c>
      <c r="H653">
        <v>27</v>
      </c>
      <c r="I653" t="s">
        <v>19</v>
      </c>
      <c r="J653">
        <v>2006</v>
      </c>
      <c r="K653">
        <v>2006</v>
      </c>
      <c r="L653" t="s">
        <v>20</v>
      </c>
      <c r="M653">
        <v>45717</v>
      </c>
      <c r="N653">
        <v>3240</v>
      </c>
    </row>
    <row r="654" spans="1:14" x14ac:dyDescent="0.35">
      <c r="A654" t="s">
        <v>694</v>
      </c>
      <c r="B654" t="s">
        <v>15</v>
      </c>
      <c r="C654" t="s">
        <v>16</v>
      </c>
      <c r="D654">
        <v>44</v>
      </c>
      <c r="E654" t="s">
        <v>674</v>
      </c>
      <c r="F654">
        <v>5419</v>
      </c>
      <c r="G654" t="s">
        <v>18</v>
      </c>
      <c r="H654">
        <v>27</v>
      </c>
      <c r="I654" t="s">
        <v>19</v>
      </c>
      <c r="J654">
        <v>2007</v>
      </c>
      <c r="K654">
        <v>2007</v>
      </c>
      <c r="L654" t="s">
        <v>20</v>
      </c>
      <c r="M654">
        <v>49020</v>
      </c>
      <c r="N654">
        <v>3240</v>
      </c>
    </row>
    <row r="655" spans="1:14" x14ac:dyDescent="0.35">
      <c r="A655" t="s">
        <v>695</v>
      </c>
      <c r="B655" t="s">
        <v>15</v>
      </c>
      <c r="C655" t="s">
        <v>16</v>
      </c>
      <c r="D655">
        <v>44</v>
      </c>
      <c r="E655" t="s">
        <v>674</v>
      </c>
      <c r="F655">
        <v>5419</v>
      </c>
      <c r="G655" t="s">
        <v>18</v>
      </c>
      <c r="H655">
        <v>27</v>
      </c>
      <c r="I655" t="s">
        <v>19</v>
      </c>
      <c r="J655">
        <v>2008</v>
      </c>
      <c r="K655">
        <v>2008</v>
      </c>
      <c r="L655" t="s">
        <v>20</v>
      </c>
      <c r="M655">
        <v>48887</v>
      </c>
      <c r="N655">
        <v>3240</v>
      </c>
    </row>
    <row r="656" spans="1:14" x14ac:dyDescent="0.35">
      <c r="A656" t="s">
        <v>696</v>
      </c>
      <c r="B656" t="s">
        <v>15</v>
      </c>
      <c r="C656" t="s">
        <v>16</v>
      </c>
      <c r="D656">
        <v>44</v>
      </c>
      <c r="E656" t="s">
        <v>674</v>
      </c>
      <c r="F656">
        <v>5419</v>
      </c>
      <c r="G656" t="s">
        <v>18</v>
      </c>
      <c r="H656">
        <v>27</v>
      </c>
      <c r="I656" t="s">
        <v>19</v>
      </c>
      <c r="J656">
        <v>2009</v>
      </c>
      <c r="K656">
        <v>2009</v>
      </c>
      <c r="L656" t="s">
        <v>20</v>
      </c>
      <c r="M656">
        <v>46956</v>
      </c>
      <c r="N656">
        <v>3240</v>
      </c>
    </row>
    <row r="657" spans="1:14" x14ac:dyDescent="0.35">
      <c r="A657" t="s">
        <v>697</v>
      </c>
      <c r="B657" t="s">
        <v>15</v>
      </c>
      <c r="C657" t="s">
        <v>16</v>
      </c>
      <c r="D657">
        <v>44</v>
      </c>
      <c r="E657" t="s">
        <v>674</v>
      </c>
      <c r="F657">
        <v>5419</v>
      </c>
      <c r="G657" t="s">
        <v>18</v>
      </c>
      <c r="H657">
        <v>27</v>
      </c>
      <c r="I657" t="s">
        <v>19</v>
      </c>
      <c r="J657">
        <v>2010</v>
      </c>
      <c r="K657">
        <v>2010</v>
      </c>
      <c r="L657" t="s">
        <v>20</v>
      </c>
      <c r="M657">
        <v>41223</v>
      </c>
      <c r="N657">
        <v>3240</v>
      </c>
    </row>
    <row r="658" spans="1:14" x14ac:dyDescent="0.35">
      <c r="A658" t="s">
        <v>698</v>
      </c>
      <c r="B658" t="s">
        <v>15</v>
      </c>
      <c r="C658" t="s">
        <v>16</v>
      </c>
      <c r="D658">
        <v>44</v>
      </c>
      <c r="E658" t="s">
        <v>674</v>
      </c>
      <c r="F658">
        <v>5419</v>
      </c>
      <c r="G658" t="s">
        <v>18</v>
      </c>
      <c r="H658">
        <v>27</v>
      </c>
      <c r="I658" t="s">
        <v>19</v>
      </c>
      <c r="J658">
        <v>2011</v>
      </c>
      <c r="K658">
        <v>2011</v>
      </c>
      <c r="L658" t="s">
        <v>20</v>
      </c>
      <c r="M658">
        <v>39589</v>
      </c>
      <c r="N658">
        <v>3240</v>
      </c>
    </row>
    <row r="659" spans="1:14" x14ac:dyDescent="0.35">
      <c r="A659" t="s">
        <v>699</v>
      </c>
      <c r="B659" t="s">
        <v>15</v>
      </c>
      <c r="C659" t="s">
        <v>16</v>
      </c>
      <c r="D659">
        <v>44</v>
      </c>
      <c r="E659" t="s">
        <v>674</v>
      </c>
      <c r="F659">
        <v>5419</v>
      </c>
      <c r="G659" t="s">
        <v>18</v>
      </c>
      <c r="H659">
        <v>27</v>
      </c>
      <c r="I659" t="s">
        <v>19</v>
      </c>
      <c r="J659">
        <v>2012</v>
      </c>
      <c r="K659">
        <v>2012</v>
      </c>
      <c r="L659" t="s">
        <v>20</v>
      </c>
      <c r="M659">
        <v>48066</v>
      </c>
      <c r="N659">
        <v>3240</v>
      </c>
    </row>
    <row r="660" spans="1:14" x14ac:dyDescent="0.35">
      <c r="A660" t="s">
        <v>700</v>
      </c>
      <c r="B660" t="s">
        <v>15</v>
      </c>
      <c r="C660" t="s">
        <v>16</v>
      </c>
      <c r="D660">
        <v>44</v>
      </c>
      <c r="E660" t="s">
        <v>674</v>
      </c>
      <c r="F660">
        <v>5419</v>
      </c>
      <c r="G660" t="s">
        <v>18</v>
      </c>
      <c r="H660">
        <v>27</v>
      </c>
      <c r="I660" t="s">
        <v>19</v>
      </c>
      <c r="J660">
        <v>2013</v>
      </c>
      <c r="K660">
        <v>2013</v>
      </c>
      <c r="L660" t="s">
        <v>20</v>
      </c>
      <c r="M660">
        <v>38371</v>
      </c>
      <c r="N660">
        <v>3240</v>
      </c>
    </row>
    <row r="661" spans="1:14" x14ac:dyDescent="0.35">
      <c r="A661" t="s">
        <v>701</v>
      </c>
      <c r="B661" t="s">
        <v>15</v>
      </c>
      <c r="C661" t="s">
        <v>16</v>
      </c>
      <c r="D661">
        <v>44</v>
      </c>
      <c r="E661" t="s">
        <v>674</v>
      </c>
      <c r="F661">
        <v>5419</v>
      </c>
      <c r="G661" t="s">
        <v>18</v>
      </c>
      <c r="H661">
        <v>27</v>
      </c>
      <c r="I661" t="s">
        <v>19</v>
      </c>
      <c r="J661">
        <v>2014</v>
      </c>
      <c r="K661">
        <v>2014</v>
      </c>
      <c r="L661" t="s">
        <v>20</v>
      </c>
      <c r="M661">
        <v>47836</v>
      </c>
      <c r="N661">
        <v>3240</v>
      </c>
    </row>
    <row r="662" spans="1:14" x14ac:dyDescent="0.35">
      <c r="A662" t="s">
        <v>702</v>
      </c>
      <c r="B662" t="s">
        <v>15</v>
      </c>
      <c r="C662" t="s">
        <v>16</v>
      </c>
      <c r="D662">
        <v>44</v>
      </c>
      <c r="E662" t="s">
        <v>674</v>
      </c>
      <c r="F662">
        <v>5419</v>
      </c>
      <c r="G662" t="s">
        <v>18</v>
      </c>
      <c r="H662">
        <v>27</v>
      </c>
      <c r="I662" t="s">
        <v>19</v>
      </c>
      <c r="J662">
        <v>2015</v>
      </c>
      <c r="K662">
        <v>2015</v>
      </c>
      <c r="L662" t="s">
        <v>20</v>
      </c>
      <c r="M662">
        <v>48709</v>
      </c>
      <c r="N662">
        <v>3240</v>
      </c>
    </row>
    <row r="663" spans="1:14" x14ac:dyDescent="0.35">
      <c r="A663" t="s">
        <v>703</v>
      </c>
      <c r="B663" t="s">
        <v>15</v>
      </c>
      <c r="C663" t="s">
        <v>16</v>
      </c>
      <c r="D663">
        <v>44</v>
      </c>
      <c r="E663" t="s">
        <v>674</v>
      </c>
      <c r="F663">
        <v>5419</v>
      </c>
      <c r="G663" t="s">
        <v>18</v>
      </c>
      <c r="H663">
        <v>27</v>
      </c>
      <c r="I663" t="s">
        <v>19</v>
      </c>
      <c r="J663">
        <v>2016</v>
      </c>
      <c r="K663">
        <v>2016</v>
      </c>
      <c r="L663" t="s">
        <v>20</v>
      </c>
      <c r="M663">
        <v>47109</v>
      </c>
      <c r="N663">
        <v>3240</v>
      </c>
    </row>
    <row r="664" spans="1:14" x14ac:dyDescent="0.35">
      <c r="A664" t="s">
        <v>704</v>
      </c>
      <c r="B664" t="s">
        <v>15</v>
      </c>
      <c r="C664" t="s">
        <v>16</v>
      </c>
      <c r="D664">
        <v>45</v>
      </c>
      <c r="E664" t="s">
        <v>705</v>
      </c>
      <c r="F664">
        <v>5419</v>
      </c>
      <c r="G664" t="s">
        <v>18</v>
      </c>
      <c r="H664">
        <v>27</v>
      </c>
      <c r="I664" t="s">
        <v>19</v>
      </c>
      <c r="J664">
        <v>1985</v>
      </c>
      <c r="K664">
        <v>1985</v>
      </c>
      <c r="L664" t="s">
        <v>20</v>
      </c>
      <c r="M664">
        <v>10156</v>
      </c>
      <c r="N664">
        <v>900</v>
      </c>
    </row>
    <row r="665" spans="1:14" x14ac:dyDescent="0.35">
      <c r="A665" t="s">
        <v>706</v>
      </c>
      <c r="B665" t="s">
        <v>15</v>
      </c>
      <c r="C665" t="s">
        <v>16</v>
      </c>
      <c r="D665">
        <v>45</v>
      </c>
      <c r="E665" t="s">
        <v>705</v>
      </c>
      <c r="F665">
        <v>5419</v>
      </c>
      <c r="G665" t="s">
        <v>18</v>
      </c>
      <c r="H665">
        <v>27</v>
      </c>
      <c r="I665" t="s">
        <v>19</v>
      </c>
      <c r="J665">
        <v>1986</v>
      </c>
      <c r="K665">
        <v>1986</v>
      </c>
      <c r="L665" t="s">
        <v>20</v>
      </c>
      <c r="M665">
        <v>10156</v>
      </c>
      <c r="N665">
        <v>900</v>
      </c>
    </row>
    <row r="666" spans="1:14" x14ac:dyDescent="0.35">
      <c r="A666" t="s">
        <v>707</v>
      </c>
      <c r="B666" t="s">
        <v>15</v>
      </c>
      <c r="C666" t="s">
        <v>16</v>
      </c>
      <c r="D666">
        <v>45</v>
      </c>
      <c r="E666" t="s">
        <v>705</v>
      </c>
      <c r="F666">
        <v>5419</v>
      </c>
      <c r="G666" t="s">
        <v>18</v>
      </c>
      <c r="H666">
        <v>27</v>
      </c>
      <c r="I666" t="s">
        <v>19</v>
      </c>
      <c r="J666">
        <v>1987</v>
      </c>
      <c r="K666">
        <v>1987</v>
      </c>
      <c r="L666" t="s">
        <v>20</v>
      </c>
      <c r="M666">
        <v>10156</v>
      </c>
      <c r="N666">
        <v>900</v>
      </c>
    </row>
    <row r="667" spans="1:14" x14ac:dyDescent="0.35">
      <c r="A667" t="s">
        <v>708</v>
      </c>
      <c r="B667" t="s">
        <v>15</v>
      </c>
      <c r="C667" t="s">
        <v>16</v>
      </c>
      <c r="D667">
        <v>45</v>
      </c>
      <c r="E667" t="s">
        <v>705</v>
      </c>
      <c r="F667">
        <v>5419</v>
      </c>
      <c r="G667" t="s">
        <v>18</v>
      </c>
      <c r="H667">
        <v>27</v>
      </c>
      <c r="I667" t="s">
        <v>19</v>
      </c>
      <c r="J667">
        <v>1989</v>
      </c>
      <c r="K667">
        <v>1989</v>
      </c>
      <c r="L667" t="s">
        <v>20</v>
      </c>
      <c r="M667">
        <v>11538</v>
      </c>
      <c r="N667">
        <v>900</v>
      </c>
    </row>
    <row r="668" spans="1:14" x14ac:dyDescent="0.35">
      <c r="A668" t="s">
        <v>709</v>
      </c>
      <c r="B668" t="s">
        <v>15</v>
      </c>
      <c r="C668" t="s">
        <v>16</v>
      </c>
      <c r="D668">
        <v>45</v>
      </c>
      <c r="E668" t="s">
        <v>705</v>
      </c>
      <c r="F668">
        <v>5419</v>
      </c>
      <c r="G668" t="s">
        <v>18</v>
      </c>
      <c r="H668">
        <v>27</v>
      </c>
      <c r="I668" t="s">
        <v>19</v>
      </c>
      <c r="J668">
        <v>1990</v>
      </c>
      <c r="K668">
        <v>1990</v>
      </c>
      <c r="L668" t="s">
        <v>20</v>
      </c>
      <c r="M668">
        <v>11407</v>
      </c>
      <c r="N668">
        <v>900</v>
      </c>
    </row>
    <row r="669" spans="1:14" x14ac:dyDescent="0.35">
      <c r="A669" t="s">
        <v>710</v>
      </c>
      <c r="B669" t="s">
        <v>15</v>
      </c>
      <c r="C669" t="s">
        <v>16</v>
      </c>
      <c r="D669">
        <v>45</v>
      </c>
      <c r="E669" t="s">
        <v>705</v>
      </c>
      <c r="F669">
        <v>5419</v>
      </c>
      <c r="G669" t="s">
        <v>18</v>
      </c>
      <c r="H669">
        <v>27</v>
      </c>
      <c r="I669" t="s">
        <v>19</v>
      </c>
      <c r="J669">
        <v>1991</v>
      </c>
      <c r="K669">
        <v>1991</v>
      </c>
      <c r="L669" t="s">
        <v>20</v>
      </c>
      <c r="M669">
        <v>11852</v>
      </c>
      <c r="N669">
        <v>900</v>
      </c>
    </row>
    <row r="670" spans="1:14" x14ac:dyDescent="0.35">
      <c r="A670" t="s">
        <v>711</v>
      </c>
      <c r="B670" t="s">
        <v>15</v>
      </c>
      <c r="C670" t="s">
        <v>16</v>
      </c>
      <c r="D670">
        <v>45</v>
      </c>
      <c r="E670" t="s">
        <v>705</v>
      </c>
      <c r="F670">
        <v>5419</v>
      </c>
      <c r="G670" t="s">
        <v>18</v>
      </c>
      <c r="H670">
        <v>27</v>
      </c>
      <c r="I670" t="s">
        <v>19</v>
      </c>
      <c r="J670">
        <v>1992</v>
      </c>
      <c r="K670">
        <v>1992</v>
      </c>
      <c r="L670" t="s">
        <v>20</v>
      </c>
      <c r="M670">
        <v>11786</v>
      </c>
      <c r="N670">
        <v>900</v>
      </c>
    </row>
    <row r="671" spans="1:14" x14ac:dyDescent="0.35">
      <c r="A671" t="s">
        <v>712</v>
      </c>
      <c r="B671" t="s">
        <v>15</v>
      </c>
      <c r="C671" t="s">
        <v>16</v>
      </c>
      <c r="D671">
        <v>45</v>
      </c>
      <c r="E671" t="s">
        <v>705</v>
      </c>
      <c r="F671">
        <v>5419</v>
      </c>
      <c r="G671" t="s">
        <v>18</v>
      </c>
      <c r="H671">
        <v>27</v>
      </c>
      <c r="I671" t="s">
        <v>19</v>
      </c>
      <c r="J671">
        <v>1993</v>
      </c>
      <c r="K671">
        <v>1993</v>
      </c>
      <c r="L671" t="s">
        <v>20</v>
      </c>
      <c r="M671">
        <v>11807</v>
      </c>
      <c r="N671">
        <v>900</v>
      </c>
    </row>
    <row r="672" spans="1:14" x14ac:dyDescent="0.35">
      <c r="A672" t="s">
        <v>713</v>
      </c>
      <c r="B672" t="s">
        <v>15</v>
      </c>
      <c r="C672" t="s">
        <v>16</v>
      </c>
      <c r="D672">
        <v>45</v>
      </c>
      <c r="E672" t="s">
        <v>705</v>
      </c>
      <c r="F672">
        <v>5419</v>
      </c>
      <c r="G672" t="s">
        <v>18</v>
      </c>
      <c r="H672">
        <v>27</v>
      </c>
      <c r="I672" t="s">
        <v>19</v>
      </c>
      <c r="J672">
        <v>1994</v>
      </c>
      <c r="K672">
        <v>1994</v>
      </c>
      <c r="L672" t="s">
        <v>20</v>
      </c>
      <c r="M672">
        <v>11827</v>
      </c>
      <c r="N672">
        <v>900</v>
      </c>
    </row>
    <row r="673" spans="1:14" x14ac:dyDescent="0.35">
      <c r="A673" t="s">
        <v>714</v>
      </c>
      <c r="B673" t="s">
        <v>15</v>
      </c>
      <c r="C673" t="s">
        <v>16</v>
      </c>
      <c r="D673">
        <v>45</v>
      </c>
      <c r="E673" t="s">
        <v>705</v>
      </c>
      <c r="F673">
        <v>5419</v>
      </c>
      <c r="G673" t="s">
        <v>18</v>
      </c>
      <c r="H673">
        <v>27</v>
      </c>
      <c r="I673" t="s">
        <v>19</v>
      </c>
      <c r="J673">
        <v>1995</v>
      </c>
      <c r="K673">
        <v>1995</v>
      </c>
      <c r="L673" t="s">
        <v>20</v>
      </c>
      <c r="M673">
        <v>11850</v>
      </c>
      <c r="N673">
        <v>900</v>
      </c>
    </row>
    <row r="674" spans="1:14" x14ac:dyDescent="0.35">
      <c r="A674" t="s">
        <v>715</v>
      </c>
      <c r="B674" t="s">
        <v>15</v>
      </c>
      <c r="C674" t="s">
        <v>16</v>
      </c>
      <c r="D674">
        <v>45</v>
      </c>
      <c r="E674" t="s">
        <v>705</v>
      </c>
      <c r="F674">
        <v>5419</v>
      </c>
      <c r="G674" t="s">
        <v>18</v>
      </c>
      <c r="H674">
        <v>27</v>
      </c>
      <c r="I674" t="s">
        <v>19</v>
      </c>
      <c r="J674">
        <v>1996</v>
      </c>
      <c r="K674">
        <v>1996</v>
      </c>
      <c r="L674" t="s">
        <v>20</v>
      </c>
      <c r="M674">
        <v>11876</v>
      </c>
      <c r="N674">
        <v>900</v>
      </c>
    </row>
    <row r="675" spans="1:14" x14ac:dyDescent="0.35">
      <c r="A675" t="s">
        <v>716</v>
      </c>
      <c r="B675" t="s">
        <v>15</v>
      </c>
      <c r="C675" t="s">
        <v>16</v>
      </c>
      <c r="D675">
        <v>45</v>
      </c>
      <c r="E675" t="s">
        <v>705</v>
      </c>
      <c r="F675">
        <v>5419</v>
      </c>
      <c r="G675" t="s">
        <v>18</v>
      </c>
      <c r="H675">
        <v>27</v>
      </c>
      <c r="I675" t="s">
        <v>19</v>
      </c>
      <c r="J675">
        <v>1997</v>
      </c>
      <c r="K675">
        <v>1997</v>
      </c>
      <c r="L675" t="s">
        <v>20</v>
      </c>
      <c r="M675">
        <v>11904</v>
      </c>
      <c r="N675">
        <v>900</v>
      </c>
    </row>
    <row r="676" spans="1:14" x14ac:dyDescent="0.35">
      <c r="A676" t="s">
        <v>717</v>
      </c>
      <c r="B676" t="s">
        <v>15</v>
      </c>
      <c r="C676" t="s">
        <v>16</v>
      </c>
      <c r="D676">
        <v>45</v>
      </c>
      <c r="E676" t="s">
        <v>705</v>
      </c>
      <c r="F676">
        <v>5419</v>
      </c>
      <c r="G676" t="s">
        <v>18</v>
      </c>
      <c r="H676">
        <v>27</v>
      </c>
      <c r="I676" t="s">
        <v>19</v>
      </c>
      <c r="J676">
        <v>1998</v>
      </c>
      <c r="K676">
        <v>1998</v>
      </c>
      <c r="L676" t="s">
        <v>20</v>
      </c>
      <c r="M676">
        <v>11931</v>
      </c>
      <c r="N676">
        <v>900</v>
      </c>
    </row>
    <row r="677" spans="1:14" x14ac:dyDescent="0.35">
      <c r="A677" t="s">
        <v>718</v>
      </c>
      <c r="B677" t="s">
        <v>15</v>
      </c>
      <c r="C677" t="s">
        <v>16</v>
      </c>
      <c r="D677">
        <v>45</v>
      </c>
      <c r="E677" t="s">
        <v>705</v>
      </c>
      <c r="F677">
        <v>5419</v>
      </c>
      <c r="G677" t="s">
        <v>18</v>
      </c>
      <c r="H677">
        <v>27</v>
      </c>
      <c r="I677" t="s">
        <v>19</v>
      </c>
      <c r="J677">
        <v>1999</v>
      </c>
      <c r="K677">
        <v>1999</v>
      </c>
      <c r="L677" t="s">
        <v>20</v>
      </c>
      <c r="M677">
        <v>11955</v>
      </c>
      <c r="N677">
        <v>900</v>
      </c>
    </row>
    <row r="678" spans="1:14" x14ac:dyDescent="0.35">
      <c r="A678" t="s">
        <v>719</v>
      </c>
      <c r="B678" t="s">
        <v>15</v>
      </c>
      <c r="C678" t="s">
        <v>16</v>
      </c>
      <c r="D678">
        <v>45</v>
      </c>
      <c r="E678" t="s">
        <v>705</v>
      </c>
      <c r="F678">
        <v>5419</v>
      </c>
      <c r="G678" t="s">
        <v>18</v>
      </c>
      <c r="H678">
        <v>27</v>
      </c>
      <c r="I678" t="s">
        <v>19</v>
      </c>
      <c r="J678">
        <v>2000</v>
      </c>
      <c r="K678">
        <v>2000</v>
      </c>
      <c r="L678" t="s">
        <v>20</v>
      </c>
      <c r="M678">
        <v>12020</v>
      </c>
      <c r="N678">
        <v>900</v>
      </c>
    </row>
    <row r="679" spans="1:14" x14ac:dyDescent="0.35">
      <c r="A679" t="s">
        <v>720</v>
      </c>
      <c r="B679" t="s">
        <v>15</v>
      </c>
      <c r="C679" t="s">
        <v>16</v>
      </c>
      <c r="D679">
        <v>45</v>
      </c>
      <c r="E679" t="s">
        <v>705</v>
      </c>
      <c r="F679">
        <v>5419</v>
      </c>
      <c r="G679" t="s">
        <v>18</v>
      </c>
      <c r="H679">
        <v>27</v>
      </c>
      <c r="I679" t="s">
        <v>19</v>
      </c>
      <c r="J679">
        <v>2001</v>
      </c>
      <c r="K679">
        <v>2001</v>
      </c>
      <c r="L679" t="s">
        <v>20</v>
      </c>
      <c r="M679">
        <v>12026</v>
      </c>
      <c r="N679">
        <v>900</v>
      </c>
    </row>
    <row r="680" spans="1:14" x14ac:dyDescent="0.35">
      <c r="A680" t="s">
        <v>721</v>
      </c>
      <c r="B680" t="s">
        <v>15</v>
      </c>
      <c r="C680" t="s">
        <v>16</v>
      </c>
      <c r="D680">
        <v>45</v>
      </c>
      <c r="E680" t="s">
        <v>705</v>
      </c>
      <c r="F680">
        <v>5419</v>
      </c>
      <c r="G680" t="s">
        <v>18</v>
      </c>
      <c r="H680">
        <v>27</v>
      </c>
      <c r="I680" t="s">
        <v>19</v>
      </c>
      <c r="J680">
        <v>2002</v>
      </c>
      <c r="K680">
        <v>2002</v>
      </c>
      <c r="L680" t="s">
        <v>20</v>
      </c>
      <c r="M680">
        <v>12027</v>
      </c>
      <c r="N680">
        <v>900</v>
      </c>
    </row>
    <row r="681" spans="1:14" x14ac:dyDescent="0.35">
      <c r="A681" t="s">
        <v>722</v>
      </c>
      <c r="B681" t="s">
        <v>15</v>
      </c>
      <c r="C681" t="s">
        <v>16</v>
      </c>
      <c r="D681">
        <v>45</v>
      </c>
      <c r="E681" t="s">
        <v>705</v>
      </c>
      <c r="F681">
        <v>5419</v>
      </c>
      <c r="G681" t="s">
        <v>18</v>
      </c>
      <c r="H681">
        <v>27</v>
      </c>
      <c r="I681" t="s">
        <v>19</v>
      </c>
      <c r="J681">
        <v>2004</v>
      </c>
      <c r="K681">
        <v>2004</v>
      </c>
      <c r="L681" t="s">
        <v>20</v>
      </c>
      <c r="M681">
        <v>12020</v>
      </c>
      <c r="N681">
        <v>900</v>
      </c>
    </row>
    <row r="682" spans="1:14" x14ac:dyDescent="0.35">
      <c r="A682" t="s">
        <v>723</v>
      </c>
      <c r="B682" t="s">
        <v>15</v>
      </c>
      <c r="C682" t="s">
        <v>16</v>
      </c>
      <c r="D682">
        <v>45</v>
      </c>
      <c r="E682" t="s">
        <v>705</v>
      </c>
      <c r="F682">
        <v>5419</v>
      </c>
      <c r="G682" t="s">
        <v>18</v>
      </c>
      <c r="H682">
        <v>27</v>
      </c>
      <c r="I682" t="s">
        <v>19</v>
      </c>
      <c r="J682">
        <v>2005</v>
      </c>
      <c r="K682">
        <v>2005</v>
      </c>
      <c r="L682" t="s">
        <v>20</v>
      </c>
      <c r="M682">
        <v>12000</v>
      </c>
      <c r="N682">
        <v>900</v>
      </c>
    </row>
    <row r="683" spans="1:14" x14ac:dyDescent="0.35">
      <c r="A683" t="s">
        <v>724</v>
      </c>
      <c r="B683" t="s">
        <v>15</v>
      </c>
      <c r="C683" t="s">
        <v>16</v>
      </c>
      <c r="D683">
        <v>45</v>
      </c>
      <c r="E683" t="s">
        <v>705</v>
      </c>
      <c r="F683">
        <v>5419</v>
      </c>
      <c r="G683" t="s">
        <v>18</v>
      </c>
      <c r="H683">
        <v>27</v>
      </c>
      <c r="I683" t="s">
        <v>19</v>
      </c>
      <c r="J683">
        <v>2006</v>
      </c>
      <c r="K683">
        <v>2006</v>
      </c>
      <c r="L683" t="s">
        <v>20</v>
      </c>
      <c r="M683">
        <v>11765</v>
      </c>
      <c r="N683">
        <v>900</v>
      </c>
    </row>
    <row r="684" spans="1:14" x14ac:dyDescent="0.35">
      <c r="A684" t="s">
        <v>725</v>
      </c>
      <c r="B684" t="s">
        <v>15</v>
      </c>
      <c r="C684" t="s">
        <v>16</v>
      </c>
      <c r="D684">
        <v>45</v>
      </c>
      <c r="E684" t="s">
        <v>705</v>
      </c>
      <c r="F684">
        <v>5419</v>
      </c>
      <c r="G684" t="s">
        <v>18</v>
      </c>
      <c r="H684">
        <v>27</v>
      </c>
      <c r="I684" t="s">
        <v>19</v>
      </c>
      <c r="J684">
        <v>2007</v>
      </c>
      <c r="K684">
        <v>2007</v>
      </c>
      <c r="L684" t="s">
        <v>20</v>
      </c>
      <c r="M684">
        <v>12143</v>
      </c>
      <c r="N684">
        <v>900</v>
      </c>
    </row>
    <row r="685" spans="1:14" x14ac:dyDescent="0.35">
      <c r="A685" t="s">
        <v>726</v>
      </c>
      <c r="B685" t="s">
        <v>15</v>
      </c>
      <c r="C685" t="s">
        <v>16</v>
      </c>
      <c r="D685">
        <v>45</v>
      </c>
      <c r="E685" t="s">
        <v>705</v>
      </c>
      <c r="F685">
        <v>5419</v>
      </c>
      <c r="G685" t="s">
        <v>18</v>
      </c>
      <c r="H685">
        <v>27</v>
      </c>
      <c r="I685" t="s">
        <v>19</v>
      </c>
      <c r="J685">
        <v>2008</v>
      </c>
      <c r="K685">
        <v>2008</v>
      </c>
      <c r="L685" t="s">
        <v>20</v>
      </c>
      <c r="M685">
        <v>11765</v>
      </c>
      <c r="N685">
        <v>900</v>
      </c>
    </row>
    <row r="686" spans="1:14" x14ac:dyDescent="0.35">
      <c r="A686" t="s">
        <v>727</v>
      </c>
      <c r="B686" t="s">
        <v>15</v>
      </c>
      <c r="C686" t="s">
        <v>16</v>
      </c>
      <c r="D686">
        <v>45</v>
      </c>
      <c r="E686" t="s">
        <v>705</v>
      </c>
      <c r="F686">
        <v>5419</v>
      </c>
      <c r="G686" t="s">
        <v>18</v>
      </c>
      <c r="H686">
        <v>27</v>
      </c>
      <c r="I686" t="s">
        <v>19</v>
      </c>
      <c r="J686">
        <v>2009</v>
      </c>
      <c r="K686">
        <v>2009</v>
      </c>
      <c r="L686" t="s">
        <v>20</v>
      </c>
      <c r="M686">
        <v>12151</v>
      </c>
      <c r="N686">
        <v>900</v>
      </c>
    </row>
    <row r="687" spans="1:14" x14ac:dyDescent="0.35">
      <c r="A687" t="s">
        <v>728</v>
      </c>
      <c r="B687" t="s">
        <v>15</v>
      </c>
      <c r="C687" t="s">
        <v>16</v>
      </c>
      <c r="D687">
        <v>45</v>
      </c>
      <c r="E687" t="s">
        <v>705</v>
      </c>
      <c r="F687">
        <v>5419</v>
      </c>
      <c r="G687" t="s">
        <v>18</v>
      </c>
      <c r="H687">
        <v>27</v>
      </c>
      <c r="I687" t="s">
        <v>19</v>
      </c>
      <c r="J687">
        <v>2010</v>
      </c>
      <c r="K687">
        <v>2010</v>
      </c>
      <c r="L687" t="s">
        <v>20</v>
      </c>
      <c r="M687">
        <v>12632</v>
      </c>
      <c r="N687">
        <v>900</v>
      </c>
    </row>
    <row r="688" spans="1:14" x14ac:dyDescent="0.35">
      <c r="A688" t="s">
        <v>729</v>
      </c>
      <c r="B688" t="s">
        <v>15</v>
      </c>
      <c r="C688" t="s">
        <v>16</v>
      </c>
      <c r="D688">
        <v>45</v>
      </c>
      <c r="E688" t="s">
        <v>705</v>
      </c>
      <c r="F688">
        <v>5419</v>
      </c>
      <c r="G688" t="s">
        <v>18</v>
      </c>
      <c r="H688">
        <v>27</v>
      </c>
      <c r="I688" t="s">
        <v>19</v>
      </c>
      <c r="J688">
        <v>2011</v>
      </c>
      <c r="K688">
        <v>2011</v>
      </c>
      <c r="L688" t="s">
        <v>20</v>
      </c>
      <c r="M688">
        <v>12619</v>
      </c>
      <c r="N688">
        <v>900</v>
      </c>
    </row>
    <row r="689" spans="1:14" x14ac:dyDescent="0.35">
      <c r="A689" t="s">
        <v>730</v>
      </c>
      <c r="B689" t="s">
        <v>15</v>
      </c>
      <c r="C689" t="s">
        <v>16</v>
      </c>
      <c r="D689">
        <v>45</v>
      </c>
      <c r="E689" t="s">
        <v>705</v>
      </c>
      <c r="F689">
        <v>5419</v>
      </c>
      <c r="G689" t="s">
        <v>18</v>
      </c>
      <c r="H689">
        <v>27</v>
      </c>
      <c r="I689" t="s">
        <v>19</v>
      </c>
      <c r="J689">
        <v>2012</v>
      </c>
      <c r="K689">
        <v>2012</v>
      </c>
      <c r="L689" t="s">
        <v>20</v>
      </c>
      <c r="M689">
        <v>12273</v>
      </c>
      <c r="N689">
        <v>900</v>
      </c>
    </row>
    <row r="690" spans="1:14" x14ac:dyDescent="0.35">
      <c r="A690" t="s">
        <v>731</v>
      </c>
      <c r="B690" t="s">
        <v>15</v>
      </c>
      <c r="C690" t="s">
        <v>16</v>
      </c>
      <c r="D690">
        <v>45</v>
      </c>
      <c r="E690" t="s">
        <v>705</v>
      </c>
      <c r="F690">
        <v>5419</v>
      </c>
      <c r="G690" t="s">
        <v>18</v>
      </c>
      <c r="H690">
        <v>27</v>
      </c>
      <c r="I690" t="s">
        <v>19</v>
      </c>
      <c r="J690">
        <v>2013</v>
      </c>
      <c r="K690">
        <v>2013</v>
      </c>
      <c r="L690" t="s">
        <v>20</v>
      </c>
      <c r="M690">
        <v>12889</v>
      </c>
      <c r="N690">
        <v>900</v>
      </c>
    </row>
    <row r="691" spans="1:14" x14ac:dyDescent="0.35">
      <c r="A691" t="s">
        <v>732</v>
      </c>
      <c r="B691" t="s">
        <v>15</v>
      </c>
      <c r="C691" t="s">
        <v>16</v>
      </c>
      <c r="D691">
        <v>45</v>
      </c>
      <c r="E691" t="s">
        <v>705</v>
      </c>
      <c r="F691">
        <v>5419</v>
      </c>
      <c r="G691" t="s">
        <v>18</v>
      </c>
      <c r="H691">
        <v>27</v>
      </c>
      <c r="I691" t="s">
        <v>19</v>
      </c>
      <c r="J691">
        <v>2014</v>
      </c>
      <c r="K691">
        <v>2014</v>
      </c>
      <c r="L691" t="s">
        <v>20</v>
      </c>
      <c r="M691">
        <v>12758</v>
      </c>
      <c r="N691">
        <v>900</v>
      </c>
    </row>
    <row r="692" spans="1:14" x14ac:dyDescent="0.35">
      <c r="A692" t="s">
        <v>733</v>
      </c>
      <c r="B692" t="s">
        <v>15</v>
      </c>
      <c r="C692" t="s">
        <v>16</v>
      </c>
      <c r="D692">
        <v>45</v>
      </c>
      <c r="E692" t="s">
        <v>705</v>
      </c>
      <c r="F692">
        <v>5419</v>
      </c>
      <c r="G692" t="s">
        <v>18</v>
      </c>
      <c r="H692">
        <v>27</v>
      </c>
      <c r="I692" t="s">
        <v>19</v>
      </c>
      <c r="J692">
        <v>2015</v>
      </c>
      <c r="K692">
        <v>2015</v>
      </c>
      <c r="L692" t="s">
        <v>20</v>
      </c>
      <c r="M692">
        <v>12689</v>
      </c>
      <c r="N692">
        <v>900</v>
      </c>
    </row>
    <row r="693" spans="1:14" x14ac:dyDescent="0.35">
      <c r="A693" t="s">
        <v>734</v>
      </c>
      <c r="B693" t="s">
        <v>15</v>
      </c>
      <c r="C693" t="s">
        <v>16</v>
      </c>
      <c r="D693">
        <v>45</v>
      </c>
      <c r="E693" t="s">
        <v>705</v>
      </c>
      <c r="F693">
        <v>5419</v>
      </c>
      <c r="G693" t="s">
        <v>18</v>
      </c>
      <c r="H693">
        <v>27</v>
      </c>
      <c r="I693" t="s">
        <v>19</v>
      </c>
      <c r="J693">
        <v>2016</v>
      </c>
      <c r="K693">
        <v>2016</v>
      </c>
      <c r="L693" t="s">
        <v>20</v>
      </c>
      <c r="M693">
        <v>12772</v>
      </c>
      <c r="N693">
        <v>900</v>
      </c>
    </row>
    <row r="694" spans="1:14" x14ac:dyDescent="0.35">
      <c r="A694" t="s">
        <v>735</v>
      </c>
      <c r="B694" t="s">
        <v>15</v>
      </c>
      <c r="C694" t="s">
        <v>16</v>
      </c>
      <c r="D694">
        <v>48</v>
      </c>
      <c r="E694" t="s">
        <v>736</v>
      </c>
      <c r="F694">
        <v>5419</v>
      </c>
      <c r="G694" t="s">
        <v>18</v>
      </c>
      <c r="H694">
        <v>27</v>
      </c>
      <c r="I694" t="s">
        <v>19</v>
      </c>
      <c r="J694">
        <v>1985</v>
      </c>
      <c r="K694">
        <v>1985</v>
      </c>
      <c r="L694" t="s">
        <v>20</v>
      </c>
      <c r="M694">
        <v>30352</v>
      </c>
      <c r="N694">
        <v>2926</v>
      </c>
    </row>
    <row r="695" spans="1:14" x14ac:dyDescent="0.35">
      <c r="A695" t="s">
        <v>737</v>
      </c>
      <c r="B695" t="s">
        <v>15</v>
      </c>
      <c r="C695" t="s">
        <v>16</v>
      </c>
      <c r="D695">
        <v>48</v>
      </c>
      <c r="E695" t="s">
        <v>736</v>
      </c>
      <c r="F695">
        <v>5419</v>
      </c>
      <c r="G695" t="s">
        <v>18</v>
      </c>
      <c r="H695">
        <v>27</v>
      </c>
      <c r="I695" t="s">
        <v>19</v>
      </c>
      <c r="J695">
        <v>1986</v>
      </c>
      <c r="K695">
        <v>1986</v>
      </c>
      <c r="L695" t="s">
        <v>20</v>
      </c>
      <c r="M695">
        <v>30638</v>
      </c>
      <c r="N695">
        <v>2926</v>
      </c>
    </row>
    <row r="696" spans="1:14" x14ac:dyDescent="0.35">
      <c r="A696" t="s">
        <v>738</v>
      </c>
      <c r="B696" t="s">
        <v>15</v>
      </c>
      <c r="C696" t="s">
        <v>16</v>
      </c>
      <c r="D696">
        <v>48</v>
      </c>
      <c r="E696" t="s">
        <v>736</v>
      </c>
      <c r="F696">
        <v>5419</v>
      </c>
      <c r="G696" t="s">
        <v>18</v>
      </c>
      <c r="H696">
        <v>27</v>
      </c>
      <c r="I696" t="s">
        <v>19</v>
      </c>
      <c r="J696">
        <v>1987</v>
      </c>
      <c r="K696">
        <v>1987</v>
      </c>
      <c r="L696" t="s">
        <v>20</v>
      </c>
      <c r="M696">
        <v>30281</v>
      </c>
      <c r="N696">
        <v>2926</v>
      </c>
    </row>
    <row r="697" spans="1:14" x14ac:dyDescent="0.35">
      <c r="A697" t="s">
        <v>739</v>
      </c>
      <c r="B697" t="s">
        <v>15</v>
      </c>
      <c r="C697" t="s">
        <v>16</v>
      </c>
      <c r="D697">
        <v>48</v>
      </c>
      <c r="E697" t="s">
        <v>736</v>
      </c>
      <c r="F697">
        <v>5419</v>
      </c>
      <c r="G697" t="s">
        <v>18</v>
      </c>
      <c r="H697">
        <v>27</v>
      </c>
      <c r="I697" t="s">
        <v>19</v>
      </c>
      <c r="J697">
        <v>1989</v>
      </c>
      <c r="K697">
        <v>1989</v>
      </c>
      <c r="L697" t="s">
        <v>20</v>
      </c>
      <c r="M697">
        <v>36313</v>
      </c>
      <c r="N697">
        <v>2926</v>
      </c>
    </row>
    <row r="698" spans="1:14" x14ac:dyDescent="0.35">
      <c r="A698" t="s">
        <v>740</v>
      </c>
      <c r="B698" t="s">
        <v>15</v>
      </c>
      <c r="C698" t="s">
        <v>16</v>
      </c>
      <c r="D698">
        <v>48</v>
      </c>
      <c r="E698" t="s">
        <v>736</v>
      </c>
      <c r="F698">
        <v>5419</v>
      </c>
      <c r="G698" t="s">
        <v>18</v>
      </c>
      <c r="H698">
        <v>27</v>
      </c>
      <c r="I698" t="s">
        <v>19</v>
      </c>
      <c r="J698">
        <v>1990</v>
      </c>
      <c r="K698">
        <v>1990</v>
      </c>
      <c r="L698" t="s">
        <v>20</v>
      </c>
      <c r="M698">
        <v>42823</v>
      </c>
      <c r="N698">
        <v>2926</v>
      </c>
    </row>
    <row r="699" spans="1:14" x14ac:dyDescent="0.35">
      <c r="A699" t="s">
        <v>741</v>
      </c>
      <c r="B699" t="s">
        <v>15</v>
      </c>
      <c r="C699" t="s">
        <v>16</v>
      </c>
      <c r="D699">
        <v>48</v>
      </c>
      <c r="E699" t="s">
        <v>736</v>
      </c>
      <c r="F699">
        <v>5419</v>
      </c>
      <c r="G699" t="s">
        <v>18</v>
      </c>
      <c r="H699">
        <v>27</v>
      </c>
      <c r="I699" t="s">
        <v>19</v>
      </c>
      <c r="J699">
        <v>1991</v>
      </c>
      <c r="K699">
        <v>1991</v>
      </c>
      <c r="L699" t="s">
        <v>20</v>
      </c>
      <c r="M699">
        <v>44019</v>
      </c>
      <c r="N699">
        <v>2926</v>
      </c>
    </row>
    <row r="700" spans="1:14" x14ac:dyDescent="0.35">
      <c r="A700" t="s">
        <v>742</v>
      </c>
      <c r="B700" t="s">
        <v>15</v>
      </c>
      <c r="C700" t="s">
        <v>16</v>
      </c>
      <c r="D700">
        <v>48</v>
      </c>
      <c r="E700" t="s">
        <v>736</v>
      </c>
      <c r="F700">
        <v>5419</v>
      </c>
      <c r="G700" t="s">
        <v>18</v>
      </c>
      <c r="H700">
        <v>27</v>
      </c>
      <c r="I700" t="s">
        <v>19</v>
      </c>
      <c r="J700">
        <v>1992</v>
      </c>
      <c r="K700">
        <v>1992</v>
      </c>
      <c r="L700" t="s">
        <v>20</v>
      </c>
      <c r="M700">
        <v>38418</v>
      </c>
      <c r="N700">
        <v>2926</v>
      </c>
    </row>
    <row r="701" spans="1:14" x14ac:dyDescent="0.35">
      <c r="A701" t="s">
        <v>743</v>
      </c>
      <c r="B701" t="s">
        <v>15</v>
      </c>
      <c r="C701" t="s">
        <v>16</v>
      </c>
      <c r="D701">
        <v>48</v>
      </c>
      <c r="E701" t="s">
        <v>736</v>
      </c>
      <c r="F701">
        <v>5419</v>
      </c>
      <c r="G701" t="s">
        <v>18</v>
      </c>
      <c r="H701">
        <v>27</v>
      </c>
      <c r="I701" t="s">
        <v>19</v>
      </c>
      <c r="J701">
        <v>1993</v>
      </c>
      <c r="K701">
        <v>1993</v>
      </c>
      <c r="L701" t="s">
        <v>20</v>
      </c>
      <c r="M701">
        <v>41264</v>
      </c>
      <c r="N701">
        <v>2926</v>
      </c>
    </row>
    <row r="702" spans="1:14" x14ac:dyDescent="0.35">
      <c r="A702" t="s">
        <v>744</v>
      </c>
      <c r="B702" t="s">
        <v>15</v>
      </c>
      <c r="C702" t="s">
        <v>16</v>
      </c>
      <c r="D702">
        <v>48</v>
      </c>
      <c r="E702" t="s">
        <v>736</v>
      </c>
      <c r="F702">
        <v>5419</v>
      </c>
      <c r="G702" t="s">
        <v>18</v>
      </c>
      <c r="H702">
        <v>27</v>
      </c>
      <c r="I702" t="s">
        <v>19</v>
      </c>
      <c r="J702">
        <v>1994</v>
      </c>
      <c r="K702">
        <v>1994</v>
      </c>
      <c r="L702" t="s">
        <v>20</v>
      </c>
      <c r="M702">
        <v>45875</v>
      </c>
      <c r="N702">
        <v>2926</v>
      </c>
    </row>
    <row r="703" spans="1:14" x14ac:dyDescent="0.35">
      <c r="A703" t="s">
        <v>745</v>
      </c>
      <c r="B703" t="s">
        <v>15</v>
      </c>
      <c r="C703" t="s">
        <v>16</v>
      </c>
      <c r="D703">
        <v>48</v>
      </c>
      <c r="E703" t="s">
        <v>736</v>
      </c>
      <c r="F703">
        <v>5419</v>
      </c>
      <c r="G703" t="s">
        <v>18</v>
      </c>
      <c r="H703">
        <v>27</v>
      </c>
      <c r="I703" t="s">
        <v>19</v>
      </c>
      <c r="J703">
        <v>1995</v>
      </c>
      <c r="K703">
        <v>1995</v>
      </c>
      <c r="L703" t="s">
        <v>20</v>
      </c>
      <c r="M703">
        <v>44518</v>
      </c>
      <c r="N703">
        <v>2926</v>
      </c>
    </row>
    <row r="704" spans="1:14" x14ac:dyDescent="0.35">
      <c r="A704" t="s">
        <v>746</v>
      </c>
      <c r="B704" t="s">
        <v>15</v>
      </c>
      <c r="C704" t="s">
        <v>16</v>
      </c>
      <c r="D704">
        <v>48</v>
      </c>
      <c r="E704" t="s">
        <v>736</v>
      </c>
      <c r="F704">
        <v>5419</v>
      </c>
      <c r="G704" t="s">
        <v>18</v>
      </c>
      <c r="H704">
        <v>27</v>
      </c>
      <c r="I704" t="s">
        <v>19</v>
      </c>
      <c r="J704">
        <v>1996</v>
      </c>
      <c r="K704">
        <v>1996</v>
      </c>
      <c r="L704" t="s">
        <v>20</v>
      </c>
      <c r="M704">
        <v>41102</v>
      </c>
      <c r="N704">
        <v>2926</v>
      </c>
    </row>
    <row r="705" spans="1:14" x14ac:dyDescent="0.35">
      <c r="A705" t="s">
        <v>747</v>
      </c>
      <c r="B705" t="s">
        <v>15</v>
      </c>
      <c r="C705" t="s">
        <v>16</v>
      </c>
      <c r="D705">
        <v>48</v>
      </c>
      <c r="E705" t="s">
        <v>736</v>
      </c>
      <c r="F705">
        <v>5419</v>
      </c>
      <c r="G705" t="s">
        <v>18</v>
      </c>
      <c r="H705">
        <v>27</v>
      </c>
      <c r="I705" t="s">
        <v>19</v>
      </c>
      <c r="J705">
        <v>1997</v>
      </c>
      <c r="K705">
        <v>1997</v>
      </c>
      <c r="L705" t="s">
        <v>20</v>
      </c>
      <c r="M705">
        <v>43652</v>
      </c>
      <c r="N705">
        <v>2926</v>
      </c>
    </row>
    <row r="706" spans="1:14" x14ac:dyDescent="0.35">
      <c r="A706" t="s">
        <v>748</v>
      </c>
      <c r="B706" t="s">
        <v>15</v>
      </c>
      <c r="C706" t="s">
        <v>16</v>
      </c>
      <c r="D706">
        <v>48</v>
      </c>
      <c r="E706" t="s">
        <v>736</v>
      </c>
      <c r="F706">
        <v>5419</v>
      </c>
      <c r="G706" t="s">
        <v>18</v>
      </c>
      <c r="H706">
        <v>27</v>
      </c>
      <c r="I706" t="s">
        <v>19</v>
      </c>
      <c r="J706">
        <v>1998</v>
      </c>
      <c r="K706">
        <v>1998</v>
      </c>
      <c r="L706" t="s">
        <v>20</v>
      </c>
      <c r="M706">
        <v>42668</v>
      </c>
      <c r="N706">
        <v>2926</v>
      </c>
    </row>
    <row r="707" spans="1:14" x14ac:dyDescent="0.35">
      <c r="A707" t="s">
        <v>749</v>
      </c>
      <c r="B707" t="s">
        <v>15</v>
      </c>
      <c r="C707" t="s">
        <v>16</v>
      </c>
      <c r="D707">
        <v>48</v>
      </c>
      <c r="E707" t="s">
        <v>736</v>
      </c>
      <c r="F707">
        <v>5419</v>
      </c>
      <c r="G707" t="s">
        <v>18</v>
      </c>
      <c r="H707">
        <v>27</v>
      </c>
      <c r="I707" t="s">
        <v>19</v>
      </c>
      <c r="J707">
        <v>1999</v>
      </c>
      <c r="K707">
        <v>1999</v>
      </c>
      <c r="L707" t="s">
        <v>20</v>
      </c>
      <c r="M707">
        <v>40875</v>
      </c>
      <c r="N707">
        <v>2926</v>
      </c>
    </row>
    <row r="708" spans="1:14" x14ac:dyDescent="0.35">
      <c r="A708" t="s">
        <v>750</v>
      </c>
      <c r="B708" t="s">
        <v>15</v>
      </c>
      <c r="C708" t="s">
        <v>16</v>
      </c>
      <c r="D708">
        <v>48</v>
      </c>
      <c r="E708" t="s">
        <v>736</v>
      </c>
      <c r="F708">
        <v>5419</v>
      </c>
      <c r="G708" t="s">
        <v>18</v>
      </c>
      <c r="H708">
        <v>27</v>
      </c>
      <c r="I708" t="s">
        <v>19</v>
      </c>
      <c r="J708">
        <v>2000</v>
      </c>
      <c r="K708">
        <v>2000</v>
      </c>
      <c r="L708" t="s">
        <v>20</v>
      </c>
      <c r="M708">
        <v>38975</v>
      </c>
      <c r="N708">
        <v>2926</v>
      </c>
    </row>
    <row r="709" spans="1:14" x14ac:dyDescent="0.35">
      <c r="A709" t="s">
        <v>751</v>
      </c>
      <c r="B709" t="s">
        <v>15</v>
      </c>
      <c r="C709" t="s">
        <v>16</v>
      </c>
      <c r="D709">
        <v>48</v>
      </c>
      <c r="E709" t="s">
        <v>736</v>
      </c>
      <c r="F709">
        <v>5419</v>
      </c>
      <c r="G709" t="s">
        <v>18</v>
      </c>
      <c r="H709">
        <v>27</v>
      </c>
      <c r="I709" t="s">
        <v>19</v>
      </c>
      <c r="J709">
        <v>2001</v>
      </c>
      <c r="K709">
        <v>2001</v>
      </c>
      <c r="L709" t="s">
        <v>20</v>
      </c>
      <c r="M709">
        <v>38039</v>
      </c>
      <c r="N709">
        <v>2926</v>
      </c>
    </row>
    <row r="710" spans="1:14" x14ac:dyDescent="0.35">
      <c r="A710" t="s">
        <v>752</v>
      </c>
      <c r="B710" t="s">
        <v>15</v>
      </c>
      <c r="C710" t="s">
        <v>16</v>
      </c>
      <c r="D710">
        <v>48</v>
      </c>
      <c r="E710" t="s">
        <v>736</v>
      </c>
      <c r="F710">
        <v>5419</v>
      </c>
      <c r="G710" t="s">
        <v>18</v>
      </c>
      <c r="H710">
        <v>27</v>
      </c>
      <c r="I710" t="s">
        <v>19</v>
      </c>
      <c r="J710">
        <v>2002</v>
      </c>
      <c r="K710">
        <v>2002</v>
      </c>
      <c r="L710" t="s">
        <v>20</v>
      </c>
      <c r="M710">
        <v>39623</v>
      </c>
      <c r="N710">
        <v>2926</v>
      </c>
    </row>
    <row r="711" spans="1:14" x14ac:dyDescent="0.35">
      <c r="A711" t="s">
        <v>753</v>
      </c>
      <c r="B711" t="s">
        <v>15</v>
      </c>
      <c r="C711" t="s">
        <v>16</v>
      </c>
      <c r="D711">
        <v>48</v>
      </c>
      <c r="E711" t="s">
        <v>736</v>
      </c>
      <c r="F711">
        <v>5419</v>
      </c>
      <c r="G711" t="s">
        <v>18</v>
      </c>
      <c r="H711">
        <v>27</v>
      </c>
      <c r="I711" t="s">
        <v>19</v>
      </c>
      <c r="J711">
        <v>2004</v>
      </c>
      <c r="K711">
        <v>2004</v>
      </c>
      <c r="L711" t="s">
        <v>20</v>
      </c>
      <c r="M711">
        <v>31749</v>
      </c>
      <c r="N711">
        <v>2926</v>
      </c>
    </row>
    <row r="712" spans="1:14" x14ac:dyDescent="0.35">
      <c r="A712" t="s">
        <v>754</v>
      </c>
      <c r="B712" t="s">
        <v>15</v>
      </c>
      <c r="C712" t="s">
        <v>16</v>
      </c>
      <c r="D712">
        <v>48</v>
      </c>
      <c r="E712" t="s">
        <v>736</v>
      </c>
      <c r="F712">
        <v>5419</v>
      </c>
      <c r="G712" t="s">
        <v>18</v>
      </c>
      <c r="H712">
        <v>27</v>
      </c>
      <c r="I712" t="s">
        <v>19</v>
      </c>
      <c r="J712">
        <v>2005</v>
      </c>
      <c r="K712">
        <v>2005</v>
      </c>
      <c r="L712" t="s">
        <v>20</v>
      </c>
      <c r="M712">
        <v>33169</v>
      </c>
      <c r="N712">
        <v>2926</v>
      </c>
    </row>
    <row r="713" spans="1:14" x14ac:dyDescent="0.35">
      <c r="A713" t="s">
        <v>755</v>
      </c>
      <c r="B713" t="s">
        <v>15</v>
      </c>
      <c r="C713" t="s">
        <v>16</v>
      </c>
      <c r="D713">
        <v>48</v>
      </c>
      <c r="E713" t="s">
        <v>736</v>
      </c>
      <c r="F713">
        <v>5419</v>
      </c>
      <c r="G713" t="s">
        <v>18</v>
      </c>
      <c r="H713">
        <v>27</v>
      </c>
      <c r="I713" t="s">
        <v>19</v>
      </c>
      <c r="J713">
        <v>2006</v>
      </c>
      <c r="K713">
        <v>2006</v>
      </c>
      <c r="L713" t="s">
        <v>20</v>
      </c>
      <c r="M713">
        <v>39744</v>
      </c>
      <c r="N713">
        <v>2926</v>
      </c>
    </row>
    <row r="714" spans="1:14" x14ac:dyDescent="0.35">
      <c r="A714" t="s">
        <v>756</v>
      </c>
      <c r="B714" t="s">
        <v>15</v>
      </c>
      <c r="C714" t="s">
        <v>16</v>
      </c>
      <c r="D714">
        <v>48</v>
      </c>
      <c r="E714" t="s">
        <v>736</v>
      </c>
      <c r="F714">
        <v>5419</v>
      </c>
      <c r="G714" t="s">
        <v>18</v>
      </c>
      <c r="H714">
        <v>27</v>
      </c>
      <c r="I714" t="s">
        <v>19</v>
      </c>
      <c r="J714">
        <v>2007</v>
      </c>
      <c r="K714">
        <v>2007</v>
      </c>
      <c r="L714" t="s">
        <v>20</v>
      </c>
      <c r="M714">
        <v>38036</v>
      </c>
      <c r="N714">
        <v>2926</v>
      </c>
    </row>
    <row r="715" spans="1:14" x14ac:dyDescent="0.35">
      <c r="A715" t="s">
        <v>757</v>
      </c>
      <c r="B715" t="s">
        <v>15</v>
      </c>
      <c r="C715" t="s">
        <v>16</v>
      </c>
      <c r="D715">
        <v>48</v>
      </c>
      <c r="E715" t="s">
        <v>736</v>
      </c>
      <c r="F715">
        <v>5419</v>
      </c>
      <c r="G715" t="s">
        <v>18</v>
      </c>
      <c r="H715">
        <v>27</v>
      </c>
      <c r="I715" t="s">
        <v>19</v>
      </c>
      <c r="J715">
        <v>2008</v>
      </c>
      <c r="K715">
        <v>2008</v>
      </c>
      <c r="L715" t="s">
        <v>20</v>
      </c>
      <c r="M715">
        <v>40974</v>
      </c>
      <c r="N715">
        <v>2926</v>
      </c>
    </row>
    <row r="716" spans="1:14" x14ac:dyDescent="0.35">
      <c r="A716" t="s">
        <v>758</v>
      </c>
      <c r="B716" t="s">
        <v>15</v>
      </c>
      <c r="C716" t="s">
        <v>16</v>
      </c>
      <c r="D716">
        <v>48</v>
      </c>
      <c r="E716" t="s">
        <v>736</v>
      </c>
      <c r="F716">
        <v>5419</v>
      </c>
      <c r="G716" t="s">
        <v>18</v>
      </c>
      <c r="H716">
        <v>27</v>
      </c>
      <c r="I716" t="s">
        <v>19</v>
      </c>
      <c r="J716">
        <v>2009</v>
      </c>
      <c r="K716">
        <v>2009</v>
      </c>
      <c r="L716" t="s">
        <v>20</v>
      </c>
      <c r="M716">
        <v>41001</v>
      </c>
      <c r="N716">
        <v>2926</v>
      </c>
    </row>
    <row r="717" spans="1:14" x14ac:dyDescent="0.35">
      <c r="A717" t="s">
        <v>759</v>
      </c>
      <c r="B717" t="s">
        <v>15</v>
      </c>
      <c r="C717" t="s">
        <v>16</v>
      </c>
      <c r="D717">
        <v>48</v>
      </c>
      <c r="E717" t="s">
        <v>736</v>
      </c>
      <c r="F717">
        <v>5419</v>
      </c>
      <c r="G717" t="s">
        <v>18</v>
      </c>
      <c r="H717">
        <v>27</v>
      </c>
      <c r="I717" t="s">
        <v>19</v>
      </c>
      <c r="J717">
        <v>2010</v>
      </c>
      <c r="K717">
        <v>2010</v>
      </c>
      <c r="L717" t="s">
        <v>20</v>
      </c>
      <c r="M717">
        <v>33485</v>
      </c>
      <c r="N717">
        <v>2926</v>
      </c>
    </row>
    <row r="718" spans="1:14" x14ac:dyDescent="0.35">
      <c r="A718" t="s">
        <v>760</v>
      </c>
      <c r="B718" t="s">
        <v>15</v>
      </c>
      <c r="C718" t="s">
        <v>16</v>
      </c>
      <c r="D718">
        <v>48</v>
      </c>
      <c r="E718" t="s">
        <v>736</v>
      </c>
      <c r="F718">
        <v>5419</v>
      </c>
      <c r="G718" t="s">
        <v>18</v>
      </c>
      <c r="H718">
        <v>27</v>
      </c>
      <c r="I718" t="s">
        <v>19</v>
      </c>
      <c r="J718">
        <v>2011</v>
      </c>
      <c r="K718">
        <v>2011</v>
      </c>
      <c r="L718" t="s">
        <v>20</v>
      </c>
      <c r="M718">
        <v>35402</v>
      </c>
      <c r="N718">
        <v>2926</v>
      </c>
    </row>
    <row r="719" spans="1:14" x14ac:dyDescent="0.35">
      <c r="A719" t="s">
        <v>761</v>
      </c>
      <c r="B719" t="s">
        <v>15</v>
      </c>
      <c r="C719" t="s">
        <v>16</v>
      </c>
      <c r="D719">
        <v>48</v>
      </c>
      <c r="E719" t="s">
        <v>736</v>
      </c>
      <c r="F719">
        <v>5419</v>
      </c>
      <c r="G719" t="s">
        <v>18</v>
      </c>
      <c r="H719">
        <v>27</v>
      </c>
      <c r="I719" t="s">
        <v>19</v>
      </c>
      <c r="J719">
        <v>2012</v>
      </c>
      <c r="K719">
        <v>2012</v>
      </c>
      <c r="L719" t="s">
        <v>20</v>
      </c>
      <c r="M719">
        <v>37933</v>
      </c>
      <c r="N719">
        <v>2926</v>
      </c>
    </row>
    <row r="720" spans="1:14" x14ac:dyDescent="0.35">
      <c r="A720" t="s">
        <v>762</v>
      </c>
      <c r="B720" t="s">
        <v>15</v>
      </c>
      <c r="C720" t="s">
        <v>16</v>
      </c>
      <c r="D720">
        <v>48</v>
      </c>
      <c r="E720" t="s">
        <v>736</v>
      </c>
      <c r="F720">
        <v>5419</v>
      </c>
      <c r="G720" t="s">
        <v>18</v>
      </c>
      <c r="H720">
        <v>27</v>
      </c>
      <c r="I720" t="s">
        <v>19</v>
      </c>
      <c r="J720">
        <v>2013</v>
      </c>
      <c r="K720">
        <v>2013</v>
      </c>
      <c r="L720" t="s">
        <v>20</v>
      </c>
      <c r="M720">
        <v>33822</v>
      </c>
      <c r="N720">
        <v>2926</v>
      </c>
    </row>
    <row r="721" spans="1:14" x14ac:dyDescent="0.35">
      <c r="A721" t="s">
        <v>763</v>
      </c>
      <c r="B721" t="s">
        <v>15</v>
      </c>
      <c r="C721" t="s">
        <v>16</v>
      </c>
      <c r="D721">
        <v>48</v>
      </c>
      <c r="E721" t="s">
        <v>736</v>
      </c>
      <c r="F721">
        <v>5419</v>
      </c>
      <c r="G721" t="s">
        <v>18</v>
      </c>
      <c r="H721">
        <v>27</v>
      </c>
      <c r="I721" t="s">
        <v>19</v>
      </c>
      <c r="J721">
        <v>2014</v>
      </c>
      <c r="K721">
        <v>2014</v>
      </c>
      <c r="L721" t="s">
        <v>20</v>
      </c>
      <c r="M721">
        <v>48799</v>
      </c>
      <c r="N721">
        <v>2926</v>
      </c>
    </row>
    <row r="722" spans="1:14" x14ac:dyDescent="0.35">
      <c r="A722" t="s">
        <v>764</v>
      </c>
      <c r="B722" t="s">
        <v>15</v>
      </c>
      <c r="C722" t="s">
        <v>16</v>
      </c>
      <c r="D722">
        <v>48</v>
      </c>
      <c r="E722" t="s">
        <v>736</v>
      </c>
      <c r="F722">
        <v>5419</v>
      </c>
      <c r="G722" t="s">
        <v>18</v>
      </c>
      <c r="H722">
        <v>27</v>
      </c>
      <c r="I722" t="s">
        <v>19</v>
      </c>
      <c r="J722">
        <v>2015</v>
      </c>
      <c r="K722">
        <v>2015</v>
      </c>
      <c r="L722" t="s">
        <v>20</v>
      </c>
      <c r="M722">
        <v>40029</v>
      </c>
      <c r="N722">
        <v>2926</v>
      </c>
    </row>
    <row r="723" spans="1:14" x14ac:dyDescent="0.35">
      <c r="A723" t="s">
        <v>765</v>
      </c>
      <c r="B723" t="s">
        <v>15</v>
      </c>
      <c r="C723" t="s">
        <v>16</v>
      </c>
      <c r="D723">
        <v>48</v>
      </c>
      <c r="E723" t="s">
        <v>736</v>
      </c>
      <c r="F723">
        <v>5419</v>
      </c>
      <c r="G723" t="s">
        <v>18</v>
      </c>
      <c r="H723">
        <v>27</v>
      </c>
      <c r="I723" t="s">
        <v>19</v>
      </c>
      <c r="J723">
        <v>2016</v>
      </c>
      <c r="K723">
        <v>2016</v>
      </c>
      <c r="L723" t="s">
        <v>20</v>
      </c>
      <c r="M723">
        <v>42396</v>
      </c>
      <c r="N723">
        <v>2926</v>
      </c>
    </row>
    <row r="724" spans="1:14" x14ac:dyDescent="0.35">
      <c r="A724" t="s">
        <v>766</v>
      </c>
      <c r="B724" t="s">
        <v>15</v>
      </c>
      <c r="C724" t="s">
        <v>16</v>
      </c>
      <c r="D724">
        <v>49</v>
      </c>
      <c r="E724" t="s">
        <v>767</v>
      </c>
      <c r="F724">
        <v>5419</v>
      </c>
      <c r="G724" t="s">
        <v>18</v>
      </c>
      <c r="H724">
        <v>27</v>
      </c>
      <c r="I724" t="s">
        <v>19</v>
      </c>
      <c r="J724">
        <v>1985</v>
      </c>
      <c r="K724">
        <v>1985</v>
      </c>
      <c r="L724" t="s">
        <v>20</v>
      </c>
      <c r="M724">
        <v>32935</v>
      </c>
      <c r="N724">
        <v>1335</v>
      </c>
    </row>
    <row r="725" spans="1:14" x14ac:dyDescent="0.35">
      <c r="A725" t="s">
        <v>768</v>
      </c>
      <c r="B725" t="s">
        <v>15</v>
      </c>
      <c r="C725" t="s">
        <v>16</v>
      </c>
      <c r="D725">
        <v>49</v>
      </c>
      <c r="E725" t="s">
        <v>767</v>
      </c>
      <c r="F725">
        <v>5419</v>
      </c>
      <c r="G725" t="s">
        <v>18</v>
      </c>
      <c r="H725">
        <v>27</v>
      </c>
      <c r="I725" t="s">
        <v>19</v>
      </c>
      <c r="J725">
        <v>1986</v>
      </c>
      <c r="K725">
        <v>1986</v>
      </c>
      <c r="L725" t="s">
        <v>20</v>
      </c>
      <c r="M725">
        <v>33442</v>
      </c>
      <c r="N725">
        <v>1335</v>
      </c>
    </row>
    <row r="726" spans="1:14" x14ac:dyDescent="0.35">
      <c r="A726" t="s">
        <v>769</v>
      </c>
      <c r="B726" t="s">
        <v>15</v>
      </c>
      <c r="C726" t="s">
        <v>16</v>
      </c>
      <c r="D726">
        <v>49</v>
      </c>
      <c r="E726" t="s">
        <v>767</v>
      </c>
      <c r="F726">
        <v>5419</v>
      </c>
      <c r="G726" t="s">
        <v>18</v>
      </c>
      <c r="H726">
        <v>27</v>
      </c>
      <c r="I726" t="s">
        <v>19</v>
      </c>
      <c r="J726">
        <v>1987</v>
      </c>
      <c r="K726">
        <v>1987</v>
      </c>
      <c r="L726" t="s">
        <v>20</v>
      </c>
      <c r="M726">
        <v>30401</v>
      </c>
      <c r="N726">
        <v>1335</v>
      </c>
    </row>
    <row r="727" spans="1:14" x14ac:dyDescent="0.35">
      <c r="A727" t="s">
        <v>770</v>
      </c>
      <c r="B727" t="s">
        <v>15</v>
      </c>
      <c r="C727" t="s">
        <v>16</v>
      </c>
      <c r="D727">
        <v>49</v>
      </c>
      <c r="E727" t="s">
        <v>767</v>
      </c>
      <c r="F727">
        <v>5419</v>
      </c>
      <c r="G727" t="s">
        <v>18</v>
      </c>
      <c r="H727">
        <v>27</v>
      </c>
      <c r="I727" t="s">
        <v>19</v>
      </c>
      <c r="J727">
        <v>1989</v>
      </c>
      <c r="K727">
        <v>1989</v>
      </c>
      <c r="L727" t="s">
        <v>20</v>
      </c>
      <c r="M727">
        <v>32038</v>
      </c>
      <c r="N727">
        <v>1335</v>
      </c>
    </row>
    <row r="728" spans="1:14" x14ac:dyDescent="0.35">
      <c r="A728" t="s">
        <v>771</v>
      </c>
      <c r="B728" t="s">
        <v>15</v>
      </c>
      <c r="C728" t="s">
        <v>16</v>
      </c>
      <c r="D728">
        <v>49</v>
      </c>
      <c r="E728" t="s">
        <v>767</v>
      </c>
      <c r="F728">
        <v>5419</v>
      </c>
      <c r="G728" t="s">
        <v>18</v>
      </c>
      <c r="H728">
        <v>27</v>
      </c>
      <c r="I728" t="s">
        <v>19</v>
      </c>
      <c r="J728">
        <v>1990</v>
      </c>
      <c r="K728">
        <v>1990</v>
      </c>
      <c r="L728" t="s">
        <v>20</v>
      </c>
      <c r="M728">
        <v>30580</v>
      </c>
      <c r="N728">
        <v>1335</v>
      </c>
    </row>
    <row r="729" spans="1:14" x14ac:dyDescent="0.35">
      <c r="A729" t="s">
        <v>772</v>
      </c>
      <c r="B729" t="s">
        <v>15</v>
      </c>
      <c r="C729" t="s">
        <v>16</v>
      </c>
      <c r="D729">
        <v>49</v>
      </c>
      <c r="E729" t="s">
        <v>767</v>
      </c>
      <c r="F729">
        <v>5419</v>
      </c>
      <c r="G729" t="s">
        <v>18</v>
      </c>
      <c r="H729">
        <v>27</v>
      </c>
      <c r="I729" t="s">
        <v>19</v>
      </c>
      <c r="J729">
        <v>1991</v>
      </c>
      <c r="K729">
        <v>1991</v>
      </c>
      <c r="L729" t="s">
        <v>20</v>
      </c>
      <c r="M729">
        <v>28105</v>
      </c>
      <c r="N729">
        <v>1335</v>
      </c>
    </row>
    <row r="730" spans="1:14" x14ac:dyDescent="0.35">
      <c r="A730" t="s">
        <v>773</v>
      </c>
      <c r="B730" t="s">
        <v>15</v>
      </c>
      <c r="C730" t="s">
        <v>16</v>
      </c>
      <c r="D730">
        <v>49</v>
      </c>
      <c r="E730" t="s">
        <v>767</v>
      </c>
      <c r="F730">
        <v>5419</v>
      </c>
      <c r="G730" t="s">
        <v>18</v>
      </c>
      <c r="H730">
        <v>27</v>
      </c>
      <c r="I730" t="s">
        <v>19</v>
      </c>
      <c r="J730">
        <v>1992</v>
      </c>
      <c r="K730">
        <v>1992</v>
      </c>
      <c r="L730" t="s">
        <v>20</v>
      </c>
      <c r="M730">
        <v>21902</v>
      </c>
      <c r="N730">
        <v>1335</v>
      </c>
    </row>
    <row r="731" spans="1:14" x14ac:dyDescent="0.35">
      <c r="A731" t="s">
        <v>774</v>
      </c>
      <c r="B731" t="s">
        <v>15</v>
      </c>
      <c r="C731" t="s">
        <v>16</v>
      </c>
      <c r="D731">
        <v>49</v>
      </c>
      <c r="E731" t="s">
        <v>767</v>
      </c>
      <c r="F731">
        <v>5419</v>
      </c>
      <c r="G731" t="s">
        <v>18</v>
      </c>
      <c r="H731">
        <v>27</v>
      </c>
      <c r="I731" t="s">
        <v>19</v>
      </c>
      <c r="J731">
        <v>1993</v>
      </c>
      <c r="K731">
        <v>1993</v>
      </c>
      <c r="L731" t="s">
        <v>20</v>
      </c>
      <c r="M731">
        <v>19113</v>
      </c>
      <c r="N731">
        <v>1335</v>
      </c>
    </row>
    <row r="732" spans="1:14" x14ac:dyDescent="0.35">
      <c r="A732" t="s">
        <v>775</v>
      </c>
      <c r="B732" t="s">
        <v>15</v>
      </c>
      <c r="C732" t="s">
        <v>16</v>
      </c>
      <c r="D732">
        <v>49</v>
      </c>
      <c r="E732" t="s">
        <v>767</v>
      </c>
      <c r="F732">
        <v>5419</v>
      </c>
      <c r="G732" t="s">
        <v>18</v>
      </c>
      <c r="H732">
        <v>27</v>
      </c>
      <c r="I732" t="s">
        <v>19</v>
      </c>
      <c r="J732">
        <v>1994</v>
      </c>
      <c r="K732">
        <v>1994</v>
      </c>
      <c r="L732" t="s">
        <v>20</v>
      </c>
      <c r="M732">
        <v>23247</v>
      </c>
      <c r="N732">
        <v>1335</v>
      </c>
    </row>
    <row r="733" spans="1:14" x14ac:dyDescent="0.35">
      <c r="A733" t="s">
        <v>776</v>
      </c>
      <c r="B733" t="s">
        <v>15</v>
      </c>
      <c r="C733" t="s">
        <v>16</v>
      </c>
      <c r="D733">
        <v>49</v>
      </c>
      <c r="E733" t="s">
        <v>767</v>
      </c>
      <c r="F733">
        <v>5419</v>
      </c>
      <c r="G733" t="s">
        <v>18</v>
      </c>
      <c r="H733">
        <v>27</v>
      </c>
      <c r="I733" t="s">
        <v>19</v>
      </c>
      <c r="J733">
        <v>1995</v>
      </c>
      <c r="K733">
        <v>1995</v>
      </c>
      <c r="L733" t="s">
        <v>20</v>
      </c>
      <c r="M733">
        <v>25604</v>
      </c>
      <c r="N733">
        <v>1335</v>
      </c>
    </row>
    <row r="734" spans="1:14" x14ac:dyDescent="0.35">
      <c r="A734" t="s">
        <v>777</v>
      </c>
      <c r="B734" t="s">
        <v>15</v>
      </c>
      <c r="C734" t="s">
        <v>16</v>
      </c>
      <c r="D734">
        <v>49</v>
      </c>
      <c r="E734" t="s">
        <v>767</v>
      </c>
      <c r="F734">
        <v>5419</v>
      </c>
      <c r="G734" t="s">
        <v>18</v>
      </c>
      <c r="H734">
        <v>27</v>
      </c>
      <c r="I734" t="s">
        <v>19</v>
      </c>
      <c r="J734">
        <v>1996</v>
      </c>
      <c r="K734">
        <v>1996</v>
      </c>
      <c r="L734" t="s">
        <v>20</v>
      </c>
      <c r="M734">
        <v>24574</v>
      </c>
      <c r="N734">
        <v>1335</v>
      </c>
    </row>
    <row r="735" spans="1:14" x14ac:dyDescent="0.35">
      <c r="A735" t="s">
        <v>778</v>
      </c>
      <c r="B735" t="s">
        <v>15</v>
      </c>
      <c r="C735" t="s">
        <v>16</v>
      </c>
      <c r="D735">
        <v>49</v>
      </c>
      <c r="E735" t="s">
        <v>767</v>
      </c>
      <c r="F735">
        <v>5419</v>
      </c>
      <c r="G735" t="s">
        <v>18</v>
      </c>
      <c r="H735">
        <v>27</v>
      </c>
      <c r="I735" t="s">
        <v>19</v>
      </c>
      <c r="J735">
        <v>1997</v>
      </c>
      <c r="K735">
        <v>1997</v>
      </c>
      <c r="L735" t="s">
        <v>20</v>
      </c>
      <c r="M735">
        <v>28781</v>
      </c>
      <c r="N735">
        <v>1335</v>
      </c>
    </row>
    <row r="736" spans="1:14" x14ac:dyDescent="0.35">
      <c r="A736" t="s">
        <v>779</v>
      </c>
      <c r="B736" t="s">
        <v>15</v>
      </c>
      <c r="C736" t="s">
        <v>16</v>
      </c>
      <c r="D736">
        <v>49</v>
      </c>
      <c r="E736" t="s">
        <v>767</v>
      </c>
      <c r="F736">
        <v>5419</v>
      </c>
      <c r="G736" t="s">
        <v>18</v>
      </c>
      <c r="H736">
        <v>27</v>
      </c>
      <c r="I736" t="s">
        <v>19</v>
      </c>
      <c r="J736">
        <v>1998</v>
      </c>
      <c r="K736">
        <v>1998</v>
      </c>
      <c r="L736" t="s">
        <v>20</v>
      </c>
      <c r="M736">
        <v>22772</v>
      </c>
      <c r="N736">
        <v>1335</v>
      </c>
    </row>
    <row r="737" spans="1:14" x14ac:dyDescent="0.35">
      <c r="A737" t="s">
        <v>780</v>
      </c>
      <c r="B737" t="s">
        <v>15</v>
      </c>
      <c r="C737" t="s">
        <v>16</v>
      </c>
      <c r="D737">
        <v>49</v>
      </c>
      <c r="E737" t="s">
        <v>767</v>
      </c>
      <c r="F737">
        <v>5419</v>
      </c>
      <c r="G737" t="s">
        <v>18</v>
      </c>
      <c r="H737">
        <v>27</v>
      </c>
      <c r="I737" t="s">
        <v>19</v>
      </c>
      <c r="J737">
        <v>1999</v>
      </c>
      <c r="K737">
        <v>1999</v>
      </c>
      <c r="L737" t="s">
        <v>20</v>
      </c>
      <c r="M737">
        <v>32673</v>
      </c>
      <c r="N737">
        <v>1335</v>
      </c>
    </row>
    <row r="738" spans="1:14" x14ac:dyDescent="0.35">
      <c r="A738" t="s">
        <v>781</v>
      </c>
      <c r="B738" t="s">
        <v>15</v>
      </c>
      <c r="C738" t="s">
        <v>16</v>
      </c>
      <c r="D738">
        <v>49</v>
      </c>
      <c r="E738" t="s">
        <v>767</v>
      </c>
      <c r="F738">
        <v>5419</v>
      </c>
      <c r="G738" t="s">
        <v>18</v>
      </c>
      <c r="H738">
        <v>27</v>
      </c>
      <c r="I738" t="s">
        <v>19</v>
      </c>
      <c r="J738">
        <v>2000</v>
      </c>
      <c r="K738">
        <v>2000</v>
      </c>
      <c r="L738" t="s">
        <v>20</v>
      </c>
      <c r="M738">
        <v>27625</v>
      </c>
      <c r="N738">
        <v>1335</v>
      </c>
    </row>
    <row r="739" spans="1:14" x14ac:dyDescent="0.35">
      <c r="A739" t="s">
        <v>782</v>
      </c>
      <c r="B739" t="s">
        <v>15</v>
      </c>
      <c r="C739" t="s">
        <v>16</v>
      </c>
      <c r="D739">
        <v>49</v>
      </c>
      <c r="E739" t="s">
        <v>767</v>
      </c>
      <c r="F739">
        <v>5419</v>
      </c>
      <c r="G739" t="s">
        <v>18</v>
      </c>
      <c r="H739">
        <v>27</v>
      </c>
      <c r="I739" t="s">
        <v>19</v>
      </c>
      <c r="J739">
        <v>2001</v>
      </c>
      <c r="K739">
        <v>2001</v>
      </c>
      <c r="L739" t="s">
        <v>20</v>
      </c>
      <c r="M739">
        <v>32689</v>
      </c>
      <c r="N739">
        <v>1335</v>
      </c>
    </row>
    <row r="740" spans="1:14" x14ac:dyDescent="0.35">
      <c r="A740" t="s">
        <v>783</v>
      </c>
      <c r="B740" t="s">
        <v>15</v>
      </c>
      <c r="C740" t="s">
        <v>16</v>
      </c>
      <c r="D740">
        <v>49</v>
      </c>
      <c r="E740" t="s">
        <v>767</v>
      </c>
      <c r="F740">
        <v>5419</v>
      </c>
      <c r="G740" t="s">
        <v>18</v>
      </c>
      <c r="H740">
        <v>27</v>
      </c>
      <c r="I740" t="s">
        <v>19</v>
      </c>
      <c r="J740">
        <v>2002</v>
      </c>
      <c r="K740">
        <v>2002</v>
      </c>
      <c r="L740" t="s">
        <v>20</v>
      </c>
      <c r="M740">
        <v>34959</v>
      </c>
      <c r="N740">
        <v>1335</v>
      </c>
    </row>
    <row r="741" spans="1:14" x14ac:dyDescent="0.35">
      <c r="A741" t="s">
        <v>784</v>
      </c>
      <c r="B741" t="s">
        <v>15</v>
      </c>
      <c r="C741" t="s">
        <v>16</v>
      </c>
      <c r="D741">
        <v>49</v>
      </c>
      <c r="E741" t="s">
        <v>767</v>
      </c>
      <c r="F741">
        <v>5419</v>
      </c>
      <c r="G741" t="s">
        <v>18</v>
      </c>
      <c r="H741">
        <v>27</v>
      </c>
      <c r="I741" t="s">
        <v>19</v>
      </c>
      <c r="J741">
        <v>2004</v>
      </c>
      <c r="K741">
        <v>2004</v>
      </c>
      <c r="L741" t="s">
        <v>20</v>
      </c>
      <c r="M741">
        <v>30977</v>
      </c>
      <c r="N741">
        <v>1335</v>
      </c>
    </row>
    <row r="742" spans="1:14" x14ac:dyDescent="0.35">
      <c r="A742" t="s">
        <v>785</v>
      </c>
      <c r="B742" t="s">
        <v>15</v>
      </c>
      <c r="C742" t="s">
        <v>16</v>
      </c>
      <c r="D742">
        <v>49</v>
      </c>
      <c r="E742" t="s">
        <v>767</v>
      </c>
      <c r="F742">
        <v>5419</v>
      </c>
      <c r="G742" t="s">
        <v>18</v>
      </c>
      <c r="H742">
        <v>27</v>
      </c>
      <c r="I742" t="s">
        <v>19</v>
      </c>
      <c r="J742">
        <v>2005</v>
      </c>
      <c r="K742">
        <v>2005</v>
      </c>
      <c r="L742" t="s">
        <v>20</v>
      </c>
      <c r="M742">
        <v>28900</v>
      </c>
      <c r="N742">
        <v>1335</v>
      </c>
    </row>
    <row r="743" spans="1:14" x14ac:dyDescent="0.35">
      <c r="A743" t="s">
        <v>786</v>
      </c>
      <c r="B743" t="s">
        <v>15</v>
      </c>
      <c r="C743" t="s">
        <v>16</v>
      </c>
      <c r="D743">
        <v>49</v>
      </c>
      <c r="E743" t="s">
        <v>767</v>
      </c>
      <c r="F743">
        <v>5419</v>
      </c>
      <c r="G743" t="s">
        <v>18</v>
      </c>
      <c r="H743">
        <v>27</v>
      </c>
      <c r="I743" t="s">
        <v>19</v>
      </c>
      <c r="J743">
        <v>2006</v>
      </c>
      <c r="K743">
        <v>2006</v>
      </c>
      <c r="L743" t="s">
        <v>20</v>
      </c>
      <c r="M743">
        <v>30400</v>
      </c>
      <c r="N743">
        <v>1335</v>
      </c>
    </row>
    <row r="744" spans="1:14" x14ac:dyDescent="0.35">
      <c r="A744" t="s">
        <v>787</v>
      </c>
      <c r="B744" t="s">
        <v>15</v>
      </c>
      <c r="C744" t="s">
        <v>16</v>
      </c>
      <c r="D744">
        <v>49</v>
      </c>
      <c r="E744" t="s">
        <v>767</v>
      </c>
      <c r="F744">
        <v>5419</v>
      </c>
      <c r="G744" t="s">
        <v>18</v>
      </c>
      <c r="H744">
        <v>27</v>
      </c>
      <c r="I744" t="s">
        <v>19</v>
      </c>
      <c r="J744">
        <v>2007</v>
      </c>
      <c r="K744">
        <v>2007</v>
      </c>
      <c r="L744" t="s">
        <v>20</v>
      </c>
      <c r="M744">
        <v>32300</v>
      </c>
      <c r="N744">
        <v>1335</v>
      </c>
    </row>
    <row r="745" spans="1:14" x14ac:dyDescent="0.35">
      <c r="A745" t="s">
        <v>788</v>
      </c>
      <c r="B745" t="s">
        <v>15</v>
      </c>
      <c r="C745" t="s">
        <v>16</v>
      </c>
      <c r="D745">
        <v>49</v>
      </c>
      <c r="E745" t="s">
        <v>767</v>
      </c>
      <c r="F745">
        <v>5419</v>
      </c>
      <c r="G745" t="s">
        <v>18</v>
      </c>
      <c r="H745">
        <v>27</v>
      </c>
      <c r="I745" t="s">
        <v>19</v>
      </c>
      <c r="J745">
        <v>2008</v>
      </c>
      <c r="K745">
        <v>2008</v>
      </c>
      <c r="L745" t="s">
        <v>20</v>
      </c>
      <c r="M745">
        <v>28036</v>
      </c>
      <c r="N745">
        <v>1335</v>
      </c>
    </row>
    <row r="746" spans="1:14" x14ac:dyDescent="0.35">
      <c r="A746" t="s">
        <v>789</v>
      </c>
      <c r="B746" t="s">
        <v>15</v>
      </c>
      <c r="C746" t="s">
        <v>16</v>
      </c>
      <c r="D746">
        <v>49</v>
      </c>
      <c r="E746" t="s">
        <v>767</v>
      </c>
      <c r="F746">
        <v>5419</v>
      </c>
      <c r="G746" t="s">
        <v>18</v>
      </c>
      <c r="H746">
        <v>27</v>
      </c>
      <c r="I746" t="s">
        <v>19</v>
      </c>
      <c r="J746">
        <v>2009</v>
      </c>
      <c r="K746">
        <v>2009</v>
      </c>
      <c r="L746" t="s">
        <v>20</v>
      </c>
      <c r="M746">
        <v>26123</v>
      </c>
      <c r="N746">
        <v>1335</v>
      </c>
    </row>
    <row r="747" spans="1:14" x14ac:dyDescent="0.35">
      <c r="A747" t="s">
        <v>790</v>
      </c>
      <c r="B747" t="s">
        <v>15</v>
      </c>
      <c r="C747" t="s">
        <v>16</v>
      </c>
      <c r="D747">
        <v>49</v>
      </c>
      <c r="E747" t="s">
        <v>767</v>
      </c>
      <c r="F747">
        <v>5419</v>
      </c>
      <c r="G747" t="s">
        <v>18</v>
      </c>
      <c r="H747">
        <v>27</v>
      </c>
      <c r="I747" t="s">
        <v>19</v>
      </c>
      <c r="J747">
        <v>2010</v>
      </c>
      <c r="K747">
        <v>2010</v>
      </c>
      <c r="L747" t="s">
        <v>20</v>
      </c>
      <c r="M747">
        <v>25755</v>
      </c>
      <c r="N747">
        <v>1335</v>
      </c>
    </row>
    <row r="748" spans="1:14" x14ac:dyDescent="0.35">
      <c r="A748" t="s">
        <v>791</v>
      </c>
      <c r="B748" t="s">
        <v>15</v>
      </c>
      <c r="C748" t="s">
        <v>16</v>
      </c>
      <c r="D748">
        <v>49</v>
      </c>
      <c r="E748" t="s">
        <v>767</v>
      </c>
      <c r="F748">
        <v>5419</v>
      </c>
      <c r="G748" t="s">
        <v>18</v>
      </c>
      <c r="H748">
        <v>27</v>
      </c>
      <c r="I748" t="s">
        <v>19</v>
      </c>
      <c r="J748">
        <v>2011</v>
      </c>
      <c r="K748">
        <v>2011</v>
      </c>
      <c r="L748" t="s">
        <v>20</v>
      </c>
      <c r="M748">
        <v>27225</v>
      </c>
      <c r="N748">
        <v>1335</v>
      </c>
    </row>
    <row r="749" spans="1:14" x14ac:dyDescent="0.35">
      <c r="A749" t="s">
        <v>792</v>
      </c>
      <c r="B749" t="s">
        <v>15</v>
      </c>
      <c r="C749" t="s">
        <v>16</v>
      </c>
      <c r="D749">
        <v>49</v>
      </c>
      <c r="E749" t="s">
        <v>767</v>
      </c>
      <c r="F749">
        <v>5419</v>
      </c>
      <c r="G749" t="s">
        <v>18</v>
      </c>
      <c r="H749">
        <v>27</v>
      </c>
      <c r="I749" t="s">
        <v>19</v>
      </c>
      <c r="J749">
        <v>2012</v>
      </c>
      <c r="K749">
        <v>2012</v>
      </c>
      <c r="L749" t="s">
        <v>20</v>
      </c>
      <c r="M749">
        <v>31651</v>
      </c>
      <c r="N749">
        <v>1335</v>
      </c>
    </row>
    <row r="750" spans="1:14" x14ac:dyDescent="0.35">
      <c r="A750" t="s">
        <v>793</v>
      </c>
      <c r="B750" t="s">
        <v>15</v>
      </c>
      <c r="C750" t="s">
        <v>16</v>
      </c>
      <c r="D750">
        <v>49</v>
      </c>
      <c r="E750" t="s">
        <v>767</v>
      </c>
      <c r="F750">
        <v>5419</v>
      </c>
      <c r="G750" t="s">
        <v>18</v>
      </c>
      <c r="H750">
        <v>27</v>
      </c>
      <c r="I750" t="s">
        <v>19</v>
      </c>
      <c r="J750">
        <v>2013</v>
      </c>
      <c r="K750">
        <v>2013</v>
      </c>
      <c r="L750" t="s">
        <v>20</v>
      </c>
      <c r="M750">
        <v>34000</v>
      </c>
      <c r="N750">
        <v>1335</v>
      </c>
    </row>
    <row r="751" spans="1:14" x14ac:dyDescent="0.35">
      <c r="A751" t="s">
        <v>794</v>
      </c>
      <c r="B751" t="s">
        <v>15</v>
      </c>
      <c r="C751" t="s">
        <v>16</v>
      </c>
      <c r="D751">
        <v>49</v>
      </c>
      <c r="E751" t="s">
        <v>767</v>
      </c>
      <c r="F751">
        <v>5419</v>
      </c>
      <c r="G751" t="s">
        <v>18</v>
      </c>
      <c r="H751">
        <v>27</v>
      </c>
      <c r="I751" t="s">
        <v>19</v>
      </c>
      <c r="J751">
        <v>2014</v>
      </c>
      <c r="K751">
        <v>2014</v>
      </c>
      <c r="L751" t="s">
        <v>20</v>
      </c>
      <c r="M751">
        <v>34085</v>
      </c>
      <c r="N751">
        <v>1335</v>
      </c>
    </row>
    <row r="752" spans="1:14" x14ac:dyDescent="0.35">
      <c r="A752" t="s">
        <v>795</v>
      </c>
      <c r="B752" t="s">
        <v>15</v>
      </c>
      <c r="C752" t="s">
        <v>16</v>
      </c>
      <c r="D752">
        <v>49</v>
      </c>
      <c r="E752" t="s">
        <v>767</v>
      </c>
      <c r="F752">
        <v>5419</v>
      </c>
      <c r="G752" t="s">
        <v>18</v>
      </c>
      <c r="H752">
        <v>27</v>
      </c>
      <c r="I752" t="s">
        <v>19</v>
      </c>
      <c r="J752">
        <v>2015</v>
      </c>
      <c r="K752">
        <v>2015</v>
      </c>
      <c r="L752" t="s">
        <v>20</v>
      </c>
      <c r="M752">
        <v>37269</v>
      </c>
      <c r="N752">
        <v>1335</v>
      </c>
    </row>
    <row r="753" spans="1:14" x14ac:dyDescent="0.35">
      <c r="A753" t="s">
        <v>796</v>
      </c>
      <c r="B753" t="s">
        <v>15</v>
      </c>
      <c r="C753" t="s">
        <v>16</v>
      </c>
      <c r="D753">
        <v>49</v>
      </c>
      <c r="E753" t="s">
        <v>767</v>
      </c>
      <c r="F753">
        <v>5419</v>
      </c>
      <c r="G753" t="s">
        <v>18</v>
      </c>
      <c r="H753">
        <v>27</v>
      </c>
      <c r="I753" t="s">
        <v>19</v>
      </c>
      <c r="J753">
        <v>2016</v>
      </c>
      <c r="K753">
        <v>2016</v>
      </c>
      <c r="L753" t="s">
        <v>20</v>
      </c>
      <c r="M753">
        <v>36713</v>
      </c>
      <c r="N753">
        <v>1335</v>
      </c>
    </row>
    <row r="754" spans="1:14" x14ac:dyDescent="0.35">
      <c r="A754" t="s">
        <v>797</v>
      </c>
      <c r="B754" t="s">
        <v>15</v>
      </c>
      <c r="C754" t="s">
        <v>16</v>
      </c>
      <c r="D754">
        <v>56</v>
      </c>
      <c r="E754" t="s">
        <v>798</v>
      </c>
      <c r="F754">
        <v>5419</v>
      </c>
      <c r="G754" t="s">
        <v>18</v>
      </c>
      <c r="H754">
        <v>27</v>
      </c>
      <c r="I754" t="s">
        <v>19</v>
      </c>
      <c r="J754">
        <v>1985</v>
      </c>
      <c r="K754">
        <v>1985</v>
      </c>
      <c r="L754" t="s">
        <v>20</v>
      </c>
      <c r="M754">
        <v>44764</v>
      </c>
      <c r="N754">
        <v>1410</v>
      </c>
    </row>
    <row r="755" spans="1:14" x14ac:dyDescent="0.35">
      <c r="A755" t="s">
        <v>799</v>
      </c>
      <c r="B755" t="s">
        <v>15</v>
      </c>
      <c r="C755" t="s">
        <v>16</v>
      </c>
      <c r="D755">
        <v>56</v>
      </c>
      <c r="E755" t="s">
        <v>798</v>
      </c>
      <c r="F755">
        <v>5419</v>
      </c>
      <c r="G755" t="s">
        <v>18</v>
      </c>
      <c r="H755">
        <v>27</v>
      </c>
      <c r="I755" t="s">
        <v>19</v>
      </c>
      <c r="J755">
        <v>1986</v>
      </c>
      <c r="K755">
        <v>1986</v>
      </c>
      <c r="L755" t="s">
        <v>20</v>
      </c>
      <c r="M755">
        <v>46592</v>
      </c>
      <c r="N755">
        <v>1410</v>
      </c>
    </row>
    <row r="756" spans="1:14" x14ac:dyDescent="0.35">
      <c r="A756" t="s">
        <v>800</v>
      </c>
      <c r="B756" t="s">
        <v>15</v>
      </c>
      <c r="C756" t="s">
        <v>16</v>
      </c>
      <c r="D756">
        <v>56</v>
      </c>
      <c r="E756" t="s">
        <v>798</v>
      </c>
      <c r="F756">
        <v>5419</v>
      </c>
      <c r="G756" t="s">
        <v>18</v>
      </c>
      <c r="H756">
        <v>27</v>
      </c>
      <c r="I756" t="s">
        <v>19</v>
      </c>
      <c r="J756">
        <v>1987</v>
      </c>
      <c r="K756">
        <v>1987</v>
      </c>
      <c r="L756" t="s">
        <v>20</v>
      </c>
      <c r="M756">
        <v>44775</v>
      </c>
      <c r="N756">
        <v>1410</v>
      </c>
    </row>
    <row r="757" spans="1:14" x14ac:dyDescent="0.35">
      <c r="A757" t="s">
        <v>801</v>
      </c>
      <c r="B757" t="s">
        <v>15</v>
      </c>
      <c r="C757" t="s">
        <v>16</v>
      </c>
      <c r="D757">
        <v>56</v>
      </c>
      <c r="E757" t="s">
        <v>798</v>
      </c>
      <c r="F757">
        <v>5419</v>
      </c>
      <c r="G757" t="s">
        <v>18</v>
      </c>
      <c r="H757">
        <v>27</v>
      </c>
      <c r="I757" t="s">
        <v>19</v>
      </c>
      <c r="J757">
        <v>1989</v>
      </c>
      <c r="K757">
        <v>1989</v>
      </c>
      <c r="L757" t="s">
        <v>20</v>
      </c>
      <c r="M757">
        <v>45350</v>
      </c>
      <c r="N757">
        <v>1410</v>
      </c>
    </row>
    <row r="758" spans="1:14" x14ac:dyDescent="0.35">
      <c r="A758" t="s">
        <v>802</v>
      </c>
      <c r="B758" t="s">
        <v>15</v>
      </c>
      <c r="C758" t="s">
        <v>16</v>
      </c>
      <c r="D758">
        <v>56</v>
      </c>
      <c r="E758" t="s">
        <v>798</v>
      </c>
      <c r="F758">
        <v>5419</v>
      </c>
      <c r="G758" t="s">
        <v>18</v>
      </c>
      <c r="H758">
        <v>27</v>
      </c>
      <c r="I758" t="s">
        <v>19</v>
      </c>
      <c r="J758">
        <v>1990</v>
      </c>
      <c r="K758">
        <v>1990</v>
      </c>
      <c r="L758" t="s">
        <v>20</v>
      </c>
      <c r="M758">
        <v>47851</v>
      </c>
      <c r="N758">
        <v>1410</v>
      </c>
    </row>
    <row r="759" spans="1:14" x14ac:dyDescent="0.35">
      <c r="A759" t="s">
        <v>803</v>
      </c>
      <c r="B759" t="s">
        <v>15</v>
      </c>
      <c r="C759" t="s">
        <v>16</v>
      </c>
      <c r="D759">
        <v>56</v>
      </c>
      <c r="E759" t="s">
        <v>798</v>
      </c>
      <c r="F759">
        <v>5419</v>
      </c>
      <c r="G759" t="s">
        <v>18</v>
      </c>
      <c r="H759">
        <v>27</v>
      </c>
      <c r="I759" t="s">
        <v>19</v>
      </c>
      <c r="J759">
        <v>1991</v>
      </c>
      <c r="K759">
        <v>1991</v>
      </c>
      <c r="L759" t="s">
        <v>20</v>
      </c>
      <c r="M759">
        <v>48092</v>
      </c>
      <c r="N759">
        <v>1410</v>
      </c>
    </row>
    <row r="760" spans="1:14" x14ac:dyDescent="0.35">
      <c r="A760" t="s">
        <v>804</v>
      </c>
      <c r="B760" t="s">
        <v>15</v>
      </c>
      <c r="C760" t="s">
        <v>16</v>
      </c>
      <c r="D760">
        <v>56</v>
      </c>
      <c r="E760" t="s">
        <v>798</v>
      </c>
      <c r="F760">
        <v>5419</v>
      </c>
      <c r="G760" t="s">
        <v>18</v>
      </c>
      <c r="H760">
        <v>27</v>
      </c>
      <c r="I760" t="s">
        <v>19</v>
      </c>
      <c r="J760">
        <v>1992</v>
      </c>
      <c r="K760">
        <v>1992</v>
      </c>
      <c r="L760" t="s">
        <v>20</v>
      </c>
      <c r="M760">
        <v>89767</v>
      </c>
      <c r="N760">
        <v>1410</v>
      </c>
    </row>
    <row r="761" spans="1:14" x14ac:dyDescent="0.35">
      <c r="A761" t="s">
        <v>805</v>
      </c>
      <c r="B761" t="s">
        <v>15</v>
      </c>
      <c r="C761" t="s">
        <v>16</v>
      </c>
      <c r="D761">
        <v>56</v>
      </c>
      <c r="E761" t="s">
        <v>798</v>
      </c>
      <c r="F761">
        <v>5419</v>
      </c>
      <c r="G761" t="s">
        <v>18</v>
      </c>
      <c r="H761">
        <v>27</v>
      </c>
      <c r="I761" t="s">
        <v>19</v>
      </c>
      <c r="J761">
        <v>1993</v>
      </c>
      <c r="K761">
        <v>1993</v>
      </c>
      <c r="L761" t="s">
        <v>20</v>
      </c>
      <c r="M761">
        <v>50096</v>
      </c>
      <c r="N761">
        <v>1410</v>
      </c>
    </row>
    <row r="762" spans="1:14" x14ac:dyDescent="0.35">
      <c r="A762" t="s">
        <v>806</v>
      </c>
      <c r="B762" t="s">
        <v>15</v>
      </c>
      <c r="C762" t="s">
        <v>16</v>
      </c>
      <c r="D762">
        <v>56</v>
      </c>
      <c r="E762" t="s">
        <v>798</v>
      </c>
      <c r="F762">
        <v>5419</v>
      </c>
      <c r="G762" t="s">
        <v>18</v>
      </c>
      <c r="H762">
        <v>27</v>
      </c>
      <c r="I762" t="s">
        <v>19</v>
      </c>
      <c r="J762">
        <v>1994</v>
      </c>
      <c r="K762">
        <v>1994</v>
      </c>
      <c r="L762" t="s">
        <v>20</v>
      </c>
      <c r="M762">
        <v>46589</v>
      </c>
      <c r="N762">
        <v>1410</v>
      </c>
    </row>
    <row r="763" spans="1:14" x14ac:dyDescent="0.35">
      <c r="A763" t="s">
        <v>807</v>
      </c>
      <c r="B763" t="s">
        <v>15</v>
      </c>
      <c r="C763" t="s">
        <v>16</v>
      </c>
      <c r="D763">
        <v>56</v>
      </c>
      <c r="E763" t="s">
        <v>798</v>
      </c>
      <c r="F763">
        <v>5419</v>
      </c>
      <c r="G763" t="s">
        <v>18</v>
      </c>
      <c r="H763">
        <v>27</v>
      </c>
      <c r="I763" t="s">
        <v>19</v>
      </c>
      <c r="J763">
        <v>1995</v>
      </c>
      <c r="K763">
        <v>1995</v>
      </c>
      <c r="L763" t="s">
        <v>20</v>
      </c>
      <c r="M763">
        <v>47722</v>
      </c>
      <c r="N763">
        <v>1410</v>
      </c>
    </row>
    <row r="764" spans="1:14" x14ac:dyDescent="0.35">
      <c r="A764" t="s">
        <v>808</v>
      </c>
      <c r="B764" t="s">
        <v>15</v>
      </c>
      <c r="C764" t="s">
        <v>16</v>
      </c>
      <c r="D764">
        <v>56</v>
      </c>
      <c r="E764" t="s">
        <v>798</v>
      </c>
      <c r="F764">
        <v>5419</v>
      </c>
      <c r="G764" t="s">
        <v>18</v>
      </c>
      <c r="H764">
        <v>27</v>
      </c>
      <c r="I764" t="s">
        <v>19</v>
      </c>
      <c r="J764">
        <v>1996</v>
      </c>
      <c r="K764">
        <v>1996</v>
      </c>
      <c r="L764" t="s">
        <v>20</v>
      </c>
      <c r="M764">
        <v>46016</v>
      </c>
      <c r="N764">
        <v>1410</v>
      </c>
    </row>
    <row r="765" spans="1:14" x14ac:dyDescent="0.35">
      <c r="A765" t="s">
        <v>809</v>
      </c>
      <c r="B765" t="s">
        <v>15</v>
      </c>
      <c r="C765" t="s">
        <v>16</v>
      </c>
      <c r="D765">
        <v>56</v>
      </c>
      <c r="E765" t="s">
        <v>798</v>
      </c>
      <c r="F765">
        <v>5419</v>
      </c>
      <c r="G765" t="s">
        <v>18</v>
      </c>
      <c r="H765">
        <v>27</v>
      </c>
      <c r="I765" t="s">
        <v>19</v>
      </c>
      <c r="J765">
        <v>1997</v>
      </c>
      <c r="K765">
        <v>1997</v>
      </c>
      <c r="L765" t="s">
        <v>20</v>
      </c>
      <c r="M765">
        <v>48213</v>
      </c>
      <c r="N765">
        <v>1410</v>
      </c>
    </row>
    <row r="766" spans="1:14" x14ac:dyDescent="0.35">
      <c r="A766" t="s">
        <v>810</v>
      </c>
      <c r="B766" t="s">
        <v>15</v>
      </c>
      <c r="C766" t="s">
        <v>16</v>
      </c>
      <c r="D766">
        <v>56</v>
      </c>
      <c r="E766" t="s">
        <v>798</v>
      </c>
      <c r="F766">
        <v>5419</v>
      </c>
      <c r="G766" t="s">
        <v>18</v>
      </c>
      <c r="H766">
        <v>27</v>
      </c>
      <c r="I766" t="s">
        <v>19</v>
      </c>
      <c r="J766">
        <v>1998</v>
      </c>
      <c r="K766">
        <v>1998</v>
      </c>
      <c r="L766" t="s">
        <v>20</v>
      </c>
      <c r="M766">
        <v>42709</v>
      </c>
      <c r="N766">
        <v>1410</v>
      </c>
    </row>
    <row r="767" spans="1:14" x14ac:dyDescent="0.35">
      <c r="A767" t="s">
        <v>811</v>
      </c>
      <c r="B767" t="s">
        <v>15</v>
      </c>
      <c r="C767" t="s">
        <v>16</v>
      </c>
      <c r="D767">
        <v>56</v>
      </c>
      <c r="E767" t="s">
        <v>798</v>
      </c>
      <c r="F767">
        <v>5419</v>
      </c>
      <c r="G767" t="s">
        <v>18</v>
      </c>
      <c r="H767">
        <v>27</v>
      </c>
      <c r="I767" t="s">
        <v>19</v>
      </c>
      <c r="J767">
        <v>1999</v>
      </c>
      <c r="K767">
        <v>1999</v>
      </c>
      <c r="L767" t="s">
        <v>20</v>
      </c>
      <c r="M767">
        <v>45422</v>
      </c>
      <c r="N767">
        <v>1410</v>
      </c>
    </row>
    <row r="768" spans="1:14" x14ac:dyDescent="0.35">
      <c r="A768" t="s">
        <v>812</v>
      </c>
      <c r="B768" t="s">
        <v>15</v>
      </c>
      <c r="C768" t="s">
        <v>16</v>
      </c>
      <c r="D768">
        <v>56</v>
      </c>
      <c r="E768" t="s">
        <v>798</v>
      </c>
      <c r="F768">
        <v>5419</v>
      </c>
      <c r="G768" t="s">
        <v>18</v>
      </c>
      <c r="H768">
        <v>27</v>
      </c>
      <c r="I768" t="s">
        <v>19</v>
      </c>
      <c r="J768">
        <v>2000</v>
      </c>
      <c r="K768">
        <v>2000</v>
      </c>
      <c r="L768" t="s">
        <v>20</v>
      </c>
      <c r="M768">
        <v>46372</v>
      </c>
      <c r="N768">
        <v>1410</v>
      </c>
    </row>
    <row r="769" spans="1:14" x14ac:dyDescent="0.35">
      <c r="A769" t="s">
        <v>813</v>
      </c>
      <c r="B769" t="s">
        <v>15</v>
      </c>
      <c r="C769" t="s">
        <v>16</v>
      </c>
      <c r="D769">
        <v>56</v>
      </c>
      <c r="E769" t="s">
        <v>798</v>
      </c>
      <c r="F769">
        <v>5419</v>
      </c>
      <c r="G769" t="s">
        <v>18</v>
      </c>
      <c r="H769">
        <v>27</v>
      </c>
      <c r="I769" t="s">
        <v>19</v>
      </c>
      <c r="J769">
        <v>2001</v>
      </c>
      <c r="K769">
        <v>2001</v>
      </c>
      <c r="L769" t="s">
        <v>20</v>
      </c>
      <c r="M769">
        <v>48950</v>
      </c>
      <c r="N769">
        <v>1410</v>
      </c>
    </row>
    <row r="770" spans="1:14" x14ac:dyDescent="0.35">
      <c r="A770" t="s">
        <v>814</v>
      </c>
      <c r="B770" t="s">
        <v>15</v>
      </c>
      <c r="C770" t="s">
        <v>16</v>
      </c>
      <c r="D770">
        <v>56</v>
      </c>
      <c r="E770" t="s">
        <v>798</v>
      </c>
      <c r="F770">
        <v>5419</v>
      </c>
      <c r="G770" t="s">
        <v>18</v>
      </c>
      <c r="H770">
        <v>27</v>
      </c>
      <c r="I770" t="s">
        <v>19</v>
      </c>
      <c r="J770">
        <v>2002</v>
      </c>
      <c r="K770">
        <v>2002</v>
      </c>
      <c r="L770" t="s">
        <v>20</v>
      </c>
      <c r="M770">
        <v>48593</v>
      </c>
      <c r="N770">
        <v>1410</v>
      </c>
    </row>
    <row r="771" spans="1:14" x14ac:dyDescent="0.35">
      <c r="A771" t="s">
        <v>815</v>
      </c>
      <c r="B771" t="s">
        <v>15</v>
      </c>
      <c r="C771" t="s">
        <v>16</v>
      </c>
      <c r="D771">
        <v>56</v>
      </c>
      <c r="E771" t="s">
        <v>798</v>
      </c>
      <c r="F771">
        <v>5419</v>
      </c>
      <c r="G771" t="s">
        <v>18</v>
      </c>
      <c r="H771">
        <v>27</v>
      </c>
      <c r="I771" t="s">
        <v>19</v>
      </c>
      <c r="J771">
        <v>2004</v>
      </c>
      <c r="K771">
        <v>2004</v>
      </c>
      <c r="L771" t="s">
        <v>20</v>
      </c>
      <c r="M771">
        <v>43044</v>
      </c>
      <c r="N771">
        <v>1410</v>
      </c>
    </row>
    <row r="772" spans="1:14" x14ac:dyDescent="0.35">
      <c r="A772" t="s">
        <v>816</v>
      </c>
      <c r="B772" t="s">
        <v>15</v>
      </c>
      <c r="C772" t="s">
        <v>16</v>
      </c>
      <c r="D772">
        <v>56</v>
      </c>
      <c r="E772" t="s">
        <v>798</v>
      </c>
      <c r="F772">
        <v>5419</v>
      </c>
      <c r="G772" t="s">
        <v>18</v>
      </c>
      <c r="H772">
        <v>27</v>
      </c>
      <c r="I772" t="s">
        <v>19</v>
      </c>
      <c r="J772">
        <v>2005</v>
      </c>
      <c r="K772">
        <v>2005</v>
      </c>
      <c r="L772" t="s">
        <v>20</v>
      </c>
      <c r="M772">
        <v>42047</v>
      </c>
      <c r="N772">
        <v>1410</v>
      </c>
    </row>
    <row r="773" spans="1:14" x14ac:dyDescent="0.35">
      <c r="A773" t="s">
        <v>817</v>
      </c>
      <c r="B773" t="s">
        <v>15</v>
      </c>
      <c r="C773" t="s">
        <v>16</v>
      </c>
      <c r="D773">
        <v>56</v>
      </c>
      <c r="E773" t="s">
        <v>798</v>
      </c>
      <c r="F773">
        <v>5419</v>
      </c>
      <c r="G773" t="s">
        <v>18</v>
      </c>
      <c r="H773">
        <v>27</v>
      </c>
      <c r="I773" t="s">
        <v>19</v>
      </c>
      <c r="J773">
        <v>2006</v>
      </c>
      <c r="K773">
        <v>2006</v>
      </c>
      <c r="L773" t="s">
        <v>20</v>
      </c>
      <c r="M773">
        <v>46865</v>
      </c>
      <c r="N773">
        <v>1410</v>
      </c>
    </row>
    <row r="774" spans="1:14" x14ac:dyDescent="0.35">
      <c r="A774" t="s">
        <v>818</v>
      </c>
      <c r="B774" t="s">
        <v>15</v>
      </c>
      <c r="C774" t="s">
        <v>16</v>
      </c>
      <c r="D774">
        <v>56</v>
      </c>
      <c r="E774" t="s">
        <v>798</v>
      </c>
      <c r="F774">
        <v>5419</v>
      </c>
      <c r="G774" t="s">
        <v>18</v>
      </c>
      <c r="H774">
        <v>27</v>
      </c>
      <c r="I774" t="s">
        <v>19</v>
      </c>
      <c r="J774">
        <v>2007</v>
      </c>
      <c r="K774">
        <v>2007</v>
      </c>
      <c r="L774" t="s">
        <v>20</v>
      </c>
      <c r="M774">
        <v>48112</v>
      </c>
      <c r="N774">
        <v>1410</v>
      </c>
    </row>
    <row r="775" spans="1:14" x14ac:dyDescent="0.35">
      <c r="A775" t="s">
        <v>819</v>
      </c>
      <c r="B775" t="s">
        <v>15</v>
      </c>
      <c r="C775" t="s">
        <v>16</v>
      </c>
      <c r="D775">
        <v>56</v>
      </c>
      <c r="E775" t="s">
        <v>798</v>
      </c>
      <c r="F775">
        <v>5419</v>
      </c>
      <c r="G775" t="s">
        <v>18</v>
      </c>
      <c r="H775">
        <v>27</v>
      </c>
      <c r="I775" t="s">
        <v>19</v>
      </c>
      <c r="J775">
        <v>2008</v>
      </c>
      <c r="K775">
        <v>2008</v>
      </c>
      <c r="L775" t="s">
        <v>20</v>
      </c>
      <c r="M775">
        <v>48268</v>
      </c>
      <c r="N775">
        <v>1410</v>
      </c>
    </row>
    <row r="776" spans="1:14" x14ac:dyDescent="0.35">
      <c r="A776" t="s">
        <v>820</v>
      </c>
      <c r="B776" t="s">
        <v>15</v>
      </c>
      <c r="C776" t="s">
        <v>16</v>
      </c>
      <c r="D776">
        <v>56</v>
      </c>
      <c r="E776" t="s">
        <v>798</v>
      </c>
      <c r="F776">
        <v>5419</v>
      </c>
      <c r="G776" t="s">
        <v>18</v>
      </c>
      <c r="H776">
        <v>27</v>
      </c>
      <c r="I776" t="s">
        <v>19</v>
      </c>
      <c r="J776">
        <v>2009</v>
      </c>
      <c r="K776">
        <v>2009</v>
      </c>
      <c r="L776" t="s">
        <v>20</v>
      </c>
      <c r="M776">
        <v>42862</v>
      </c>
      <c r="N776">
        <v>1410</v>
      </c>
    </row>
    <row r="777" spans="1:14" x14ac:dyDescent="0.35">
      <c r="A777" t="s">
        <v>821</v>
      </c>
      <c r="B777" t="s">
        <v>15</v>
      </c>
      <c r="C777" t="s">
        <v>16</v>
      </c>
      <c r="D777">
        <v>56</v>
      </c>
      <c r="E777" t="s">
        <v>798</v>
      </c>
      <c r="F777">
        <v>5419</v>
      </c>
      <c r="G777" t="s">
        <v>18</v>
      </c>
      <c r="H777">
        <v>27</v>
      </c>
      <c r="I777" t="s">
        <v>19</v>
      </c>
      <c r="J777">
        <v>2010</v>
      </c>
      <c r="K777">
        <v>2010</v>
      </c>
      <c r="L777" t="s">
        <v>20</v>
      </c>
      <c r="M777">
        <v>47651</v>
      </c>
      <c r="N777">
        <v>1410</v>
      </c>
    </row>
    <row r="778" spans="1:14" x14ac:dyDescent="0.35">
      <c r="A778" t="s">
        <v>822</v>
      </c>
      <c r="B778" t="s">
        <v>15</v>
      </c>
      <c r="C778" t="s">
        <v>16</v>
      </c>
      <c r="D778">
        <v>56</v>
      </c>
      <c r="E778" t="s">
        <v>798</v>
      </c>
      <c r="F778">
        <v>5419</v>
      </c>
      <c r="G778" t="s">
        <v>18</v>
      </c>
      <c r="H778">
        <v>27</v>
      </c>
      <c r="I778" t="s">
        <v>19</v>
      </c>
      <c r="J778">
        <v>2011</v>
      </c>
      <c r="K778">
        <v>2011</v>
      </c>
      <c r="L778" t="s">
        <v>20</v>
      </c>
      <c r="M778">
        <v>50057</v>
      </c>
      <c r="N778">
        <v>1410</v>
      </c>
    </row>
    <row r="779" spans="1:14" x14ac:dyDescent="0.35">
      <c r="A779" t="s">
        <v>823</v>
      </c>
      <c r="B779" t="s">
        <v>15</v>
      </c>
      <c r="C779" t="s">
        <v>16</v>
      </c>
      <c r="D779">
        <v>56</v>
      </c>
      <c r="E779" t="s">
        <v>798</v>
      </c>
      <c r="F779">
        <v>5419</v>
      </c>
      <c r="G779" t="s">
        <v>18</v>
      </c>
      <c r="H779">
        <v>27</v>
      </c>
      <c r="I779" t="s">
        <v>19</v>
      </c>
      <c r="J779">
        <v>2012</v>
      </c>
      <c r="K779">
        <v>2012</v>
      </c>
      <c r="L779" t="s">
        <v>20</v>
      </c>
      <c r="M779">
        <v>41266</v>
      </c>
      <c r="N779">
        <v>1410</v>
      </c>
    </row>
    <row r="780" spans="1:14" x14ac:dyDescent="0.35">
      <c r="A780" t="s">
        <v>824</v>
      </c>
      <c r="B780" t="s">
        <v>15</v>
      </c>
      <c r="C780" t="s">
        <v>16</v>
      </c>
      <c r="D780">
        <v>56</v>
      </c>
      <c r="E780" t="s">
        <v>798</v>
      </c>
      <c r="F780">
        <v>5419</v>
      </c>
      <c r="G780" t="s">
        <v>18</v>
      </c>
      <c r="H780">
        <v>27</v>
      </c>
      <c r="I780" t="s">
        <v>19</v>
      </c>
      <c r="J780">
        <v>2013</v>
      </c>
      <c r="K780">
        <v>2013</v>
      </c>
      <c r="L780" t="s">
        <v>20</v>
      </c>
      <c r="M780">
        <v>45123</v>
      </c>
      <c r="N780">
        <v>1410</v>
      </c>
    </row>
    <row r="781" spans="1:14" x14ac:dyDescent="0.35">
      <c r="A781" t="s">
        <v>825</v>
      </c>
      <c r="B781" t="s">
        <v>15</v>
      </c>
      <c r="C781" t="s">
        <v>16</v>
      </c>
      <c r="D781">
        <v>56</v>
      </c>
      <c r="E781" t="s">
        <v>798</v>
      </c>
      <c r="F781">
        <v>5419</v>
      </c>
      <c r="G781" t="s">
        <v>18</v>
      </c>
      <c r="H781">
        <v>27</v>
      </c>
      <c r="I781" t="s">
        <v>19</v>
      </c>
      <c r="J781">
        <v>2014</v>
      </c>
      <c r="K781">
        <v>2014</v>
      </c>
      <c r="L781" t="s">
        <v>20</v>
      </c>
      <c r="M781">
        <v>44021</v>
      </c>
      <c r="N781">
        <v>1410</v>
      </c>
    </row>
    <row r="782" spans="1:14" x14ac:dyDescent="0.35">
      <c r="A782" t="s">
        <v>826</v>
      </c>
      <c r="B782" t="s">
        <v>15</v>
      </c>
      <c r="C782" t="s">
        <v>16</v>
      </c>
      <c r="D782">
        <v>56</v>
      </c>
      <c r="E782" t="s">
        <v>798</v>
      </c>
      <c r="F782">
        <v>5419</v>
      </c>
      <c r="G782" t="s">
        <v>18</v>
      </c>
      <c r="H782">
        <v>27</v>
      </c>
      <c r="I782" t="s">
        <v>19</v>
      </c>
      <c r="J782">
        <v>2015</v>
      </c>
      <c r="K782">
        <v>2015</v>
      </c>
      <c r="L782" t="s">
        <v>20</v>
      </c>
      <c r="M782">
        <v>51680</v>
      </c>
      <c r="N782">
        <v>1410</v>
      </c>
    </row>
    <row r="783" spans="1:14" x14ac:dyDescent="0.35">
      <c r="A783" t="s">
        <v>827</v>
      </c>
      <c r="B783" t="s">
        <v>15</v>
      </c>
      <c r="C783" t="s">
        <v>16</v>
      </c>
      <c r="D783">
        <v>56</v>
      </c>
      <c r="E783" t="s">
        <v>798</v>
      </c>
      <c r="F783">
        <v>5419</v>
      </c>
      <c r="G783" t="s">
        <v>18</v>
      </c>
      <c r="H783">
        <v>27</v>
      </c>
      <c r="I783" t="s">
        <v>19</v>
      </c>
      <c r="J783">
        <v>2016</v>
      </c>
      <c r="K783">
        <v>2016</v>
      </c>
      <c r="L783" t="s">
        <v>20</v>
      </c>
      <c r="M783">
        <v>52563</v>
      </c>
      <c r="N783">
        <v>1410</v>
      </c>
    </row>
    <row r="784" spans="1:14" x14ac:dyDescent="0.35">
      <c r="A784" t="s">
        <v>828</v>
      </c>
      <c r="B784" t="s">
        <v>15</v>
      </c>
      <c r="C784" t="s">
        <v>16</v>
      </c>
      <c r="D784">
        <v>58</v>
      </c>
      <c r="E784" t="s">
        <v>829</v>
      </c>
      <c r="F784">
        <v>5419</v>
      </c>
      <c r="G784" t="s">
        <v>18</v>
      </c>
      <c r="H784">
        <v>27</v>
      </c>
      <c r="I784" t="s">
        <v>19</v>
      </c>
      <c r="J784">
        <v>1985</v>
      </c>
      <c r="K784">
        <v>1985</v>
      </c>
      <c r="L784" t="s">
        <v>20</v>
      </c>
      <c r="M784">
        <v>26508</v>
      </c>
      <c r="N784">
        <v>2274</v>
      </c>
    </row>
    <row r="785" spans="1:14" x14ac:dyDescent="0.35">
      <c r="A785" t="s">
        <v>830</v>
      </c>
      <c r="B785" t="s">
        <v>15</v>
      </c>
      <c r="C785" t="s">
        <v>16</v>
      </c>
      <c r="D785">
        <v>58</v>
      </c>
      <c r="E785" t="s">
        <v>829</v>
      </c>
      <c r="F785">
        <v>5419</v>
      </c>
      <c r="G785" t="s">
        <v>18</v>
      </c>
      <c r="H785">
        <v>27</v>
      </c>
      <c r="I785" t="s">
        <v>19</v>
      </c>
      <c r="J785">
        <v>1986</v>
      </c>
      <c r="K785">
        <v>1986</v>
      </c>
      <c r="L785" t="s">
        <v>20</v>
      </c>
      <c r="M785">
        <v>25275</v>
      </c>
      <c r="N785">
        <v>2274</v>
      </c>
    </row>
    <row r="786" spans="1:14" x14ac:dyDescent="0.35">
      <c r="A786" t="s">
        <v>831</v>
      </c>
      <c r="B786" t="s">
        <v>15</v>
      </c>
      <c r="C786" t="s">
        <v>16</v>
      </c>
      <c r="D786">
        <v>58</v>
      </c>
      <c r="E786" t="s">
        <v>829</v>
      </c>
      <c r="F786">
        <v>5419</v>
      </c>
      <c r="G786" t="s">
        <v>18</v>
      </c>
      <c r="H786">
        <v>27</v>
      </c>
      <c r="I786" t="s">
        <v>19</v>
      </c>
      <c r="J786">
        <v>1987</v>
      </c>
      <c r="K786">
        <v>1987</v>
      </c>
      <c r="L786" t="s">
        <v>20</v>
      </c>
      <c r="M786">
        <v>28299</v>
      </c>
      <c r="N786">
        <v>2274</v>
      </c>
    </row>
    <row r="787" spans="1:14" x14ac:dyDescent="0.35">
      <c r="A787" t="s">
        <v>832</v>
      </c>
      <c r="B787" t="s">
        <v>15</v>
      </c>
      <c r="C787" t="s">
        <v>16</v>
      </c>
      <c r="D787">
        <v>58</v>
      </c>
      <c r="E787" t="s">
        <v>829</v>
      </c>
      <c r="F787">
        <v>5419</v>
      </c>
      <c r="G787" t="s">
        <v>18</v>
      </c>
      <c r="H787">
        <v>27</v>
      </c>
      <c r="I787" t="s">
        <v>19</v>
      </c>
      <c r="J787">
        <v>1989</v>
      </c>
      <c r="K787">
        <v>1989</v>
      </c>
      <c r="L787" t="s">
        <v>20</v>
      </c>
      <c r="M787">
        <v>31247</v>
      </c>
      <c r="N787">
        <v>2274</v>
      </c>
    </row>
    <row r="788" spans="1:14" x14ac:dyDescent="0.35">
      <c r="A788" t="s">
        <v>833</v>
      </c>
      <c r="B788" t="s">
        <v>15</v>
      </c>
      <c r="C788" t="s">
        <v>16</v>
      </c>
      <c r="D788">
        <v>58</v>
      </c>
      <c r="E788" t="s">
        <v>829</v>
      </c>
      <c r="F788">
        <v>5419</v>
      </c>
      <c r="G788" t="s">
        <v>18</v>
      </c>
      <c r="H788">
        <v>27</v>
      </c>
      <c r="I788" t="s">
        <v>19</v>
      </c>
      <c r="J788">
        <v>1990</v>
      </c>
      <c r="K788">
        <v>1990</v>
      </c>
      <c r="L788" t="s">
        <v>20</v>
      </c>
      <c r="M788">
        <v>31218</v>
      </c>
      <c r="N788">
        <v>2274</v>
      </c>
    </row>
    <row r="789" spans="1:14" x14ac:dyDescent="0.35">
      <c r="A789" t="s">
        <v>834</v>
      </c>
      <c r="B789" t="s">
        <v>15</v>
      </c>
      <c r="C789" t="s">
        <v>16</v>
      </c>
      <c r="D789">
        <v>58</v>
      </c>
      <c r="E789" t="s">
        <v>829</v>
      </c>
      <c r="F789">
        <v>5419</v>
      </c>
      <c r="G789" t="s">
        <v>18</v>
      </c>
      <c r="H789">
        <v>27</v>
      </c>
      <c r="I789" t="s">
        <v>19</v>
      </c>
      <c r="J789">
        <v>1991</v>
      </c>
      <c r="K789">
        <v>1991</v>
      </c>
      <c r="L789" t="s">
        <v>20</v>
      </c>
      <c r="M789">
        <v>26921</v>
      </c>
      <c r="N789">
        <v>2274</v>
      </c>
    </row>
    <row r="790" spans="1:14" x14ac:dyDescent="0.35">
      <c r="A790" t="s">
        <v>835</v>
      </c>
      <c r="B790" t="s">
        <v>15</v>
      </c>
      <c r="C790" t="s">
        <v>16</v>
      </c>
      <c r="D790">
        <v>58</v>
      </c>
      <c r="E790" t="s">
        <v>829</v>
      </c>
      <c r="F790">
        <v>5419</v>
      </c>
      <c r="G790" t="s">
        <v>18</v>
      </c>
      <c r="H790">
        <v>27</v>
      </c>
      <c r="I790" t="s">
        <v>19</v>
      </c>
      <c r="J790">
        <v>1992</v>
      </c>
      <c r="K790">
        <v>1992</v>
      </c>
      <c r="L790" t="s">
        <v>20</v>
      </c>
      <c r="M790">
        <v>33254</v>
      </c>
      <c r="N790">
        <v>2274</v>
      </c>
    </row>
    <row r="791" spans="1:14" x14ac:dyDescent="0.35">
      <c r="A791" t="s">
        <v>836</v>
      </c>
      <c r="B791" t="s">
        <v>15</v>
      </c>
      <c r="C791" t="s">
        <v>16</v>
      </c>
      <c r="D791">
        <v>58</v>
      </c>
      <c r="E791" t="s">
        <v>829</v>
      </c>
      <c r="F791">
        <v>5419</v>
      </c>
      <c r="G791" t="s">
        <v>18</v>
      </c>
      <c r="H791">
        <v>27</v>
      </c>
      <c r="I791" t="s">
        <v>19</v>
      </c>
      <c r="J791">
        <v>1993</v>
      </c>
      <c r="K791">
        <v>1993</v>
      </c>
      <c r="L791" t="s">
        <v>20</v>
      </c>
      <c r="M791">
        <v>34804</v>
      </c>
      <c r="N791">
        <v>2274</v>
      </c>
    </row>
    <row r="792" spans="1:14" x14ac:dyDescent="0.35">
      <c r="A792" t="s">
        <v>837</v>
      </c>
      <c r="B792" t="s">
        <v>15</v>
      </c>
      <c r="C792" t="s">
        <v>16</v>
      </c>
      <c r="D792">
        <v>58</v>
      </c>
      <c r="E792" t="s">
        <v>829</v>
      </c>
      <c r="F792">
        <v>5419</v>
      </c>
      <c r="G792" t="s">
        <v>18</v>
      </c>
      <c r="H792">
        <v>27</v>
      </c>
      <c r="I792" t="s">
        <v>19</v>
      </c>
      <c r="J792">
        <v>1994</v>
      </c>
      <c r="K792">
        <v>1994</v>
      </c>
      <c r="L792" t="s">
        <v>20</v>
      </c>
      <c r="M792">
        <v>37385</v>
      </c>
      <c r="N792">
        <v>2274</v>
      </c>
    </row>
    <row r="793" spans="1:14" x14ac:dyDescent="0.35">
      <c r="A793" t="s">
        <v>838</v>
      </c>
      <c r="B793" t="s">
        <v>15</v>
      </c>
      <c r="C793" t="s">
        <v>16</v>
      </c>
      <c r="D793">
        <v>58</v>
      </c>
      <c r="E793" t="s">
        <v>829</v>
      </c>
      <c r="F793">
        <v>5419</v>
      </c>
      <c r="G793" t="s">
        <v>18</v>
      </c>
      <c r="H793">
        <v>27</v>
      </c>
      <c r="I793" t="s">
        <v>19</v>
      </c>
      <c r="J793">
        <v>1995</v>
      </c>
      <c r="K793">
        <v>1995</v>
      </c>
      <c r="L793" t="s">
        <v>20</v>
      </c>
      <c r="M793">
        <v>32622</v>
      </c>
      <c r="N793">
        <v>2274</v>
      </c>
    </row>
    <row r="794" spans="1:14" x14ac:dyDescent="0.35">
      <c r="A794" t="s">
        <v>839</v>
      </c>
      <c r="B794" t="s">
        <v>15</v>
      </c>
      <c r="C794" t="s">
        <v>16</v>
      </c>
      <c r="D794">
        <v>58</v>
      </c>
      <c r="E794" t="s">
        <v>829</v>
      </c>
      <c r="F794">
        <v>5419</v>
      </c>
      <c r="G794" t="s">
        <v>18</v>
      </c>
      <c r="H794">
        <v>27</v>
      </c>
      <c r="I794" t="s">
        <v>19</v>
      </c>
      <c r="J794">
        <v>1996</v>
      </c>
      <c r="K794">
        <v>1996</v>
      </c>
      <c r="L794" t="s">
        <v>20</v>
      </c>
      <c r="M794">
        <v>35620</v>
      </c>
      <c r="N794">
        <v>2274</v>
      </c>
    </row>
    <row r="795" spans="1:14" x14ac:dyDescent="0.35">
      <c r="A795" t="s">
        <v>840</v>
      </c>
      <c r="B795" t="s">
        <v>15</v>
      </c>
      <c r="C795" t="s">
        <v>16</v>
      </c>
      <c r="D795">
        <v>58</v>
      </c>
      <c r="E795" t="s">
        <v>829</v>
      </c>
      <c r="F795">
        <v>5419</v>
      </c>
      <c r="G795" t="s">
        <v>18</v>
      </c>
      <c r="H795">
        <v>27</v>
      </c>
      <c r="I795" t="s">
        <v>19</v>
      </c>
      <c r="J795">
        <v>1997</v>
      </c>
      <c r="K795">
        <v>1997</v>
      </c>
      <c r="L795" t="s">
        <v>20</v>
      </c>
      <c r="M795">
        <v>35876</v>
      </c>
      <c r="N795">
        <v>2274</v>
      </c>
    </row>
    <row r="796" spans="1:14" x14ac:dyDescent="0.35">
      <c r="A796" t="s">
        <v>841</v>
      </c>
      <c r="B796" t="s">
        <v>15</v>
      </c>
      <c r="C796" t="s">
        <v>16</v>
      </c>
      <c r="D796">
        <v>58</v>
      </c>
      <c r="E796" t="s">
        <v>829</v>
      </c>
      <c r="F796">
        <v>5419</v>
      </c>
      <c r="G796" t="s">
        <v>18</v>
      </c>
      <c r="H796">
        <v>27</v>
      </c>
      <c r="I796" t="s">
        <v>19</v>
      </c>
      <c r="J796">
        <v>1998</v>
      </c>
      <c r="K796">
        <v>1998</v>
      </c>
      <c r="L796" t="s">
        <v>20</v>
      </c>
      <c r="M796">
        <v>32060</v>
      </c>
      <c r="N796">
        <v>2274</v>
      </c>
    </row>
    <row r="797" spans="1:14" x14ac:dyDescent="0.35">
      <c r="A797" t="s">
        <v>842</v>
      </c>
      <c r="B797" t="s">
        <v>15</v>
      </c>
      <c r="C797" t="s">
        <v>16</v>
      </c>
      <c r="D797">
        <v>58</v>
      </c>
      <c r="E797" t="s">
        <v>829</v>
      </c>
      <c r="F797">
        <v>5419</v>
      </c>
      <c r="G797" t="s">
        <v>18</v>
      </c>
      <c r="H797">
        <v>27</v>
      </c>
      <c r="I797" t="s">
        <v>19</v>
      </c>
      <c r="J797">
        <v>1999</v>
      </c>
      <c r="K797">
        <v>1999</v>
      </c>
      <c r="L797" t="s">
        <v>20</v>
      </c>
      <c r="M797">
        <v>35225</v>
      </c>
      <c r="N797">
        <v>2274</v>
      </c>
    </row>
    <row r="798" spans="1:14" x14ac:dyDescent="0.35">
      <c r="A798" t="s">
        <v>843</v>
      </c>
      <c r="B798" t="s">
        <v>15</v>
      </c>
      <c r="C798" t="s">
        <v>16</v>
      </c>
      <c r="D798">
        <v>58</v>
      </c>
      <c r="E798" t="s">
        <v>829</v>
      </c>
      <c r="F798">
        <v>5419</v>
      </c>
      <c r="G798" t="s">
        <v>18</v>
      </c>
      <c r="H798">
        <v>27</v>
      </c>
      <c r="I798" t="s">
        <v>19</v>
      </c>
      <c r="J798">
        <v>2000</v>
      </c>
      <c r="K798">
        <v>2000</v>
      </c>
      <c r="L798" t="s">
        <v>20</v>
      </c>
      <c r="M798">
        <v>36812</v>
      </c>
      <c r="N798">
        <v>2274</v>
      </c>
    </row>
    <row r="799" spans="1:14" x14ac:dyDescent="0.35">
      <c r="A799" t="s">
        <v>844</v>
      </c>
      <c r="B799" t="s">
        <v>15</v>
      </c>
      <c r="C799" t="s">
        <v>16</v>
      </c>
      <c r="D799">
        <v>58</v>
      </c>
      <c r="E799" t="s">
        <v>829</v>
      </c>
      <c r="F799">
        <v>5419</v>
      </c>
      <c r="G799" t="s">
        <v>18</v>
      </c>
      <c r="H799">
        <v>27</v>
      </c>
      <c r="I799" t="s">
        <v>19</v>
      </c>
      <c r="J799">
        <v>2001</v>
      </c>
      <c r="K799">
        <v>2001</v>
      </c>
      <c r="L799" t="s">
        <v>20</v>
      </c>
      <c r="M799">
        <v>36000</v>
      </c>
      <c r="N799">
        <v>2274</v>
      </c>
    </row>
    <row r="800" spans="1:14" x14ac:dyDescent="0.35">
      <c r="A800" t="s">
        <v>845</v>
      </c>
      <c r="B800" t="s">
        <v>15</v>
      </c>
      <c r="C800" t="s">
        <v>16</v>
      </c>
      <c r="D800">
        <v>58</v>
      </c>
      <c r="E800" t="s">
        <v>829</v>
      </c>
      <c r="F800">
        <v>5419</v>
      </c>
      <c r="G800" t="s">
        <v>18</v>
      </c>
      <c r="H800">
        <v>27</v>
      </c>
      <c r="I800" t="s">
        <v>19</v>
      </c>
      <c r="J800">
        <v>2002</v>
      </c>
      <c r="K800">
        <v>2002</v>
      </c>
      <c r="L800" t="s">
        <v>20</v>
      </c>
      <c r="M800">
        <v>38746</v>
      </c>
      <c r="N800">
        <v>2274</v>
      </c>
    </row>
    <row r="801" spans="1:14" x14ac:dyDescent="0.35">
      <c r="A801" t="s">
        <v>846</v>
      </c>
      <c r="B801" t="s">
        <v>15</v>
      </c>
      <c r="C801" t="s">
        <v>16</v>
      </c>
      <c r="D801">
        <v>58</v>
      </c>
      <c r="E801" t="s">
        <v>829</v>
      </c>
      <c r="F801">
        <v>5419</v>
      </c>
      <c r="G801" t="s">
        <v>18</v>
      </c>
      <c r="H801">
        <v>27</v>
      </c>
      <c r="I801" t="s">
        <v>19</v>
      </c>
      <c r="J801">
        <v>2004</v>
      </c>
      <c r="K801">
        <v>2004</v>
      </c>
      <c r="L801" t="s">
        <v>20</v>
      </c>
      <c r="M801">
        <v>42187</v>
      </c>
      <c r="N801">
        <v>2274</v>
      </c>
    </row>
    <row r="802" spans="1:14" x14ac:dyDescent="0.35">
      <c r="A802" t="s">
        <v>847</v>
      </c>
      <c r="B802" t="s">
        <v>15</v>
      </c>
      <c r="C802" t="s">
        <v>16</v>
      </c>
      <c r="D802">
        <v>58</v>
      </c>
      <c r="E802" t="s">
        <v>829</v>
      </c>
      <c r="F802">
        <v>5419</v>
      </c>
      <c r="G802" t="s">
        <v>18</v>
      </c>
      <c r="H802">
        <v>27</v>
      </c>
      <c r="I802" t="s">
        <v>19</v>
      </c>
      <c r="J802">
        <v>2005</v>
      </c>
      <c r="K802">
        <v>2005</v>
      </c>
      <c r="L802" t="s">
        <v>20</v>
      </c>
      <c r="M802">
        <v>38989</v>
      </c>
      <c r="N802">
        <v>2274</v>
      </c>
    </row>
    <row r="803" spans="1:14" x14ac:dyDescent="0.35">
      <c r="A803" t="s">
        <v>848</v>
      </c>
      <c r="B803" t="s">
        <v>15</v>
      </c>
      <c r="C803" t="s">
        <v>16</v>
      </c>
      <c r="D803">
        <v>58</v>
      </c>
      <c r="E803" t="s">
        <v>829</v>
      </c>
      <c r="F803">
        <v>5419</v>
      </c>
      <c r="G803" t="s">
        <v>18</v>
      </c>
      <c r="H803">
        <v>27</v>
      </c>
      <c r="I803" t="s">
        <v>19</v>
      </c>
      <c r="J803">
        <v>2006</v>
      </c>
      <c r="K803">
        <v>2006</v>
      </c>
      <c r="L803" t="s">
        <v>20</v>
      </c>
      <c r="M803">
        <v>41986</v>
      </c>
      <c r="N803">
        <v>2274</v>
      </c>
    </row>
    <row r="804" spans="1:14" x14ac:dyDescent="0.35">
      <c r="A804" t="s">
        <v>849</v>
      </c>
      <c r="B804" t="s">
        <v>15</v>
      </c>
      <c r="C804" t="s">
        <v>16</v>
      </c>
      <c r="D804">
        <v>58</v>
      </c>
      <c r="E804" t="s">
        <v>829</v>
      </c>
      <c r="F804">
        <v>5419</v>
      </c>
      <c r="G804" t="s">
        <v>18</v>
      </c>
      <c r="H804">
        <v>27</v>
      </c>
      <c r="I804" t="s">
        <v>19</v>
      </c>
      <c r="J804">
        <v>2007</v>
      </c>
      <c r="K804">
        <v>2007</v>
      </c>
      <c r="L804" t="s">
        <v>20</v>
      </c>
      <c r="M804">
        <v>43555</v>
      </c>
      <c r="N804">
        <v>2274</v>
      </c>
    </row>
    <row r="805" spans="1:14" x14ac:dyDescent="0.35">
      <c r="A805" t="s">
        <v>850</v>
      </c>
      <c r="B805" t="s">
        <v>15</v>
      </c>
      <c r="C805" t="s">
        <v>16</v>
      </c>
      <c r="D805">
        <v>58</v>
      </c>
      <c r="E805" t="s">
        <v>829</v>
      </c>
      <c r="F805">
        <v>5419</v>
      </c>
      <c r="G805" t="s">
        <v>18</v>
      </c>
      <c r="H805">
        <v>27</v>
      </c>
      <c r="I805" t="s">
        <v>19</v>
      </c>
      <c r="J805">
        <v>2008</v>
      </c>
      <c r="K805">
        <v>2008</v>
      </c>
      <c r="L805" t="s">
        <v>20</v>
      </c>
      <c r="M805">
        <v>40639</v>
      </c>
      <c r="N805">
        <v>2274</v>
      </c>
    </row>
    <row r="806" spans="1:14" x14ac:dyDescent="0.35">
      <c r="A806" t="s">
        <v>851</v>
      </c>
      <c r="B806" t="s">
        <v>15</v>
      </c>
      <c r="C806" t="s">
        <v>16</v>
      </c>
      <c r="D806">
        <v>58</v>
      </c>
      <c r="E806" t="s">
        <v>829</v>
      </c>
      <c r="F806">
        <v>5419</v>
      </c>
      <c r="G806" t="s">
        <v>18</v>
      </c>
      <c r="H806">
        <v>27</v>
      </c>
      <c r="I806" t="s">
        <v>19</v>
      </c>
      <c r="J806">
        <v>2009</v>
      </c>
      <c r="K806">
        <v>2009</v>
      </c>
      <c r="L806" t="s">
        <v>20</v>
      </c>
      <c r="M806">
        <v>40004</v>
      </c>
      <c r="N806">
        <v>2274</v>
      </c>
    </row>
    <row r="807" spans="1:14" x14ac:dyDescent="0.35">
      <c r="A807" t="s">
        <v>852</v>
      </c>
      <c r="B807" t="s">
        <v>15</v>
      </c>
      <c r="C807" t="s">
        <v>16</v>
      </c>
      <c r="D807">
        <v>58</v>
      </c>
      <c r="E807" t="s">
        <v>829</v>
      </c>
      <c r="F807">
        <v>5419</v>
      </c>
      <c r="G807" t="s">
        <v>18</v>
      </c>
      <c r="H807">
        <v>27</v>
      </c>
      <c r="I807" t="s">
        <v>19</v>
      </c>
      <c r="J807">
        <v>2010</v>
      </c>
      <c r="K807">
        <v>2010</v>
      </c>
      <c r="L807" t="s">
        <v>20</v>
      </c>
      <c r="M807">
        <v>43399</v>
      </c>
      <c r="N807">
        <v>2274</v>
      </c>
    </row>
    <row r="808" spans="1:14" x14ac:dyDescent="0.35">
      <c r="A808" t="s">
        <v>853</v>
      </c>
      <c r="B808" t="s">
        <v>15</v>
      </c>
      <c r="C808" t="s">
        <v>16</v>
      </c>
      <c r="D808">
        <v>58</v>
      </c>
      <c r="E808" t="s">
        <v>829</v>
      </c>
      <c r="F808">
        <v>5419</v>
      </c>
      <c r="G808" t="s">
        <v>18</v>
      </c>
      <c r="H808">
        <v>27</v>
      </c>
      <c r="I808" t="s">
        <v>19</v>
      </c>
      <c r="J808">
        <v>2011</v>
      </c>
      <c r="K808">
        <v>2011</v>
      </c>
      <c r="L808" t="s">
        <v>20</v>
      </c>
      <c r="M808">
        <v>44792</v>
      </c>
      <c r="N808">
        <v>2274</v>
      </c>
    </row>
    <row r="809" spans="1:14" x14ac:dyDescent="0.35">
      <c r="A809" t="s">
        <v>854</v>
      </c>
      <c r="B809" t="s">
        <v>15</v>
      </c>
      <c r="C809" t="s">
        <v>16</v>
      </c>
      <c r="D809">
        <v>58</v>
      </c>
      <c r="E809" t="s">
        <v>829</v>
      </c>
      <c r="F809">
        <v>5419</v>
      </c>
      <c r="G809" t="s">
        <v>18</v>
      </c>
      <c r="H809">
        <v>27</v>
      </c>
      <c r="I809" t="s">
        <v>19</v>
      </c>
      <c r="J809">
        <v>2012</v>
      </c>
      <c r="K809">
        <v>2012</v>
      </c>
      <c r="L809" t="s">
        <v>20</v>
      </c>
      <c r="M809">
        <v>42178</v>
      </c>
      <c r="N809">
        <v>2274</v>
      </c>
    </row>
    <row r="810" spans="1:14" x14ac:dyDescent="0.35">
      <c r="A810" t="s">
        <v>855</v>
      </c>
      <c r="B810" t="s">
        <v>15</v>
      </c>
      <c r="C810" t="s">
        <v>16</v>
      </c>
      <c r="D810">
        <v>58</v>
      </c>
      <c r="E810" t="s">
        <v>829</v>
      </c>
      <c r="F810">
        <v>5419</v>
      </c>
      <c r="G810" t="s">
        <v>18</v>
      </c>
      <c r="H810">
        <v>27</v>
      </c>
      <c r="I810" t="s">
        <v>19</v>
      </c>
      <c r="J810">
        <v>2013</v>
      </c>
      <c r="K810">
        <v>2013</v>
      </c>
      <c r="L810" t="s">
        <v>20</v>
      </c>
      <c r="M810">
        <v>38210</v>
      </c>
      <c r="N810">
        <v>2274</v>
      </c>
    </row>
    <row r="811" spans="1:14" x14ac:dyDescent="0.35">
      <c r="A811" t="s">
        <v>856</v>
      </c>
      <c r="B811" t="s">
        <v>15</v>
      </c>
      <c r="C811" t="s">
        <v>16</v>
      </c>
      <c r="D811">
        <v>58</v>
      </c>
      <c r="E811" t="s">
        <v>829</v>
      </c>
      <c r="F811">
        <v>5419</v>
      </c>
      <c r="G811" t="s">
        <v>18</v>
      </c>
      <c r="H811">
        <v>27</v>
      </c>
      <c r="I811" t="s">
        <v>19</v>
      </c>
      <c r="J811">
        <v>2014</v>
      </c>
      <c r="K811">
        <v>2014</v>
      </c>
      <c r="L811" t="s">
        <v>20</v>
      </c>
      <c r="M811">
        <v>38967</v>
      </c>
      <c r="N811">
        <v>2274</v>
      </c>
    </row>
    <row r="812" spans="1:14" x14ac:dyDescent="0.35">
      <c r="A812" t="s">
        <v>857</v>
      </c>
      <c r="B812" t="s">
        <v>15</v>
      </c>
      <c r="C812" t="s">
        <v>16</v>
      </c>
      <c r="D812">
        <v>58</v>
      </c>
      <c r="E812" t="s">
        <v>829</v>
      </c>
      <c r="F812">
        <v>5419</v>
      </c>
      <c r="G812" t="s">
        <v>18</v>
      </c>
      <c r="H812">
        <v>27</v>
      </c>
      <c r="I812" t="s">
        <v>19</v>
      </c>
      <c r="J812">
        <v>2015</v>
      </c>
      <c r="K812">
        <v>2015</v>
      </c>
      <c r="L812" t="s">
        <v>20</v>
      </c>
      <c r="M812">
        <v>44061</v>
      </c>
      <c r="N812">
        <v>2274</v>
      </c>
    </row>
    <row r="813" spans="1:14" x14ac:dyDescent="0.35">
      <c r="A813" t="s">
        <v>858</v>
      </c>
      <c r="B813" t="s">
        <v>15</v>
      </c>
      <c r="C813" t="s">
        <v>16</v>
      </c>
      <c r="D813">
        <v>58</v>
      </c>
      <c r="E813" t="s">
        <v>829</v>
      </c>
      <c r="F813">
        <v>5419</v>
      </c>
      <c r="G813" t="s">
        <v>18</v>
      </c>
      <c r="H813">
        <v>27</v>
      </c>
      <c r="I813" t="s">
        <v>19</v>
      </c>
      <c r="J813">
        <v>2016</v>
      </c>
      <c r="K813">
        <v>2016</v>
      </c>
      <c r="L813" t="s">
        <v>20</v>
      </c>
      <c r="M813">
        <v>41905</v>
      </c>
      <c r="N813">
        <v>2274</v>
      </c>
    </row>
    <row r="814" spans="1:14" x14ac:dyDescent="0.35">
      <c r="A814" t="s">
        <v>859</v>
      </c>
      <c r="B814" t="s">
        <v>15</v>
      </c>
      <c r="C814" t="s">
        <v>16</v>
      </c>
      <c r="D814">
        <v>59</v>
      </c>
      <c r="E814" t="s">
        <v>860</v>
      </c>
      <c r="F814">
        <v>5419</v>
      </c>
      <c r="G814" t="s">
        <v>18</v>
      </c>
      <c r="H814">
        <v>27</v>
      </c>
      <c r="I814" t="s">
        <v>19</v>
      </c>
      <c r="J814">
        <v>1985</v>
      </c>
      <c r="K814">
        <v>1985</v>
      </c>
      <c r="L814" t="s">
        <v>20</v>
      </c>
      <c r="M814">
        <v>59478</v>
      </c>
      <c r="N814">
        <v>51</v>
      </c>
    </row>
    <row r="815" spans="1:14" x14ac:dyDescent="0.35">
      <c r="A815" t="s">
        <v>861</v>
      </c>
      <c r="B815" t="s">
        <v>15</v>
      </c>
      <c r="C815" t="s">
        <v>16</v>
      </c>
      <c r="D815">
        <v>59</v>
      </c>
      <c r="E815" t="s">
        <v>860</v>
      </c>
      <c r="F815">
        <v>5419</v>
      </c>
      <c r="G815" t="s">
        <v>18</v>
      </c>
      <c r="H815">
        <v>27</v>
      </c>
      <c r="I815" t="s">
        <v>19</v>
      </c>
      <c r="J815">
        <v>1986</v>
      </c>
      <c r="K815">
        <v>1986</v>
      </c>
      <c r="L815" t="s">
        <v>20</v>
      </c>
      <c r="M815">
        <v>57747</v>
      </c>
      <c r="N815">
        <v>51</v>
      </c>
    </row>
    <row r="816" spans="1:14" x14ac:dyDescent="0.35">
      <c r="A816" t="s">
        <v>862</v>
      </c>
      <c r="B816" t="s">
        <v>15</v>
      </c>
      <c r="C816" t="s">
        <v>16</v>
      </c>
      <c r="D816">
        <v>59</v>
      </c>
      <c r="E816" t="s">
        <v>860</v>
      </c>
      <c r="F816">
        <v>5419</v>
      </c>
      <c r="G816" t="s">
        <v>18</v>
      </c>
      <c r="H816">
        <v>27</v>
      </c>
      <c r="I816" t="s">
        <v>19</v>
      </c>
      <c r="J816">
        <v>1987</v>
      </c>
      <c r="K816">
        <v>1987</v>
      </c>
      <c r="L816" t="s">
        <v>20</v>
      </c>
      <c r="M816">
        <v>58265</v>
      </c>
      <c r="N816">
        <v>51</v>
      </c>
    </row>
    <row r="817" spans="1:14" x14ac:dyDescent="0.35">
      <c r="A817" t="s">
        <v>863</v>
      </c>
      <c r="B817" t="s">
        <v>15</v>
      </c>
      <c r="C817" t="s">
        <v>16</v>
      </c>
      <c r="D817">
        <v>59</v>
      </c>
      <c r="E817" t="s">
        <v>860</v>
      </c>
      <c r="F817">
        <v>5419</v>
      </c>
      <c r="G817" t="s">
        <v>18</v>
      </c>
      <c r="H817">
        <v>27</v>
      </c>
      <c r="I817" t="s">
        <v>19</v>
      </c>
      <c r="J817">
        <v>1989</v>
      </c>
      <c r="K817">
        <v>1989</v>
      </c>
      <c r="L817" t="s">
        <v>20</v>
      </c>
      <c r="M817">
        <v>64825</v>
      </c>
      <c r="N817">
        <v>51</v>
      </c>
    </row>
    <row r="818" spans="1:14" x14ac:dyDescent="0.35">
      <c r="A818" t="s">
        <v>864</v>
      </c>
      <c r="B818" t="s">
        <v>15</v>
      </c>
      <c r="C818" t="s">
        <v>16</v>
      </c>
      <c r="D818">
        <v>59</v>
      </c>
      <c r="E818" t="s">
        <v>860</v>
      </c>
      <c r="F818">
        <v>5419</v>
      </c>
      <c r="G818" t="s">
        <v>18</v>
      </c>
      <c r="H818">
        <v>27</v>
      </c>
      <c r="I818" t="s">
        <v>19</v>
      </c>
      <c r="J818">
        <v>1990</v>
      </c>
      <c r="K818">
        <v>1990</v>
      </c>
      <c r="L818" t="s">
        <v>20</v>
      </c>
      <c r="M818">
        <v>72663</v>
      </c>
      <c r="N818">
        <v>51</v>
      </c>
    </row>
    <row r="819" spans="1:14" x14ac:dyDescent="0.35">
      <c r="A819" t="s">
        <v>865</v>
      </c>
      <c r="B819" t="s">
        <v>15</v>
      </c>
      <c r="C819" t="s">
        <v>16</v>
      </c>
      <c r="D819">
        <v>59</v>
      </c>
      <c r="E819" t="s">
        <v>860</v>
      </c>
      <c r="F819">
        <v>5419</v>
      </c>
      <c r="G819" t="s">
        <v>18</v>
      </c>
      <c r="H819">
        <v>27</v>
      </c>
      <c r="I819" t="s">
        <v>19</v>
      </c>
      <c r="J819">
        <v>1991</v>
      </c>
      <c r="K819">
        <v>1991</v>
      </c>
      <c r="L819" t="s">
        <v>20</v>
      </c>
      <c r="M819">
        <v>74554</v>
      </c>
      <c r="N819">
        <v>51</v>
      </c>
    </row>
    <row r="820" spans="1:14" x14ac:dyDescent="0.35">
      <c r="A820" t="s">
        <v>866</v>
      </c>
      <c r="B820" t="s">
        <v>15</v>
      </c>
      <c r="C820" t="s">
        <v>16</v>
      </c>
      <c r="D820">
        <v>59</v>
      </c>
      <c r="E820" t="s">
        <v>860</v>
      </c>
      <c r="F820">
        <v>5419</v>
      </c>
      <c r="G820" t="s">
        <v>18</v>
      </c>
      <c r="H820">
        <v>27</v>
      </c>
      <c r="I820" t="s">
        <v>19</v>
      </c>
      <c r="J820">
        <v>1992</v>
      </c>
      <c r="K820">
        <v>1992</v>
      </c>
      <c r="L820" t="s">
        <v>20</v>
      </c>
      <c r="M820">
        <v>76511</v>
      </c>
      <c r="N820">
        <v>51</v>
      </c>
    </row>
    <row r="821" spans="1:14" x14ac:dyDescent="0.35">
      <c r="A821" t="s">
        <v>867</v>
      </c>
      <c r="B821" t="s">
        <v>15</v>
      </c>
      <c r="C821" t="s">
        <v>16</v>
      </c>
      <c r="D821">
        <v>59</v>
      </c>
      <c r="E821" t="s">
        <v>860</v>
      </c>
      <c r="F821">
        <v>5419</v>
      </c>
      <c r="G821" t="s">
        <v>18</v>
      </c>
      <c r="H821">
        <v>27</v>
      </c>
      <c r="I821" t="s">
        <v>19</v>
      </c>
      <c r="J821">
        <v>1993</v>
      </c>
      <c r="K821">
        <v>1993</v>
      </c>
      <c r="L821" t="s">
        <v>20</v>
      </c>
      <c r="M821">
        <v>77184</v>
      </c>
      <c r="N821">
        <v>51</v>
      </c>
    </row>
    <row r="822" spans="1:14" x14ac:dyDescent="0.35">
      <c r="A822" t="s">
        <v>868</v>
      </c>
      <c r="B822" t="s">
        <v>15</v>
      </c>
      <c r="C822" t="s">
        <v>16</v>
      </c>
      <c r="D822">
        <v>59</v>
      </c>
      <c r="E822" t="s">
        <v>860</v>
      </c>
      <c r="F822">
        <v>5419</v>
      </c>
      <c r="G822" t="s">
        <v>18</v>
      </c>
      <c r="H822">
        <v>27</v>
      </c>
      <c r="I822" t="s">
        <v>19</v>
      </c>
      <c r="J822">
        <v>1994</v>
      </c>
      <c r="K822">
        <v>1994</v>
      </c>
      <c r="L822" t="s">
        <v>20</v>
      </c>
      <c r="M822">
        <v>79130</v>
      </c>
      <c r="N822">
        <v>51</v>
      </c>
    </row>
    <row r="823" spans="1:14" x14ac:dyDescent="0.35">
      <c r="A823" t="s">
        <v>869</v>
      </c>
      <c r="B823" t="s">
        <v>15</v>
      </c>
      <c r="C823" t="s">
        <v>16</v>
      </c>
      <c r="D823">
        <v>59</v>
      </c>
      <c r="E823" t="s">
        <v>860</v>
      </c>
      <c r="F823">
        <v>5419</v>
      </c>
      <c r="G823" t="s">
        <v>18</v>
      </c>
      <c r="H823">
        <v>27</v>
      </c>
      <c r="I823" t="s">
        <v>19</v>
      </c>
      <c r="J823">
        <v>1995</v>
      </c>
      <c r="K823">
        <v>1995</v>
      </c>
      <c r="L823" t="s">
        <v>20</v>
      </c>
      <c r="M823">
        <v>81356</v>
      </c>
      <c r="N823">
        <v>51</v>
      </c>
    </row>
    <row r="824" spans="1:14" x14ac:dyDescent="0.35">
      <c r="A824" t="s">
        <v>870</v>
      </c>
      <c r="B824" t="s">
        <v>15</v>
      </c>
      <c r="C824" t="s">
        <v>16</v>
      </c>
      <c r="D824">
        <v>59</v>
      </c>
      <c r="E824" t="s">
        <v>860</v>
      </c>
      <c r="F824">
        <v>5419</v>
      </c>
      <c r="G824" t="s">
        <v>18</v>
      </c>
      <c r="H824">
        <v>27</v>
      </c>
      <c r="I824" t="s">
        <v>19</v>
      </c>
      <c r="J824">
        <v>1996</v>
      </c>
      <c r="K824">
        <v>1996</v>
      </c>
      <c r="L824" t="s">
        <v>20</v>
      </c>
      <c r="M824">
        <v>82910</v>
      </c>
      <c r="N824">
        <v>51</v>
      </c>
    </row>
    <row r="825" spans="1:14" x14ac:dyDescent="0.35">
      <c r="A825" t="s">
        <v>871</v>
      </c>
      <c r="B825" t="s">
        <v>15</v>
      </c>
      <c r="C825" t="s">
        <v>16</v>
      </c>
      <c r="D825">
        <v>59</v>
      </c>
      <c r="E825" t="s">
        <v>860</v>
      </c>
      <c r="F825">
        <v>5419</v>
      </c>
      <c r="G825" t="s">
        <v>18</v>
      </c>
      <c r="H825">
        <v>27</v>
      </c>
      <c r="I825" t="s">
        <v>19</v>
      </c>
      <c r="J825">
        <v>1997</v>
      </c>
      <c r="K825">
        <v>1997</v>
      </c>
      <c r="L825" t="s">
        <v>20</v>
      </c>
      <c r="M825">
        <v>84152</v>
      </c>
      <c r="N825">
        <v>51</v>
      </c>
    </row>
    <row r="826" spans="1:14" x14ac:dyDescent="0.35">
      <c r="A826" t="s">
        <v>872</v>
      </c>
      <c r="B826" t="s">
        <v>15</v>
      </c>
      <c r="C826" t="s">
        <v>16</v>
      </c>
      <c r="D826">
        <v>59</v>
      </c>
      <c r="E826" t="s">
        <v>860</v>
      </c>
      <c r="F826">
        <v>5419</v>
      </c>
      <c r="G826" t="s">
        <v>18</v>
      </c>
      <c r="H826">
        <v>27</v>
      </c>
      <c r="I826" t="s">
        <v>19</v>
      </c>
      <c r="J826">
        <v>1998</v>
      </c>
      <c r="K826">
        <v>1998</v>
      </c>
      <c r="L826" t="s">
        <v>20</v>
      </c>
      <c r="M826">
        <v>86401</v>
      </c>
      <c r="N826">
        <v>51</v>
      </c>
    </row>
    <row r="827" spans="1:14" x14ac:dyDescent="0.35">
      <c r="A827" t="s">
        <v>873</v>
      </c>
      <c r="B827" t="s">
        <v>15</v>
      </c>
      <c r="C827" t="s">
        <v>16</v>
      </c>
      <c r="D827">
        <v>59</v>
      </c>
      <c r="E827" t="s">
        <v>860</v>
      </c>
      <c r="F827">
        <v>5419</v>
      </c>
      <c r="G827" t="s">
        <v>18</v>
      </c>
      <c r="H827">
        <v>27</v>
      </c>
      <c r="I827" t="s">
        <v>19</v>
      </c>
      <c r="J827">
        <v>1999</v>
      </c>
      <c r="K827">
        <v>1999</v>
      </c>
      <c r="L827" t="s">
        <v>20</v>
      </c>
      <c r="M827">
        <v>88780</v>
      </c>
      <c r="N827">
        <v>51</v>
      </c>
    </row>
    <row r="828" spans="1:14" x14ac:dyDescent="0.35">
      <c r="A828" t="s">
        <v>874</v>
      </c>
      <c r="B828" t="s">
        <v>15</v>
      </c>
      <c r="C828" t="s">
        <v>16</v>
      </c>
      <c r="D828">
        <v>59</v>
      </c>
      <c r="E828" t="s">
        <v>860</v>
      </c>
      <c r="F828">
        <v>5419</v>
      </c>
      <c r="G828" t="s">
        <v>18</v>
      </c>
      <c r="H828">
        <v>27</v>
      </c>
      <c r="I828" t="s">
        <v>19</v>
      </c>
      <c r="J828">
        <v>2000</v>
      </c>
      <c r="K828">
        <v>2000</v>
      </c>
      <c r="L828" t="s">
        <v>20</v>
      </c>
      <c r="M828">
        <v>91025</v>
      </c>
      <c r="N828">
        <v>51</v>
      </c>
    </row>
    <row r="829" spans="1:14" x14ac:dyDescent="0.35">
      <c r="A829" t="s">
        <v>875</v>
      </c>
      <c r="B829" t="s">
        <v>15</v>
      </c>
      <c r="C829" t="s">
        <v>16</v>
      </c>
      <c r="D829">
        <v>59</v>
      </c>
      <c r="E829" t="s">
        <v>860</v>
      </c>
      <c r="F829">
        <v>5419</v>
      </c>
      <c r="G829" t="s">
        <v>18</v>
      </c>
      <c r="H829">
        <v>27</v>
      </c>
      <c r="I829" t="s">
        <v>19</v>
      </c>
      <c r="J829">
        <v>2001</v>
      </c>
      <c r="K829">
        <v>2001</v>
      </c>
      <c r="L829" t="s">
        <v>20</v>
      </c>
      <c r="M829">
        <v>92833</v>
      </c>
      <c r="N829">
        <v>51</v>
      </c>
    </row>
    <row r="830" spans="1:14" x14ac:dyDescent="0.35">
      <c r="A830" t="s">
        <v>876</v>
      </c>
      <c r="B830" t="s">
        <v>15</v>
      </c>
      <c r="C830" t="s">
        <v>16</v>
      </c>
      <c r="D830">
        <v>59</v>
      </c>
      <c r="E830" t="s">
        <v>860</v>
      </c>
      <c r="F830">
        <v>5419</v>
      </c>
      <c r="G830" t="s">
        <v>18</v>
      </c>
      <c r="H830">
        <v>27</v>
      </c>
      <c r="I830" t="s">
        <v>19</v>
      </c>
      <c r="J830">
        <v>2002</v>
      </c>
      <c r="K830">
        <v>2002</v>
      </c>
      <c r="L830" t="s">
        <v>20</v>
      </c>
      <c r="M830">
        <v>93889</v>
      </c>
      <c r="N830">
        <v>51</v>
      </c>
    </row>
    <row r="831" spans="1:14" x14ac:dyDescent="0.35">
      <c r="A831" t="s">
        <v>877</v>
      </c>
      <c r="B831" t="s">
        <v>15</v>
      </c>
      <c r="C831" t="s">
        <v>16</v>
      </c>
      <c r="D831">
        <v>59</v>
      </c>
      <c r="E831" t="s">
        <v>860</v>
      </c>
      <c r="F831">
        <v>5419</v>
      </c>
      <c r="G831" t="s">
        <v>18</v>
      </c>
      <c r="H831">
        <v>27</v>
      </c>
      <c r="I831" t="s">
        <v>19</v>
      </c>
      <c r="J831">
        <v>2004</v>
      </c>
      <c r="K831">
        <v>2004</v>
      </c>
      <c r="L831" t="s">
        <v>20</v>
      </c>
      <c r="M831">
        <v>98384</v>
      </c>
      <c r="N831">
        <v>51</v>
      </c>
    </row>
    <row r="832" spans="1:14" x14ac:dyDescent="0.35">
      <c r="A832" t="s">
        <v>878</v>
      </c>
      <c r="B832" t="s">
        <v>15</v>
      </c>
      <c r="C832" t="s">
        <v>16</v>
      </c>
      <c r="D832">
        <v>59</v>
      </c>
      <c r="E832" t="s">
        <v>860</v>
      </c>
      <c r="F832">
        <v>5419</v>
      </c>
      <c r="G832" t="s">
        <v>18</v>
      </c>
      <c r="H832">
        <v>27</v>
      </c>
      <c r="I832" t="s">
        <v>19</v>
      </c>
      <c r="J832">
        <v>2005</v>
      </c>
      <c r="K832">
        <v>2005</v>
      </c>
      <c r="L832" t="s">
        <v>20</v>
      </c>
      <c r="M832">
        <v>99874</v>
      </c>
      <c r="N832">
        <v>51</v>
      </c>
    </row>
    <row r="833" spans="1:14" x14ac:dyDescent="0.35">
      <c r="A833" t="s">
        <v>879</v>
      </c>
      <c r="B833" t="s">
        <v>15</v>
      </c>
      <c r="C833" t="s">
        <v>16</v>
      </c>
      <c r="D833">
        <v>59</v>
      </c>
      <c r="E833" t="s">
        <v>860</v>
      </c>
      <c r="F833">
        <v>5419</v>
      </c>
      <c r="G833" t="s">
        <v>18</v>
      </c>
      <c r="H833">
        <v>27</v>
      </c>
      <c r="I833" t="s">
        <v>19</v>
      </c>
      <c r="J833">
        <v>2006</v>
      </c>
      <c r="K833">
        <v>2006</v>
      </c>
      <c r="L833" t="s">
        <v>20</v>
      </c>
      <c r="M833">
        <v>100750</v>
      </c>
      <c r="N833">
        <v>51</v>
      </c>
    </row>
    <row r="834" spans="1:14" x14ac:dyDescent="0.35">
      <c r="A834" t="s">
        <v>880</v>
      </c>
      <c r="B834" t="s">
        <v>15</v>
      </c>
      <c r="C834" t="s">
        <v>16</v>
      </c>
      <c r="D834">
        <v>59</v>
      </c>
      <c r="E834" t="s">
        <v>860</v>
      </c>
      <c r="F834">
        <v>5419</v>
      </c>
      <c r="G834" t="s">
        <v>18</v>
      </c>
      <c r="H834">
        <v>27</v>
      </c>
      <c r="I834" t="s">
        <v>19</v>
      </c>
      <c r="J834">
        <v>2007</v>
      </c>
      <c r="K834">
        <v>2007</v>
      </c>
      <c r="L834" t="s">
        <v>20</v>
      </c>
      <c r="M834">
        <v>97675</v>
      </c>
      <c r="N834">
        <v>51</v>
      </c>
    </row>
    <row r="835" spans="1:14" x14ac:dyDescent="0.35">
      <c r="A835" t="s">
        <v>881</v>
      </c>
      <c r="B835" t="s">
        <v>15</v>
      </c>
      <c r="C835" t="s">
        <v>16</v>
      </c>
      <c r="D835">
        <v>59</v>
      </c>
      <c r="E835" t="s">
        <v>860</v>
      </c>
      <c r="F835">
        <v>5419</v>
      </c>
      <c r="G835" t="s">
        <v>18</v>
      </c>
      <c r="H835">
        <v>27</v>
      </c>
      <c r="I835" t="s">
        <v>19</v>
      </c>
      <c r="J835">
        <v>2008</v>
      </c>
      <c r="K835">
        <v>2008</v>
      </c>
      <c r="L835" t="s">
        <v>20</v>
      </c>
      <c r="M835">
        <v>97349</v>
      </c>
      <c r="N835">
        <v>51</v>
      </c>
    </row>
    <row r="836" spans="1:14" x14ac:dyDescent="0.35">
      <c r="A836" t="s">
        <v>882</v>
      </c>
      <c r="B836" t="s">
        <v>15</v>
      </c>
      <c r="C836" t="s">
        <v>16</v>
      </c>
      <c r="D836">
        <v>59</v>
      </c>
      <c r="E836" t="s">
        <v>860</v>
      </c>
      <c r="F836">
        <v>5419</v>
      </c>
      <c r="G836" t="s">
        <v>18</v>
      </c>
      <c r="H836">
        <v>27</v>
      </c>
      <c r="I836" t="s">
        <v>19</v>
      </c>
      <c r="J836">
        <v>2009</v>
      </c>
      <c r="K836">
        <v>2009</v>
      </c>
      <c r="L836" t="s">
        <v>20</v>
      </c>
      <c r="M836">
        <v>95930</v>
      </c>
      <c r="N836">
        <v>51</v>
      </c>
    </row>
    <row r="837" spans="1:14" x14ac:dyDescent="0.35">
      <c r="A837" t="s">
        <v>883</v>
      </c>
      <c r="B837" t="s">
        <v>15</v>
      </c>
      <c r="C837" t="s">
        <v>16</v>
      </c>
      <c r="D837">
        <v>59</v>
      </c>
      <c r="E837" t="s">
        <v>860</v>
      </c>
      <c r="F837">
        <v>5419</v>
      </c>
      <c r="G837" t="s">
        <v>18</v>
      </c>
      <c r="H837">
        <v>27</v>
      </c>
      <c r="I837" t="s">
        <v>19</v>
      </c>
      <c r="J837">
        <v>2010</v>
      </c>
      <c r="K837">
        <v>2010</v>
      </c>
      <c r="L837" t="s">
        <v>20</v>
      </c>
      <c r="M837">
        <v>94217</v>
      </c>
      <c r="N837">
        <v>51</v>
      </c>
    </row>
    <row r="838" spans="1:14" x14ac:dyDescent="0.35">
      <c r="A838" t="s">
        <v>884</v>
      </c>
      <c r="B838" t="s">
        <v>15</v>
      </c>
      <c r="C838" t="s">
        <v>16</v>
      </c>
      <c r="D838">
        <v>59</v>
      </c>
      <c r="E838" t="s">
        <v>860</v>
      </c>
      <c r="F838">
        <v>5419</v>
      </c>
      <c r="G838" t="s">
        <v>18</v>
      </c>
      <c r="H838">
        <v>27</v>
      </c>
      <c r="I838" t="s">
        <v>19</v>
      </c>
      <c r="J838">
        <v>2011</v>
      </c>
      <c r="K838">
        <v>2011</v>
      </c>
      <c r="L838" t="s">
        <v>20</v>
      </c>
      <c r="M838">
        <v>95670</v>
      </c>
      <c r="N838">
        <v>51</v>
      </c>
    </row>
    <row r="839" spans="1:14" x14ac:dyDescent="0.35">
      <c r="A839" t="s">
        <v>885</v>
      </c>
      <c r="B839" t="s">
        <v>15</v>
      </c>
      <c r="C839" t="s">
        <v>16</v>
      </c>
      <c r="D839">
        <v>59</v>
      </c>
      <c r="E839" t="s">
        <v>860</v>
      </c>
      <c r="F839">
        <v>5419</v>
      </c>
      <c r="G839" t="s">
        <v>18</v>
      </c>
      <c r="H839">
        <v>27</v>
      </c>
      <c r="I839" t="s">
        <v>19</v>
      </c>
      <c r="J839">
        <v>2012</v>
      </c>
      <c r="K839">
        <v>2012</v>
      </c>
      <c r="L839" t="s">
        <v>20</v>
      </c>
      <c r="M839">
        <v>95296</v>
      </c>
      <c r="N839">
        <v>51</v>
      </c>
    </row>
    <row r="840" spans="1:14" x14ac:dyDescent="0.35">
      <c r="A840" t="s">
        <v>886</v>
      </c>
      <c r="B840" t="s">
        <v>15</v>
      </c>
      <c r="C840" t="s">
        <v>16</v>
      </c>
      <c r="D840">
        <v>59</v>
      </c>
      <c r="E840" t="s">
        <v>860</v>
      </c>
      <c r="F840">
        <v>5419</v>
      </c>
      <c r="G840" t="s">
        <v>18</v>
      </c>
      <c r="H840">
        <v>27</v>
      </c>
      <c r="I840" t="s">
        <v>19</v>
      </c>
      <c r="J840">
        <v>2013</v>
      </c>
      <c r="K840">
        <v>2013</v>
      </c>
      <c r="L840" t="s">
        <v>20</v>
      </c>
      <c r="M840">
        <v>95865</v>
      </c>
      <c r="N840">
        <v>51</v>
      </c>
    </row>
    <row r="841" spans="1:14" x14ac:dyDescent="0.35">
      <c r="A841" t="s">
        <v>887</v>
      </c>
      <c r="B841" t="s">
        <v>15</v>
      </c>
      <c r="C841" t="s">
        <v>16</v>
      </c>
      <c r="D841">
        <v>59</v>
      </c>
      <c r="E841" t="s">
        <v>860</v>
      </c>
      <c r="F841">
        <v>5419</v>
      </c>
      <c r="G841" t="s">
        <v>18</v>
      </c>
      <c r="H841">
        <v>27</v>
      </c>
      <c r="I841" t="s">
        <v>19</v>
      </c>
      <c r="J841">
        <v>2014</v>
      </c>
      <c r="K841">
        <v>2014</v>
      </c>
      <c r="L841" t="s">
        <v>20</v>
      </c>
      <c r="M841">
        <v>95300</v>
      </c>
      <c r="N841">
        <v>51</v>
      </c>
    </row>
    <row r="842" spans="1:14" x14ac:dyDescent="0.35">
      <c r="A842" t="s">
        <v>888</v>
      </c>
      <c r="B842" t="s">
        <v>15</v>
      </c>
      <c r="C842" t="s">
        <v>16</v>
      </c>
      <c r="D842">
        <v>59</v>
      </c>
      <c r="E842" t="s">
        <v>860</v>
      </c>
      <c r="F842">
        <v>5419</v>
      </c>
      <c r="G842" t="s">
        <v>18</v>
      </c>
      <c r="H842">
        <v>27</v>
      </c>
      <c r="I842" t="s">
        <v>19</v>
      </c>
      <c r="J842">
        <v>2015</v>
      </c>
      <c r="K842">
        <v>2015</v>
      </c>
      <c r="L842" t="s">
        <v>20</v>
      </c>
      <c r="M842">
        <v>94312</v>
      </c>
      <c r="N842">
        <v>51</v>
      </c>
    </row>
    <row r="843" spans="1:14" x14ac:dyDescent="0.35">
      <c r="A843" t="s">
        <v>889</v>
      </c>
      <c r="B843" t="s">
        <v>15</v>
      </c>
      <c r="C843" t="s">
        <v>16</v>
      </c>
      <c r="D843">
        <v>59</v>
      </c>
      <c r="E843" t="s">
        <v>860</v>
      </c>
      <c r="F843">
        <v>5419</v>
      </c>
      <c r="G843" t="s">
        <v>18</v>
      </c>
      <c r="H843">
        <v>27</v>
      </c>
      <c r="I843" t="s">
        <v>19</v>
      </c>
      <c r="J843">
        <v>2016</v>
      </c>
      <c r="K843">
        <v>2016</v>
      </c>
      <c r="L843" t="s">
        <v>20</v>
      </c>
      <c r="M843">
        <v>93669</v>
      </c>
      <c r="N843">
        <v>51</v>
      </c>
    </row>
    <row r="844" spans="1:14" x14ac:dyDescent="0.35">
      <c r="A844" t="s">
        <v>890</v>
      </c>
      <c r="B844" t="s">
        <v>15</v>
      </c>
      <c r="C844" t="s">
        <v>16</v>
      </c>
      <c r="D844">
        <v>60</v>
      </c>
      <c r="E844" t="s">
        <v>891</v>
      </c>
      <c r="F844">
        <v>5419</v>
      </c>
      <c r="G844" t="s">
        <v>18</v>
      </c>
      <c r="H844">
        <v>27</v>
      </c>
      <c r="I844" t="s">
        <v>19</v>
      </c>
      <c r="J844">
        <v>1985</v>
      </c>
      <c r="K844">
        <v>1985</v>
      </c>
      <c r="L844" t="s">
        <v>20</v>
      </c>
      <c r="M844">
        <v>39844</v>
      </c>
      <c r="N844">
        <v>1784</v>
      </c>
    </row>
    <row r="845" spans="1:14" x14ac:dyDescent="0.35">
      <c r="A845" t="s">
        <v>892</v>
      </c>
      <c r="B845" t="s">
        <v>15</v>
      </c>
      <c r="C845" t="s">
        <v>16</v>
      </c>
      <c r="D845">
        <v>60</v>
      </c>
      <c r="E845" t="s">
        <v>891</v>
      </c>
      <c r="F845">
        <v>5419</v>
      </c>
      <c r="G845" t="s">
        <v>18</v>
      </c>
      <c r="H845">
        <v>27</v>
      </c>
      <c r="I845" t="s">
        <v>19</v>
      </c>
      <c r="J845">
        <v>1986</v>
      </c>
      <c r="K845">
        <v>1986</v>
      </c>
      <c r="L845" t="s">
        <v>20</v>
      </c>
      <c r="M845">
        <v>38985</v>
      </c>
      <c r="N845">
        <v>1784</v>
      </c>
    </row>
    <row r="846" spans="1:14" x14ac:dyDescent="0.35">
      <c r="A846" t="s">
        <v>893</v>
      </c>
      <c r="B846" t="s">
        <v>15</v>
      </c>
      <c r="C846" t="s">
        <v>16</v>
      </c>
      <c r="D846">
        <v>60</v>
      </c>
      <c r="E846" t="s">
        <v>891</v>
      </c>
      <c r="F846">
        <v>5419</v>
      </c>
      <c r="G846" t="s">
        <v>18</v>
      </c>
      <c r="H846">
        <v>27</v>
      </c>
      <c r="I846" t="s">
        <v>19</v>
      </c>
      <c r="J846">
        <v>1987</v>
      </c>
      <c r="K846">
        <v>1987</v>
      </c>
      <c r="L846" t="s">
        <v>20</v>
      </c>
      <c r="M846">
        <v>35987</v>
      </c>
      <c r="N846">
        <v>1784</v>
      </c>
    </row>
    <row r="847" spans="1:14" x14ac:dyDescent="0.35">
      <c r="A847" t="s">
        <v>894</v>
      </c>
      <c r="B847" t="s">
        <v>15</v>
      </c>
      <c r="C847" t="s">
        <v>16</v>
      </c>
      <c r="D847">
        <v>60</v>
      </c>
      <c r="E847" t="s">
        <v>891</v>
      </c>
      <c r="F847">
        <v>5419</v>
      </c>
      <c r="G847" t="s">
        <v>18</v>
      </c>
      <c r="H847">
        <v>27</v>
      </c>
      <c r="I847" t="s">
        <v>19</v>
      </c>
      <c r="J847">
        <v>1989</v>
      </c>
      <c r="K847">
        <v>1989</v>
      </c>
      <c r="L847" t="s">
        <v>20</v>
      </c>
      <c r="M847">
        <v>41069</v>
      </c>
      <c r="N847">
        <v>1784</v>
      </c>
    </row>
    <row r="848" spans="1:14" x14ac:dyDescent="0.35">
      <c r="A848" t="s">
        <v>895</v>
      </c>
      <c r="B848" t="s">
        <v>15</v>
      </c>
      <c r="C848" t="s">
        <v>16</v>
      </c>
      <c r="D848">
        <v>60</v>
      </c>
      <c r="E848" t="s">
        <v>891</v>
      </c>
      <c r="F848">
        <v>5419</v>
      </c>
      <c r="G848" t="s">
        <v>18</v>
      </c>
      <c r="H848">
        <v>27</v>
      </c>
      <c r="I848" t="s">
        <v>19</v>
      </c>
      <c r="J848">
        <v>1990</v>
      </c>
      <c r="K848">
        <v>1990</v>
      </c>
      <c r="L848" t="s">
        <v>20</v>
      </c>
      <c r="M848">
        <v>43271</v>
      </c>
      <c r="N848">
        <v>1784</v>
      </c>
    </row>
    <row r="849" spans="1:14" x14ac:dyDescent="0.35">
      <c r="A849" t="s">
        <v>896</v>
      </c>
      <c r="B849" t="s">
        <v>15</v>
      </c>
      <c r="C849" t="s">
        <v>16</v>
      </c>
      <c r="D849">
        <v>60</v>
      </c>
      <c r="E849" t="s">
        <v>891</v>
      </c>
      <c r="F849">
        <v>5419</v>
      </c>
      <c r="G849" t="s">
        <v>18</v>
      </c>
      <c r="H849">
        <v>27</v>
      </c>
      <c r="I849" t="s">
        <v>19</v>
      </c>
      <c r="J849">
        <v>1991</v>
      </c>
      <c r="K849">
        <v>1991</v>
      </c>
      <c r="L849" t="s">
        <v>20</v>
      </c>
      <c r="M849">
        <v>37669</v>
      </c>
      <c r="N849">
        <v>1784</v>
      </c>
    </row>
    <row r="850" spans="1:14" x14ac:dyDescent="0.35">
      <c r="A850" t="s">
        <v>897</v>
      </c>
      <c r="B850" t="s">
        <v>15</v>
      </c>
      <c r="C850" t="s">
        <v>16</v>
      </c>
      <c r="D850">
        <v>60</v>
      </c>
      <c r="E850" t="s">
        <v>891</v>
      </c>
      <c r="F850">
        <v>5419</v>
      </c>
      <c r="G850" t="s">
        <v>18</v>
      </c>
      <c r="H850">
        <v>27</v>
      </c>
      <c r="I850" t="s">
        <v>19</v>
      </c>
      <c r="J850">
        <v>1992</v>
      </c>
      <c r="K850">
        <v>1992</v>
      </c>
      <c r="L850" t="s">
        <v>20</v>
      </c>
      <c r="M850">
        <v>43561</v>
      </c>
      <c r="N850">
        <v>1784</v>
      </c>
    </row>
    <row r="851" spans="1:14" x14ac:dyDescent="0.35">
      <c r="A851" t="s">
        <v>898</v>
      </c>
      <c r="B851" t="s">
        <v>15</v>
      </c>
      <c r="C851" t="s">
        <v>16</v>
      </c>
      <c r="D851">
        <v>60</v>
      </c>
      <c r="E851" t="s">
        <v>891</v>
      </c>
      <c r="F851">
        <v>5419</v>
      </c>
      <c r="G851" t="s">
        <v>18</v>
      </c>
      <c r="H851">
        <v>27</v>
      </c>
      <c r="I851" t="s">
        <v>19</v>
      </c>
      <c r="J851">
        <v>1993</v>
      </c>
      <c r="K851">
        <v>1993</v>
      </c>
      <c r="L851" t="s">
        <v>20</v>
      </c>
      <c r="M851">
        <v>47076</v>
      </c>
      <c r="N851">
        <v>1784</v>
      </c>
    </row>
    <row r="852" spans="1:14" x14ac:dyDescent="0.35">
      <c r="A852" t="s">
        <v>899</v>
      </c>
      <c r="B852" t="s">
        <v>15</v>
      </c>
      <c r="C852" t="s">
        <v>16</v>
      </c>
      <c r="D852">
        <v>60</v>
      </c>
      <c r="E852" t="s">
        <v>891</v>
      </c>
      <c r="F852">
        <v>5419</v>
      </c>
      <c r="G852" t="s">
        <v>18</v>
      </c>
      <c r="H852">
        <v>27</v>
      </c>
      <c r="I852" t="s">
        <v>19</v>
      </c>
      <c r="J852">
        <v>1994</v>
      </c>
      <c r="K852">
        <v>1994</v>
      </c>
      <c r="L852" t="s">
        <v>20</v>
      </c>
      <c r="M852">
        <v>43353</v>
      </c>
      <c r="N852">
        <v>1784</v>
      </c>
    </row>
    <row r="853" spans="1:14" x14ac:dyDescent="0.35">
      <c r="A853" t="s">
        <v>900</v>
      </c>
      <c r="B853" t="s">
        <v>15</v>
      </c>
      <c r="C853" t="s">
        <v>16</v>
      </c>
      <c r="D853">
        <v>60</v>
      </c>
      <c r="E853" t="s">
        <v>891</v>
      </c>
      <c r="F853">
        <v>5419</v>
      </c>
      <c r="G853" t="s">
        <v>18</v>
      </c>
      <c r="H853">
        <v>27</v>
      </c>
      <c r="I853" t="s">
        <v>19</v>
      </c>
      <c r="J853">
        <v>1995</v>
      </c>
      <c r="K853">
        <v>1995</v>
      </c>
      <c r="L853" t="s">
        <v>20</v>
      </c>
      <c r="M853">
        <v>53291</v>
      </c>
      <c r="N853">
        <v>1784</v>
      </c>
    </row>
    <row r="854" spans="1:14" x14ac:dyDescent="0.35">
      <c r="A854" t="s">
        <v>901</v>
      </c>
      <c r="B854" t="s">
        <v>15</v>
      </c>
      <c r="C854" t="s">
        <v>16</v>
      </c>
      <c r="D854">
        <v>60</v>
      </c>
      <c r="E854" t="s">
        <v>891</v>
      </c>
      <c r="F854">
        <v>5419</v>
      </c>
      <c r="G854" t="s">
        <v>18</v>
      </c>
      <c r="H854">
        <v>27</v>
      </c>
      <c r="I854" t="s">
        <v>19</v>
      </c>
      <c r="J854">
        <v>1996</v>
      </c>
      <c r="K854">
        <v>1996</v>
      </c>
      <c r="L854" t="s">
        <v>20</v>
      </c>
      <c r="M854">
        <v>51627</v>
      </c>
      <c r="N854">
        <v>1784</v>
      </c>
    </row>
    <row r="855" spans="1:14" x14ac:dyDescent="0.35">
      <c r="A855" t="s">
        <v>902</v>
      </c>
      <c r="B855" t="s">
        <v>15</v>
      </c>
      <c r="C855" t="s">
        <v>16</v>
      </c>
      <c r="D855">
        <v>60</v>
      </c>
      <c r="E855" t="s">
        <v>891</v>
      </c>
      <c r="F855">
        <v>5419</v>
      </c>
      <c r="G855" t="s">
        <v>18</v>
      </c>
      <c r="H855">
        <v>27</v>
      </c>
      <c r="I855" t="s">
        <v>19</v>
      </c>
      <c r="J855">
        <v>1997</v>
      </c>
      <c r="K855">
        <v>1997</v>
      </c>
      <c r="L855" t="s">
        <v>20</v>
      </c>
      <c r="M855">
        <v>44419</v>
      </c>
      <c r="N855">
        <v>1784</v>
      </c>
    </row>
    <row r="856" spans="1:14" x14ac:dyDescent="0.35">
      <c r="A856" t="s">
        <v>903</v>
      </c>
      <c r="B856" t="s">
        <v>15</v>
      </c>
      <c r="C856" t="s">
        <v>16</v>
      </c>
      <c r="D856">
        <v>60</v>
      </c>
      <c r="E856" t="s">
        <v>891</v>
      </c>
      <c r="F856">
        <v>5419</v>
      </c>
      <c r="G856" t="s">
        <v>18</v>
      </c>
      <c r="H856">
        <v>27</v>
      </c>
      <c r="I856" t="s">
        <v>19</v>
      </c>
      <c r="J856">
        <v>1998</v>
      </c>
      <c r="K856">
        <v>1998</v>
      </c>
      <c r="L856" t="s">
        <v>20</v>
      </c>
      <c r="M856">
        <v>49760</v>
      </c>
      <c r="N856">
        <v>1784</v>
      </c>
    </row>
    <row r="857" spans="1:14" x14ac:dyDescent="0.35">
      <c r="A857" t="s">
        <v>904</v>
      </c>
      <c r="B857" t="s">
        <v>15</v>
      </c>
      <c r="C857" t="s">
        <v>16</v>
      </c>
      <c r="D857">
        <v>60</v>
      </c>
      <c r="E857" t="s">
        <v>891</v>
      </c>
      <c r="F857">
        <v>5419</v>
      </c>
      <c r="G857" t="s">
        <v>18</v>
      </c>
      <c r="H857">
        <v>27</v>
      </c>
      <c r="I857" t="s">
        <v>19</v>
      </c>
      <c r="J857">
        <v>1999</v>
      </c>
      <c r="K857">
        <v>1999</v>
      </c>
      <c r="L857" t="s">
        <v>20</v>
      </c>
      <c r="M857">
        <v>52531</v>
      </c>
      <c r="N857">
        <v>1784</v>
      </c>
    </row>
    <row r="858" spans="1:14" x14ac:dyDescent="0.35">
      <c r="A858" t="s">
        <v>905</v>
      </c>
      <c r="B858" t="s">
        <v>15</v>
      </c>
      <c r="C858" t="s">
        <v>16</v>
      </c>
      <c r="D858">
        <v>60</v>
      </c>
      <c r="E858" t="s">
        <v>891</v>
      </c>
      <c r="F858">
        <v>5419</v>
      </c>
      <c r="G858" t="s">
        <v>18</v>
      </c>
      <c r="H858">
        <v>27</v>
      </c>
      <c r="I858" t="s">
        <v>19</v>
      </c>
      <c r="J858">
        <v>2000</v>
      </c>
      <c r="K858">
        <v>2000</v>
      </c>
      <c r="L858" t="s">
        <v>20</v>
      </c>
      <c r="M858">
        <v>57884</v>
      </c>
      <c r="N858">
        <v>1784</v>
      </c>
    </row>
    <row r="859" spans="1:14" x14ac:dyDescent="0.35">
      <c r="A859" t="s">
        <v>906</v>
      </c>
      <c r="B859" t="s">
        <v>15</v>
      </c>
      <c r="C859" t="s">
        <v>16</v>
      </c>
      <c r="D859">
        <v>60</v>
      </c>
      <c r="E859" t="s">
        <v>891</v>
      </c>
      <c r="F859">
        <v>5419</v>
      </c>
      <c r="G859" t="s">
        <v>18</v>
      </c>
      <c r="H859">
        <v>27</v>
      </c>
      <c r="I859" t="s">
        <v>19</v>
      </c>
      <c r="J859">
        <v>2001</v>
      </c>
      <c r="K859">
        <v>2001</v>
      </c>
      <c r="L859" t="s">
        <v>20</v>
      </c>
      <c r="M859">
        <v>60284</v>
      </c>
      <c r="N859">
        <v>1784</v>
      </c>
    </row>
    <row r="860" spans="1:14" x14ac:dyDescent="0.35">
      <c r="A860" t="s">
        <v>907</v>
      </c>
      <c r="B860" t="s">
        <v>15</v>
      </c>
      <c r="C860" t="s">
        <v>16</v>
      </c>
      <c r="D860">
        <v>60</v>
      </c>
      <c r="E860" t="s">
        <v>891</v>
      </c>
      <c r="F860">
        <v>5419</v>
      </c>
      <c r="G860" t="s">
        <v>18</v>
      </c>
      <c r="H860">
        <v>27</v>
      </c>
      <c r="I860" t="s">
        <v>19</v>
      </c>
      <c r="J860">
        <v>2002</v>
      </c>
      <c r="K860">
        <v>2002</v>
      </c>
      <c r="L860" t="s">
        <v>20</v>
      </c>
      <c r="M860">
        <v>59384</v>
      </c>
      <c r="N860">
        <v>1784</v>
      </c>
    </row>
    <row r="861" spans="1:14" x14ac:dyDescent="0.35">
      <c r="A861" t="s">
        <v>908</v>
      </c>
      <c r="B861" t="s">
        <v>15</v>
      </c>
      <c r="C861" t="s">
        <v>16</v>
      </c>
      <c r="D861">
        <v>60</v>
      </c>
      <c r="E861" t="s">
        <v>891</v>
      </c>
      <c r="F861">
        <v>5419</v>
      </c>
      <c r="G861" t="s">
        <v>18</v>
      </c>
      <c r="H861">
        <v>27</v>
      </c>
      <c r="I861" t="s">
        <v>19</v>
      </c>
      <c r="J861">
        <v>2004</v>
      </c>
      <c r="K861">
        <v>2004</v>
      </c>
      <c r="L861" t="s">
        <v>20</v>
      </c>
      <c r="M861">
        <v>66430</v>
      </c>
      <c r="N861">
        <v>1784</v>
      </c>
    </row>
    <row r="862" spans="1:14" x14ac:dyDescent="0.35">
      <c r="A862" t="s">
        <v>909</v>
      </c>
      <c r="B862" t="s">
        <v>15</v>
      </c>
      <c r="C862" t="s">
        <v>16</v>
      </c>
      <c r="D862">
        <v>60</v>
      </c>
      <c r="E862" t="s">
        <v>891</v>
      </c>
      <c r="F862">
        <v>5419</v>
      </c>
      <c r="G862" t="s">
        <v>18</v>
      </c>
      <c r="H862">
        <v>27</v>
      </c>
      <c r="I862" t="s">
        <v>19</v>
      </c>
      <c r="J862">
        <v>2005</v>
      </c>
      <c r="K862">
        <v>2005</v>
      </c>
      <c r="L862" t="s">
        <v>20</v>
      </c>
      <c r="M862">
        <v>72118</v>
      </c>
      <c r="N862">
        <v>1784</v>
      </c>
    </row>
    <row r="863" spans="1:14" x14ac:dyDescent="0.35">
      <c r="A863" t="s">
        <v>910</v>
      </c>
      <c r="B863" t="s">
        <v>15</v>
      </c>
      <c r="C863" t="s">
        <v>16</v>
      </c>
      <c r="D863">
        <v>60</v>
      </c>
      <c r="E863" t="s">
        <v>891</v>
      </c>
      <c r="F863">
        <v>5419</v>
      </c>
      <c r="G863" t="s">
        <v>18</v>
      </c>
      <c r="H863">
        <v>27</v>
      </c>
      <c r="I863" t="s">
        <v>19</v>
      </c>
      <c r="J863">
        <v>2006</v>
      </c>
      <c r="K863">
        <v>2006</v>
      </c>
      <c r="L863" t="s">
        <v>20</v>
      </c>
      <c r="M863">
        <v>73941</v>
      </c>
      <c r="N863">
        <v>1784</v>
      </c>
    </row>
    <row r="864" spans="1:14" x14ac:dyDescent="0.35">
      <c r="A864" t="s">
        <v>911</v>
      </c>
      <c r="B864" t="s">
        <v>15</v>
      </c>
      <c r="C864" t="s">
        <v>16</v>
      </c>
      <c r="D864">
        <v>60</v>
      </c>
      <c r="E864" t="s">
        <v>891</v>
      </c>
      <c r="F864">
        <v>5419</v>
      </c>
      <c r="G864" t="s">
        <v>18</v>
      </c>
      <c r="H864">
        <v>27</v>
      </c>
      <c r="I864" t="s">
        <v>19</v>
      </c>
      <c r="J864">
        <v>2007</v>
      </c>
      <c r="K864">
        <v>2007</v>
      </c>
      <c r="L864" t="s">
        <v>20</v>
      </c>
      <c r="M864">
        <v>74651</v>
      </c>
      <c r="N864">
        <v>1784</v>
      </c>
    </row>
    <row r="865" spans="1:14" x14ac:dyDescent="0.35">
      <c r="A865" t="s">
        <v>912</v>
      </c>
      <c r="B865" t="s">
        <v>15</v>
      </c>
      <c r="C865" t="s">
        <v>16</v>
      </c>
      <c r="D865">
        <v>60</v>
      </c>
      <c r="E865" t="s">
        <v>891</v>
      </c>
      <c r="F865">
        <v>5419</v>
      </c>
      <c r="G865" t="s">
        <v>18</v>
      </c>
      <c r="H865">
        <v>27</v>
      </c>
      <c r="I865" t="s">
        <v>19</v>
      </c>
      <c r="J865">
        <v>2008</v>
      </c>
      <c r="K865">
        <v>2008</v>
      </c>
      <c r="L865" t="s">
        <v>20</v>
      </c>
      <c r="M865">
        <v>79373</v>
      </c>
      <c r="N865">
        <v>1784</v>
      </c>
    </row>
    <row r="866" spans="1:14" x14ac:dyDescent="0.35">
      <c r="A866" t="s">
        <v>913</v>
      </c>
      <c r="B866" t="s">
        <v>15</v>
      </c>
      <c r="C866" t="s">
        <v>16</v>
      </c>
      <c r="D866">
        <v>60</v>
      </c>
      <c r="E866" t="s">
        <v>891</v>
      </c>
      <c r="F866">
        <v>5419</v>
      </c>
      <c r="G866" t="s">
        <v>18</v>
      </c>
      <c r="H866">
        <v>27</v>
      </c>
      <c r="I866" t="s">
        <v>19</v>
      </c>
      <c r="J866">
        <v>2009</v>
      </c>
      <c r="K866">
        <v>2009</v>
      </c>
      <c r="L866" t="s">
        <v>20</v>
      </c>
      <c r="M866">
        <v>69016</v>
      </c>
      <c r="N866">
        <v>1784</v>
      </c>
    </row>
    <row r="867" spans="1:14" x14ac:dyDescent="0.35">
      <c r="A867" t="s">
        <v>914</v>
      </c>
      <c r="B867" t="s">
        <v>15</v>
      </c>
      <c r="C867" t="s">
        <v>16</v>
      </c>
      <c r="D867">
        <v>60</v>
      </c>
      <c r="E867" t="s">
        <v>891</v>
      </c>
      <c r="F867">
        <v>5419</v>
      </c>
      <c r="G867" t="s">
        <v>18</v>
      </c>
      <c r="H867">
        <v>27</v>
      </c>
      <c r="I867" t="s">
        <v>19</v>
      </c>
      <c r="J867">
        <v>2010</v>
      </c>
      <c r="K867">
        <v>2010</v>
      </c>
      <c r="L867" t="s">
        <v>20</v>
      </c>
      <c r="M867">
        <v>70136</v>
      </c>
      <c r="N867">
        <v>1784</v>
      </c>
    </row>
    <row r="868" spans="1:14" x14ac:dyDescent="0.35">
      <c r="A868" t="s">
        <v>915</v>
      </c>
      <c r="B868" t="s">
        <v>15</v>
      </c>
      <c r="C868" t="s">
        <v>16</v>
      </c>
      <c r="D868">
        <v>60</v>
      </c>
      <c r="E868" t="s">
        <v>891</v>
      </c>
      <c r="F868">
        <v>5419</v>
      </c>
      <c r="G868" t="s">
        <v>18</v>
      </c>
      <c r="H868">
        <v>27</v>
      </c>
      <c r="I868" t="s">
        <v>19</v>
      </c>
      <c r="J868">
        <v>2011</v>
      </c>
      <c r="K868">
        <v>2011</v>
      </c>
      <c r="L868" t="s">
        <v>20</v>
      </c>
      <c r="M868">
        <v>54783</v>
      </c>
      <c r="N868">
        <v>1784</v>
      </c>
    </row>
    <row r="869" spans="1:14" x14ac:dyDescent="0.35">
      <c r="A869" t="s">
        <v>916</v>
      </c>
      <c r="B869" t="s">
        <v>15</v>
      </c>
      <c r="C869" t="s">
        <v>16</v>
      </c>
      <c r="D869">
        <v>60</v>
      </c>
      <c r="E869" t="s">
        <v>891</v>
      </c>
      <c r="F869">
        <v>5419</v>
      </c>
      <c r="G869" t="s">
        <v>18</v>
      </c>
      <c r="H869">
        <v>27</v>
      </c>
      <c r="I869" t="s">
        <v>19</v>
      </c>
      <c r="J869">
        <v>2012</v>
      </c>
      <c r="K869">
        <v>2012</v>
      </c>
      <c r="L869" t="s">
        <v>20</v>
      </c>
      <c r="M869">
        <v>63968</v>
      </c>
      <c r="N869">
        <v>1784</v>
      </c>
    </row>
    <row r="870" spans="1:14" x14ac:dyDescent="0.35">
      <c r="A870" t="s">
        <v>917</v>
      </c>
      <c r="B870" t="s">
        <v>15</v>
      </c>
      <c r="C870" t="s">
        <v>16</v>
      </c>
      <c r="D870">
        <v>60</v>
      </c>
      <c r="E870" t="s">
        <v>891</v>
      </c>
      <c r="F870">
        <v>5419</v>
      </c>
      <c r="G870" t="s">
        <v>18</v>
      </c>
      <c r="H870">
        <v>27</v>
      </c>
      <c r="I870" t="s">
        <v>19</v>
      </c>
      <c r="J870">
        <v>2013</v>
      </c>
      <c r="K870">
        <v>2013</v>
      </c>
      <c r="L870" t="s">
        <v>20</v>
      </c>
      <c r="M870">
        <v>61615</v>
      </c>
      <c r="N870">
        <v>1784</v>
      </c>
    </row>
    <row r="871" spans="1:14" x14ac:dyDescent="0.35">
      <c r="A871" t="s">
        <v>918</v>
      </c>
      <c r="B871" t="s">
        <v>15</v>
      </c>
      <c r="C871" t="s">
        <v>16</v>
      </c>
      <c r="D871">
        <v>60</v>
      </c>
      <c r="E871" t="s">
        <v>891</v>
      </c>
      <c r="F871">
        <v>5419</v>
      </c>
      <c r="G871" t="s">
        <v>18</v>
      </c>
      <c r="H871">
        <v>27</v>
      </c>
      <c r="I871" t="s">
        <v>19</v>
      </c>
      <c r="J871">
        <v>2014</v>
      </c>
      <c r="K871">
        <v>2014</v>
      </c>
      <c r="L871" t="s">
        <v>20</v>
      </c>
      <c r="M871">
        <v>58935</v>
      </c>
      <c r="N871">
        <v>1784</v>
      </c>
    </row>
    <row r="872" spans="1:14" x14ac:dyDescent="0.35">
      <c r="A872" t="s">
        <v>919</v>
      </c>
      <c r="B872" t="s">
        <v>15</v>
      </c>
      <c r="C872" t="s">
        <v>16</v>
      </c>
      <c r="D872">
        <v>60</v>
      </c>
      <c r="E872" t="s">
        <v>891</v>
      </c>
      <c r="F872">
        <v>5419</v>
      </c>
      <c r="G872" t="s">
        <v>18</v>
      </c>
      <c r="H872">
        <v>27</v>
      </c>
      <c r="I872" t="s">
        <v>19</v>
      </c>
      <c r="J872">
        <v>2015</v>
      </c>
      <c r="K872">
        <v>2015</v>
      </c>
      <c r="L872" t="s">
        <v>20</v>
      </c>
      <c r="M872">
        <v>63986</v>
      </c>
      <c r="N872">
        <v>1784</v>
      </c>
    </row>
    <row r="873" spans="1:14" x14ac:dyDescent="0.35">
      <c r="A873" t="s">
        <v>920</v>
      </c>
      <c r="B873" t="s">
        <v>15</v>
      </c>
      <c r="C873" t="s">
        <v>16</v>
      </c>
      <c r="D873">
        <v>60</v>
      </c>
      <c r="E873" t="s">
        <v>891</v>
      </c>
      <c r="F873">
        <v>5419</v>
      </c>
      <c r="G873" t="s">
        <v>18</v>
      </c>
      <c r="H873">
        <v>27</v>
      </c>
      <c r="I873" t="s">
        <v>19</v>
      </c>
      <c r="J873">
        <v>2016</v>
      </c>
      <c r="K873">
        <v>2016</v>
      </c>
      <c r="L873" t="s">
        <v>20</v>
      </c>
      <c r="M873">
        <v>69302</v>
      </c>
      <c r="N873">
        <v>1784</v>
      </c>
    </row>
    <row r="874" spans="1:14" x14ac:dyDescent="0.35">
      <c r="A874" t="s">
        <v>921</v>
      </c>
      <c r="B874" t="s">
        <v>15</v>
      </c>
      <c r="C874" t="s">
        <v>16</v>
      </c>
      <c r="D874">
        <v>238</v>
      </c>
      <c r="E874" t="s">
        <v>922</v>
      </c>
      <c r="F874">
        <v>5419</v>
      </c>
      <c r="G874" t="s">
        <v>18</v>
      </c>
      <c r="H874">
        <v>27</v>
      </c>
      <c r="I874" t="s">
        <v>19</v>
      </c>
      <c r="J874">
        <v>1993</v>
      </c>
      <c r="K874">
        <v>1993</v>
      </c>
      <c r="L874" t="s">
        <v>20</v>
      </c>
      <c r="M874">
        <v>18519</v>
      </c>
      <c r="N874">
        <v>848</v>
      </c>
    </row>
    <row r="875" spans="1:14" x14ac:dyDescent="0.35">
      <c r="A875" t="s">
        <v>923</v>
      </c>
      <c r="B875" t="s">
        <v>15</v>
      </c>
      <c r="C875" t="s">
        <v>16</v>
      </c>
      <c r="D875">
        <v>238</v>
      </c>
      <c r="E875" t="s">
        <v>922</v>
      </c>
      <c r="F875">
        <v>5419</v>
      </c>
      <c r="G875" t="s">
        <v>18</v>
      </c>
      <c r="H875">
        <v>27</v>
      </c>
      <c r="I875" t="s">
        <v>19</v>
      </c>
      <c r="J875">
        <v>1994</v>
      </c>
      <c r="K875">
        <v>1994</v>
      </c>
      <c r="L875" t="s">
        <v>20</v>
      </c>
      <c r="M875">
        <v>18275</v>
      </c>
      <c r="N875">
        <v>848</v>
      </c>
    </row>
    <row r="876" spans="1:14" x14ac:dyDescent="0.35">
      <c r="A876" t="s">
        <v>924</v>
      </c>
      <c r="B876" t="s">
        <v>15</v>
      </c>
      <c r="C876" t="s">
        <v>16</v>
      </c>
      <c r="D876">
        <v>238</v>
      </c>
      <c r="E876" t="s">
        <v>922</v>
      </c>
      <c r="F876">
        <v>5419</v>
      </c>
      <c r="G876" t="s">
        <v>18</v>
      </c>
      <c r="H876">
        <v>27</v>
      </c>
      <c r="I876" t="s">
        <v>19</v>
      </c>
      <c r="J876">
        <v>1995</v>
      </c>
      <c r="K876">
        <v>1995</v>
      </c>
      <c r="L876" t="s">
        <v>20</v>
      </c>
      <c r="M876">
        <v>18644</v>
      </c>
      <c r="N876">
        <v>848</v>
      </c>
    </row>
    <row r="877" spans="1:14" x14ac:dyDescent="0.35">
      <c r="A877" t="s">
        <v>925</v>
      </c>
      <c r="B877" t="s">
        <v>15</v>
      </c>
      <c r="C877" t="s">
        <v>16</v>
      </c>
      <c r="D877">
        <v>238</v>
      </c>
      <c r="E877" t="s">
        <v>922</v>
      </c>
      <c r="F877">
        <v>5419</v>
      </c>
      <c r="G877" t="s">
        <v>18</v>
      </c>
      <c r="H877">
        <v>27</v>
      </c>
      <c r="I877" t="s">
        <v>19</v>
      </c>
      <c r="J877">
        <v>1996</v>
      </c>
      <c r="K877">
        <v>1996</v>
      </c>
      <c r="L877" t="s">
        <v>20</v>
      </c>
      <c r="M877">
        <v>18372</v>
      </c>
      <c r="N877">
        <v>848</v>
      </c>
    </row>
    <row r="878" spans="1:14" x14ac:dyDescent="0.35">
      <c r="A878" t="s">
        <v>926</v>
      </c>
      <c r="B878" t="s">
        <v>15</v>
      </c>
      <c r="C878" t="s">
        <v>16</v>
      </c>
      <c r="D878">
        <v>238</v>
      </c>
      <c r="E878" t="s">
        <v>922</v>
      </c>
      <c r="F878">
        <v>5419</v>
      </c>
      <c r="G878" t="s">
        <v>18</v>
      </c>
      <c r="H878">
        <v>27</v>
      </c>
      <c r="I878" t="s">
        <v>19</v>
      </c>
      <c r="J878">
        <v>1997</v>
      </c>
      <c r="K878">
        <v>1997</v>
      </c>
      <c r="L878" t="s">
        <v>20</v>
      </c>
      <c r="M878">
        <v>18462</v>
      </c>
      <c r="N878">
        <v>848</v>
      </c>
    </row>
    <row r="879" spans="1:14" x14ac:dyDescent="0.35">
      <c r="A879" t="s">
        <v>927</v>
      </c>
      <c r="B879" t="s">
        <v>15</v>
      </c>
      <c r="C879" t="s">
        <v>16</v>
      </c>
      <c r="D879">
        <v>238</v>
      </c>
      <c r="E879" t="s">
        <v>922</v>
      </c>
      <c r="F879">
        <v>5419</v>
      </c>
      <c r="G879" t="s">
        <v>18</v>
      </c>
      <c r="H879">
        <v>27</v>
      </c>
      <c r="I879" t="s">
        <v>19</v>
      </c>
      <c r="J879">
        <v>1998</v>
      </c>
      <c r="K879">
        <v>1998</v>
      </c>
      <c r="L879" t="s">
        <v>20</v>
      </c>
      <c r="M879">
        <v>18571</v>
      </c>
      <c r="N879">
        <v>848</v>
      </c>
    </row>
    <row r="880" spans="1:14" x14ac:dyDescent="0.35">
      <c r="A880" t="s">
        <v>928</v>
      </c>
      <c r="B880" t="s">
        <v>15</v>
      </c>
      <c r="C880" t="s">
        <v>16</v>
      </c>
      <c r="D880">
        <v>238</v>
      </c>
      <c r="E880" t="s">
        <v>922</v>
      </c>
      <c r="F880">
        <v>5419</v>
      </c>
      <c r="G880" t="s">
        <v>18</v>
      </c>
      <c r="H880">
        <v>27</v>
      </c>
      <c r="I880" t="s">
        <v>19</v>
      </c>
      <c r="J880">
        <v>1999</v>
      </c>
      <c r="K880">
        <v>1999</v>
      </c>
      <c r="L880" t="s">
        <v>20</v>
      </c>
      <c r="M880">
        <v>18667</v>
      </c>
      <c r="N880">
        <v>848</v>
      </c>
    </row>
    <row r="881" spans="1:14" x14ac:dyDescent="0.35">
      <c r="A881" t="s">
        <v>929</v>
      </c>
      <c r="B881" t="s">
        <v>15</v>
      </c>
      <c r="C881" t="s">
        <v>16</v>
      </c>
      <c r="D881">
        <v>238</v>
      </c>
      <c r="E881" t="s">
        <v>922</v>
      </c>
      <c r="F881">
        <v>5419</v>
      </c>
      <c r="G881" t="s">
        <v>18</v>
      </c>
      <c r="H881">
        <v>27</v>
      </c>
      <c r="I881" t="s">
        <v>19</v>
      </c>
      <c r="J881">
        <v>2000</v>
      </c>
      <c r="K881">
        <v>2000</v>
      </c>
      <c r="L881" t="s">
        <v>20</v>
      </c>
      <c r="M881">
        <v>18293</v>
      </c>
      <c r="N881">
        <v>848</v>
      </c>
    </row>
    <row r="882" spans="1:14" x14ac:dyDescent="0.35">
      <c r="A882" t="s">
        <v>930</v>
      </c>
      <c r="B882" t="s">
        <v>15</v>
      </c>
      <c r="C882" t="s">
        <v>16</v>
      </c>
      <c r="D882">
        <v>238</v>
      </c>
      <c r="E882" t="s">
        <v>922</v>
      </c>
      <c r="F882">
        <v>5419</v>
      </c>
      <c r="G882" t="s">
        <v>18</v>
      </c>
      <c r="H882">
        <v>27</v>
      </c>
      <c r="I882" t="s">
        <v>19</v>
      </c>
      <c r="J882">
        <v>2001</v>
      </c>
      <c r="K882">
        <v>2001</v>
      </c>
      <c r="L882" t="s">
        <v>20</v>
      </c>
      <c r="M882">
        <v>18427</v>
      </c>
      <c r="N882">
        <v>848</v>
      </c>
    </row>
    <row r="883" spans="1:14" x14ac:dyDescent="0.35">
      <c r="A883" t="s">
        <v>931</v>
      </c>
      <c r="B883" t="s">
        <v>15</v>
      </c>
      <c r="C883" t="s">
        <v>16</v>
      </c>
      <c r="D883">
        <v>238</v>
      </c>
      <c r="E883" t="s">
        <v>922</v>
      </c>
      <c r="F883">
        <v>5419</v>
      </c>
      <c r="G883" t="s">
        <v>18</v>
      </c>
      <c r="H883">
        <v>27</v>
      </c>
      <c r="I883" t="s">
        <v>19</v>
      </c>
      <c r="J883">
        <v>2002</v>
      </c>
      <c r="K883">
        <v>2002</v>
      </c>
      <c r="L883" t="s">
        <v>20</v>
      </c>
      <c r="M883">
        <v>20016</v>
      </c>
      <c r="N883">
        <v>848</v>
      </c>
    </row>
    <row r="884" spans="1:14" x14ac:dyDescent="0.35">
      <c r="A884" t="s">
        <v>932</v>
      </c>
      <c r="B884" t="s">
        <v>15</v>
      </c>
      <c r="C884" t="s">
        <v>16</v>
      </c>
      <c r="D884">
        <v>238</v>
      </c>
      <c r="E884" t="s">
        <v>922</v>
      </c>
      <c r="F884">
        <v>5419</v>
      </c>
      <c r="G884" t="s">
        <v>18</v>
      </c>
      <c r="H884">
        <v>27</v>
      </c>
      <c r="I884" t="s">
        <v>19</v>
      </c>
      <c r="J884">
        <v>2004</v>
      </c>
      <c r="K884">
        <v>2004</v>
      </c>
      <c r="L884" t="s">
        <v>20</v>
      </c>
      <c r="M884">
        <v>18462</v>
      </c>
      <c r="N884">
        <v>848</v>
      </c>
    </row>
    <row r="885" spans="1:14" x14ac:dyDescent="0.35">
      <c r="A885" t="s">
        <v>933</v>
      </c>
      <c r="B885" t="s">
        <v>15</v>
      </c>
      <c r="C885" t="s">
        <v>16</v>
      </c>
      <c r="D885">
        <v>238</v>
      </c>
      <c r="E885" t="s">
        <v>922</v>
      </c>
      <c r="F885">
        <v>5419</v>
      </c>
      <c r="G885" t="s">
        <v>18</v>
      </c>
      <c r="H885">
        <v>27</v>
      </c>
      <c r="I885" t="s">
        <v>19</v>
      </c>
      <c r="J885">
        <v>2005</v>
      </c>
      <c r="K885">
        <v>2005</v>
      </c>
      <c r="L885" t="s">
        <v>20</v>
      </c>
      <c r="M885">
        <v>18016</v>
      </c>
      <c r="N885">
        <v>848</v>
      </c>
    </row>
    <row r="886" spans="1:14" x14ac:dyDescent="0.35">
      <c r="A886" t="s">
        <v>934</v>
      </c>
      <c r="B886" t="s">
        <v>15</v>
      </c>
      <c r="C886" t="s">
        <v>16</v>
      </c>
      <c r="D886">
        <v>238</v>
      </c>
      <c r="E886" t="s">
        <v>922</v>
      </c>
      <c r="F886">
        <v>5419</v>
      </c>
      <c r="G886" t="s">
        <v>18</v>
      </c>
      <c r="H886">
        <v>27</v>
      </c>
      <c r="I886" t="s">
        <v>19</v>
      </c>
      <c r="J886">
        <v>2006</v>
      </c>
      <c r="K886">
        <v>2006</v>
      </c>
      <c r="L886" t="s">
        <v>20</v>
      </c>
      <c r="M886">
        <v>17511</v>
      </c>
      <c r="N886">
        <v>848</v>
      </c>
    </row>
    <row r="887" spans="1:14" x14ac:dyDescent="0.35">
      <c r="A887" t="s">
        <v>935</v>
      </c>
      <c r="B887" t="s">
        <v>15</v>
      </c>
      <c r="C887" t="s">
        <v>16</v>
      </c>
      <c r="D887">
        <v>238</v>
      </c>
      <c r="E887" t="s">
        <v>922</v>
      </c>
      <c r="F887">
        <v>5419</v>
      </c>
      <c r="G887" t="s">
        <v>18</v>
      </c>
      <c r="H887">
        <v>27</v>
      </c>
      <c r="I887" t="s">
        <v>19</v>
      </c>
      <c r="J887">
        <v>2007</v>
      </c>
      <c r="K887">
        <v>2007</v>
      </c>
      <c r="L887" t="s">
        <v>20</v>
      </c>
      <c r="M887">
        <v>18433</v>
      </c>
      <c r="N887">
        <v>848</v>
      </c>
    </row>
    <row r="888" spans="1:14" x14ac:dyDescent="0.35">
      <c r="A888" t="s">
        <v>936</v>
      </c>
      <c r="B888" t="s">
        <v>15</v>
      </c>
      <c r="C888" t="s">
        <v>16</v>
      </c>
      <c r="D888">
        <v>238</v>
      </c>
      <c r="E888" t="s">
        <v>922</v>
      </c>
      <c r="F888">
        <v>5419</v>
      </c>
      <c r="G888" t="s">
        <v>18</v>
      </c>
      <c r="H888">
        <v>27</v>
      </c>
      <c r="I888" t="s">
        <v>19</v>
      </c>
      <c r="J888">
        <v>2008</v>
      </c>
      <c r="K888">
        <v>2008</v>
      </c>
      <c r="L888" t="s">
        <v>20</v>
      </c>
      <c r="M888">
        <v>20629</v>
      </c>
      <c r="N888">
        <v>848</v>
      </c>
    </row>
    <row r="889" spans="1:14" x14ac:dyDescent="0.35">
      <c r="A889" t="s">
        <v>937</v>
      </c>
      <c r="B889" t="s">
        <v>15</v>
      </c>
      <c r="C889" t="s">
        <v>16</v>
      </c>
      <c r="D889">
        <v>238</v>
      </c>
      <c r="E889" t="s">
        <v>922</v>
      </c>
      <c r="F889">
        <v>5419</v>
      </c>
      <c r="G889" t="s">
        <v>18</v>
      </c>
      <c r="H889">
        <v>27</v>
      </c>
      <c r="I889" t="s">
        <v>19</v>
      </c>
      <c r="J889">
        <v>2009</v>
      </c>
      <c r="K889">
        <v>2009</v>
      </c>
      <c r="L889" t="s">
        <v>20</v>
      </c>
      <c r="M889">
        <v>21602</v>
      </c>
      <c r="N889">
        <v>848</v>
      </c>
    </row>
    <row r="890" spans="1:14" x14ac:dyDescent="0.35">
      <c r="A890" t="s">
        <v>938</v>
      </c>
      <c r="B890" t="s">
        <v>15</v>
      </c>
      <c r="C890" t="s">
        <v>16</v>
      </c>
      <c r="D890">
        <v>238</v>
      </c>
      <c r="E890" t="s">
        <v>922</v>
      </c>
      <c r="F890">
        <v>5419</v>
      </c>
      <c r="G890" t="s">
        <v>18</v>
      </c>
      <c r="H890">
        <v>27</v>
      </c>
      <c r="I890" t="s">
        <v>19</v>
      </c>
      <c r="J890">
        <v>2010</v>
      </c>
      <c r="K890">
        <v>2010</v>
      </c>
      <c r="L890" t="s">
        <v>20</v>
      </c>
      <c r="M890">
        <v>30273</v>
      </c>
      <c r="N890">
        <v>848</v>
      </c>
    </row>
    <row r="891" spans="1:14" x14ac:dyDescent="0.35">
      <c r="A891" t="s">
        <v>939</v>
      </c>
      <c r="B891" t="s">
        <v>15</v>
      </c>
      <c r="C891" t="s">
        <v>16</v>
      </c>
      <c r="D891">
        <v>238</v>
      </c>
      <c r="E891" t="s">
        <v>922</v>
      </c>
      <c r="F891">
        <v>5419</v>
      </c>
      <c r="G891" t="s">
        <v>18</v>
      </c>
      <c r="H891">
        <v>27</v>
      </c>
      <c r="I891" t="s">
        <v>19</v>
      </c>
      <c r="J891">
        <v>2011</v>
      </c>
      <c r="K891">
        <v>2011</v>
      </c>
      <c r="L891" t="s">
        <v>20</v>
      </c>
      <c r="M891">
        <v>28914</v>
      </c>
      <c r="N891">
        <v>848</v>
      </c>
    </row>
    <row r="892" spans="1:14" x14ac:dyDescent="0.35">
      <c r="A892" t="s">
        <v>940</v>
      </c>
      <c r="B892" t="s">
        <v>15</v>
      </c>
      <c r="C892" t="s">
        <v>16</v>
      </c>
      <c r="D892">
        <v>238</v>
      </c>
      <c r="E892" t="s">
        <v>922</v>
      </c>
      <c r="F892">
        <v>5419</v>
      </c>
      <c r="G892" t="s">
        <v>18</v>
      </c>
      <c r="H892">
        <v>27</v>
      </c>
      <c r="I892" t="s">
        <v>19</v>
      </c>
      <c r="J892">
        <v>2012</v>
      </c>
      <c r="K892">
        <v>2012</v>
      </c>
      <c r="L892" t="s">
        <v>20</v>
      </c>
      <c r="M892">
        <v>28950</v>
      </c>
      <c r="N892">
        <v>848</v>
      </c>
    </row>
    <row r="893" spans="1:14" x14ac:dyDescent="0.35">
      <c r="A893" t="s">
        <v>941</v>
      </c>
      <c r="B893" t="s">
        <v>15</v>
      </c>
      <c r="C893" t="s">
        <v>16</v>
      </c>
      <c r="D893">
        <v>238</v>
      </c>
      <c r="E893" t="s">
        <v>922</v>
      </c>
      <c r="F893">
        <v>5419</v>
      </c>
      <c r="G893" t="s">
        <v>18</v>
      </c>
      <c r="H893">
        <v>27</v>
      </c>
      <c r="I893" t="s">
        <v>19</v>
      </c>
      <c r="J893">
        <v>2013</v>
      </c>
      <c r="K893">
        <v>2013</v>
      </c>
      <c r="L893" t="s">
        <v>20</v>
      </c>
      <c r="M893">
        <v>27310</v>
      </c>
      <c r="N893">
        <v>848</v>
      </c>
    </row>
    <row r="894" spans="1:14" x14ac:dyDescent="0.35">
      <c r="A894" t="s">
        <v>942</v>
      </c>
      <c r="B894" t="s">
        <v>15</v>
      </c>
      <c r="C894" t="s">
        <v>16</v>
      </c>
      <c r="D894">
        <v>238</v>
      </c>
      <c r="E894" t="s">
        <v>922</v>
      </c>
      <c r="F894">
        <v>5419</v>
      </c>
      <c r="G894" t="s">
        <v>18</v>
      </c>
      <c r="H894">
        <v>27</v>
      </c>
      <c r="I894" t="s">
        <v>19</v>
      </c>
      <c r="J894">
        <v>2014</v>
      </c>
      <c r="K894">
        <v>2014</v>
      </c>
      <c r="L894" t="s">
        <v>20</v>
      </c>
      <c r="M894">
        <v>28148</v>
      </c>
      <c r="N894">
        <v>848</v>
      </c>
    </row>
    <row r="895" spans="1:14" x14ac:dyDescent="0.35">
      <c r="A895" t="s">
        <v>943</v>
      </c>
      <c r="B895" t="s">
        <v>15</v>
      </c>
      <c r="C895" t="s">
        <v>16</v>
      </c>
      <c r="D895">
        <v>238</v>
      </c>
      <c r="E895" t="s">
        <v>922</v>
      </c>
      <c r="F895">
        <v>5419</v>
      </c>
      <c r="G895" t="s">
        <v>18</v>
      </c>
      <c r="H895">
        <v>27</v>
      </c>
      <c r="I895" t="s">
        <v>19</v>
      </c>
      <c r="J895">
        <v>2015</v>
      </c>
      <c r="K895">
        <v>2015</v>
      </c>
      <c r="L895" t="s">
        <v>20</v>
      </c>
      <c r="M895">
        <v>30752</v>
      </c>
      <c r="N895">
        <v>848</v>
      </c>
    </row>
    <row r="896" spans="1:14" x14ac:dyDescent="0.35">
      <c r="A896" t="s">
        <v>944</v>
      </c>
      <c r="B896" t="s">
        <v>15</v>
      </c>
      <c r="C896" t="s">
        <v>16</v>
      </c>
      <c r="D896">
        <v>238</v>
      </c>
      <c r="E896" t="s">
        <v>922</v>
      </c>
      <c r="F896">
        <v>5419</v>
      </c>
      <c r="G896" t="s">
        <v>18</v>
      </c>
      <c r="H896">
        <v>27</v>
      </c>
      <c r="I896" t="s">
        <v>19</v>
      </c>
      <c r="J896">
        <v>2016</v>
      </c>
      <c r="K896">
        <v>2016</v>
      </c>
      <c r="L896" t="s">
        <v>20</v>
      </c>
      <c r="M896">
        <v>28089</v>
      </c>
      <c r="N896">
        <v>848</v>
      </c>
    </row>
    <row r="897" spans="1:14" x14ac:dyDescent="0.35">
      <c r="A897" t="s">
        <v>945</v>
      </c>
      <c r="B897" t="s">
        <v>15</v>
      </c>
      <c r="C897" t="s">
        <v>16</v>
      </c>
      <c r="D897">
        <v>66</v>
      </c>
      <c r="E897" t="s">
        <v>946</v>
      </c>
      <c r="F897">
        <v>5419</v>
      </c>
      <c r="G897" t="s">
        <v>18</v>
      </c>
      <c r="H897">
        <v>27</v>
      </c>
      <c r="I897" t="s">
        <v>19</v>
      </c>
      <c r="J897">
        <v>1985</v>
      </c>
      <c r="K897">
        <v>1985</v>
      </c>
      <c r="L897" t="s">
        <v>20</v>
      </c>
      <c r="M897">
        <v>23663</v>
      </c>
      <c r="N897">
        <v>2592</v>
      </c>
    </row>
    <row r="898" spans="1:14" x14ac:dyDescent="0.35">
      <c r="A898" t="s">
        <v>947</v>
      </c>
      <c r="B898" t="s">
        <v>15</v>
      </c>
      <c r="C898" t="s">
        <v>16</v>
      </c>
      <c r="D898">
        <v>66</v>
      </c>
      <c r="E898" t="s">
        <v>946</v>
      </c>
      <c r="F898">
        <v>5419</v>
      </c>
      <c r="G898" t="s">
        <v>18</v>
      </c>
      <c r="H898">
        <v>27</v>
      </c>
      <c r="I898" t="s">
        <v>19</v>
      </c>
      <c r="J898">
        <v>1986</v>
      </c>
      <c r="K898">
        <v>1986</v>
      </c>
      <c r="L898" t="s">
        <v>20</v>
      </c>
      <c r="M898">
        <v>21215</v>
      </c>
      <c r="N898">
        <v>2592</v>
      </c>
    </row>
    <row r="899" spans="1:14" x14ac:dyDescent="0.35">
      <c r="A899" t="s">
        <v>948</v>
      </c>
      <c r="B899" t="s">
        <v>15</v>
      </c>
      <c r="C899" t="s">
        <v>16</v>
      </c>
      <c r="D899">
        <v>66</v>
      </c>
      <c r="E899" t="s">
        <v>946</v>
      </c>
      <c r="F899">
        <v>5419</v>
      </c>
      <c r="G899" t="s">
        <v>18</v>
      </c>
      <c r="H899">
        <v>27</v>
      </c>
      <c r="I899" t="s">
        <v>19</v>
      </c>
      <c r="J899">
        <v>1987</v>
      </c>
      <c r="K899">
        <v>1987</v>
      </c>
      <c r="L899" t="s">
        <v>20</v>
      </c>
      <c r="M899">
        <v>19201</v>
      </c>
      <c r="N899">
        <v>2592</v>
      </c>
    </row>
    <row r="900" spans="1:14" x14ac:dyDescent="0.35">
      <c r="A900" t="s">
        <v>949</v>
      </c>
      <c r="B900" t="s">
        <v>15</v>
      </c>
      <c r="C900" t="s">
        <v>16</v>
      </c>
      <c r="D900">
        <v>66</v>
      </c>
      <c r="E900" t="s">
        <v>946</v>
      </c>
      <c r="F900">
        <v>5419</v>
      </c>
      <c r="G900" t="s">
        <v>18</v>
      </c>
      <c r="H900">
        <v>27</v>
      </c>
      <c r="I900" t="s">
        <v>19</v>
      </c>
      <c r="J900">
        <v>1989</v>
      </c>
      <c r="K900">
        <v>1989</v>
      </c>
      <c r="L900" t="s">
        <v>20</v>
      </c>
      <c r="M900">
        <v>24209</v>
      </c>
      <c r="N900">
        <v>2592</v>
      </c>
    </row>
    <row r="901" spans="1:14" x14ac:dyDescent="0.35">
      <c r="A901" t="s">
        <v>950</v>
      </c>
      <c r="B901" t="s">
        <v>15</v>
      </c>
      <c r="C901" t="s">
        <v>16</v>
      </c>
      <c r="D901">
        <v>66</v>
      </c>
      <c r="E901" t="s">
        <v>946</v>
      </c>
      <c r="F901">
        <v>5419</v>
      </c>
      <c r="G901" t="s">
        <v>18</v>
      </c>
      <c r="H901">
        <v>27</v>
      </c>
      <c r="I901" t="s">
        <v>19</v>
      </c>
      <c r="J901">
        <v>1990</v>
      </c>
      <c r="K901">
        <v>1990</v>
      </c>
      <c r="L901" t="s">
        <v>20</v>
      </c>
      <c r="M901">
        <v>21860</v>
      </c>
      <c r="N901">
        <v>2592</v>
      </c>
    </row>
    <row r="902" spans="1:14" x14ac:dyDescent="0.35">
      <c r="A902" t="s">
        <v>951</v>
      </c>
      <c r="B902" t="s">
        <v>15</v>
      </c>
      <c r="C902" t="s">
        <v>16</v>
      </c>
      <c r="D902">
        <v>66</v>
      </c>
      <c r="E902" t="s">
        <v>946</v>
      </c>
      <c r="F902">
        <v>5419</v>
      </c>
      <c r="G902" t="s">
        <v>18</v>
      </c>
      <c r="H902">
        <v>27</v>
      </c>
      <c r="I902" t="s">
        <v>19</v>
      </c>
      <c r="J902">
        <v>1991</v>
      </c>
      <c r="K902">
        <v>1991</v>
      </c>
      <c r="L902" t="s">
        <v>20</v>
      </c>
      <c r="M902">
        <v>23537</v>
      </c>
      <c r="N902">
        <v>2592</v>
      </c>
    </row>
    <row r="903" spans="1:14" x14ac:dyDescent="0.35">
      <c r="A903" t="s">
        <v>952</v>
      </c>
      <c r="B903" t="s">
        <v>15</v>
      </c>
      <c r="C903" t="s">
        <v>16</v>
      </c>
      <c r="D903">
        <v>66</v>
      </c>
      <c r="E903" t="s">
        <v>946</v>
      </c>
      <c r="F903">
        <v>5419</v>
      </c>
      <c r="G903" t="s">
        <v>18</v>
      </c>
      <c r="H903">
        <v>27</v>
      </c>
      <c r="I903" t="s">
        <v>19</v>
      </c>
      <c r="J903">
        <v>1992</v>
      </c>
      <c r="K903">
        <v>1992</v>
      </c>
      <c r="L903" t="s">
        <v>20</v>
      </c>
      <c r="M903">
        <v>21530</v>
      </c>
      <c r="N903">
        <v>2592</v>
      </c>
    </row>
    <row r="904" spans="1:14" x14ac:dyDescent="0.35">
      <c r="A904" t="s">
        <v>953</v>
      </c>
      <c r="B904" t="s">
        <v>15</v>
      </c>
      <c r="C904" t="s">
        <v>16</v>
      </c>
      <c r="D904">
        <v>66</v>
      </c>
      <c r="E904" t="s">
        <v>946</v>
      </c>
      <c r="F904">
        <v>5419</v>
      </c>
      <c r="G904" t="s">
        <v>18</v>
      </c>
      <c r="H904">
        <v>27</v>
      </c>
      <c r="I904" t="s">
        <v>19</v>
      </c>
      <c r="J904">
        <v>1993</v>
      </c>
      <c r="K904">
        <v>1993</v>
      </c>
      <c r="L904" t="s">
        <v>20</v>
      </c>
      <c r="M904">
        <v>23559</v>
      </c>
      <c r="N904">
        <v>2592</v>
      </c>
    </row>
    <row r="905" spans="1:14" x14ac:dyDescent="0.35">
      <c r="A905" t="s">
        <v>954</v>
      </c>
      <c r="B905" t="s">
        <v>15</v>
      </c>
      <c r="C905" t="s">
        <v>16</v>
      </c>
      <c r="D905">
        <v>66</v>
      </c>
      <c r="E905" t="s">
        <v>946</v>
      </c>
      <c r="F905">
        <v>5419</v>
      </c>
      <c r="G905" t="s">
        <v>18</v>
      </c>
      <c r="H905">
        <v>27</v>
      </c>
      <c r="I905" t="s">
        <v>19</v>
      </c>
      <c r="J905">
        <v>1994</v>
      </c>
      <c r="K905">
        <v>1994</v>
      </c>
      <c r="L905" t="s">
        <v>20</v>
      </c>
      <c r="M905">
        <v>22910</v>
      </c>
      <c r="N905">
        <v>2592</v>
      </c>
    </row>
    <row r="906" spans="1:14" x14ac:dyDescent="0.35">
      <c r="A906" t="s">
        <v>955</v>
      </c>
      <c r="B906" t="s">
        <v>15</v>
      </c>
      <c r="C906" t="s">
        <v>16</v>
      </c>
      <c r="D906">
        <v>66</v>
      </c>
      <c r="E906" t="s">
        <v>946</v>
      </c>
      <c r="F906">
        <v>5419</v>
      </c>
      <c r="G906" t="s">
        <v>18</v>
      </c>
      <c r="H906">
        <v>27</v>
      </c>
      <c r="I906" t="s">
        <v>19</v>
      </c>
      <c r="J906">
        <v>1995</v>
      </c>
      <c r="K906">
        <v>1995</v>
      </c>
      <c r="L906" t="s">
        <v>20</v>
      </c>
      <c r="M906">
        <v>26559</v>
      </c>
      <c r="N906">
        <v>2592</v>
      </c>
    </row>
    <row r="907" spans="1:14" x14ac:dyDescent="0.35">
      <c r="A907" t="s">
        <v>956</v>
      </c>
      <c r="B907" t="s">
        <v>15</v>
      </c>
      <c r="C907" t="s">
        <v>16</v>
      </c>
      <c r="D907">
        <v>66</v>
      </c>
      <c r="E907" t="s">
        <v>946</v>
      </c>
      <c r="F907">
        <v>5419</v>
      </c>
      <c r="G907" t="s">
        <v>18</v>
      </c>
      <c r="H907">
        <v>27</v>
      </c>
      <c r="I907" t="s">
        <v>19</v>
      </c>
      <c r="J907">
        <v>1996</v>
      </c>
      <c r="K907">
        <v>1996</v>
      </c>
      <c r="L907" t="s">
        <v>20</v>
      </c>
      <c r="M907">
        <v>20652</v>
      </c>
      <c r="N907">
        <v>2592</v>
      </c>
    </row>
    <row r="908" spans="1:14" x14ac:dyDescent="0.35">
      <c r="A908" t="s">
        <v>957</v>
      </c>
      <c r="B908" t="s">
        <v>15</v>
      </c>
      <c r="C908" t="s">
        <v>16</v>
      </c>
      <c r="D908">
        <v>66</v>
      </c>
      <c r="E908" t="s">
        <v>946</v>
      </c>
      <c r="F908">
        <v>5419</v>
      </c>
      <c r="G908" t="s">
        <v>18</v>
      </c>
      <c r="H908">
        <v>27</v>
      </c>
      <c r="I908" t="s">
        <v>19</v>
      </c>
      <c r="J908">
        <v>1997</v>
      </c>
      <c r="K908">
        <v>1997</v>
      </c>
      <c r="L908" t="s">
        <v>20</v>
      </c>
      <c r="M908">
        <v>21731</v>
      </c>
      <c r="N908">
        <v>2592</v>
      </c>
    </row>
    <row r="909" spans="1:14" x14ac:dyDescent="0.35">
      <c r="A909" t="s">
        <v>958</v>
      </c>
      <c r="B909" t="s">
        <v>15</v>
      </c>
      <c r="C909" t="s">
        <v>16</v>
      </c>
      <c r="D909">
        <v>66</v>
      </c>
      <c r="E909" t="s">
        <v>946</v>
      </c>
      <c r="F909">
        <v>5419</v>
      </c>
      <c r="G909" t="s">
        <v>18</v>
      </c>
      <c r="H909">
        <v>27</v>
      </c>
      <c r="I909" t="s">
        <v>19</v>
      </c>
      <c r="J909">
        <v>1998</v>
      </c>
      <c r="K909">
        <v>1998</v>
      </c>
      <c r="L909" t="s">
        <v>20</v>
      </c>
      <c r="M909">
        <v>6365</v>
      </c>
      <c r="N909">
        <v>2592</v>
      </c>
    </row>
    <row r="910" spans="1:14" x14ac:dyDescent="0.35">
      <c r="A910" t="s">
        <v>959</v>
      </c>
      <c r="B910" t="s">
        <v>15</v>
      </c>
      <c r="C910" t="s">
        <v>16</v>
      </c>
      <c r="D910">
        <v>66</v>
      </c>
      <c r="E910" t="s">
        <v>946</v>
      </c>
      <c r="F910">
        <v>5419</v>
      </c>
      <c r="G910" t="s">
        <v>18</v>
      </c>
      <c r="H910">
        <v>27</v>
      </c>
      <c r="I910" t="s">
        <v>19</v>
      </c>
      <c r="J910">
        <v>1999</v>
      </c>
      <c r="K910">
        <v>1999</v>
      </c>
      <c r="L910" t="s">
        <v>20</v>
      </c>
      <c r="M910">
        <v>27633</v>
      </c>
      <c r="N910">
        <v>2592</v>
      </c>
    </row>
    <row r="911" spans="1:14" x14ac:dyDescent="0.35">
      <c r="A911" t="s">
        <v>960</v>
      </c>
      <c r="B911" t="s">
        <v>15</v>
      </c>
      <c r="C911" t="s">
        <v>16</v>
      </c>
      <c r="D911">
        <v>66</v>
      </c>
      <c r="E911" t="s">
        <v>946</v>
      </c>
      <c r="F911">
        <v>5419</v>
      </c>
      <c r="G911" t="s">
        <v>18</v>
      </c>
      <c r="H911">
        <v>27</v>
      </c>
      <c r="I911" t="s">
        <v>19</v>
      </c>
      <c r="J911">
        <v>2000</v>
      </c>
      <c r="K911">
        <v>2000</v>
      </c>
      <c r="L911" t="s">
        <v>20</v>
      </c>
      <c r="M911">
        <v>24976</v>
      </c>
      <c r="N911">
        <v>2592</v>
      </c>
    </row>
    <row r="912" spans="1:14" x14ac:dyDescent="0.35">
      <c r="A912" t="s">
        <v>961</v>
      </c>
      <c r="B912" t="s">
        <v>15</v>
      </c>
      <c r="C912" t="s">
        <v>16</v>
      </c>
      <c r="D912">
        <v>66</v>
      </c>
      <c r="E912" t="s">
        <v>946</v>
      </c>
      <c r="F912">
        <v>5419</v>
      </c>
      <c r="G912" t="s">
        <v>18</v>
      </c>
      <c r="H912">
        <v>27</v>
      </c>
      <c r="I912" t="s">
        <v>19</v>
      </c>
      <c r="J912">
        <v>2001</v>
      </c>
      <c r="K912">
        <v>2001</v>
      </c>
      <c r="L912" t="s">
        <v>20</v>
      </c>
      <c r="M912">
        <v>24353</v>
      </c>
      <c r="N912">
        <v>2592</v>
      </c>
    </row>
    <row r="913" spans="1:14" x14ac:dyDescent="0.35">
      <c r="A913" t="s">
        <v>962</v>
      </c>
      <c r="B913" t="s">
        <v>15</v>
      </c>
      <c r="C913" t="s">
        <v>16</v>
      </c>
      <c r="D913">
        <v>66</v>
      </c>
      <c r="E913" t="s">
        <v>946</v>
      </c>
      <c r="F913">
        <v>5419</v>
      </c>
      <c r="G913" t="s">
        <v>18</v>
      </c>
      <c r="H913">
        <v>27</v>
      </c>
      <c r="I913" t="s">
        <v>19</v>
      </c>
      <c r="J913">
        <v>2002</v>
      </c>
      <c r="K913">
        <v>2002</v>
      </c>
      <c r="L913" t="s">
        <v>20</v>
      </c>
      <c r="M913">
        <v>24249</v>
      </c>
      <c r="N913">
        <v>2592</v>
      </c>
    </row>
    <row r="914" spans="1:14" x14ac:dyDescent="0.35">
      <c r="A914" t="s">
        <v>963</v>
      </c>
      <c r="B914" t="s">
        <v>15</v>
      </c>
      <c r="C914" t="s">
        <v>16</v>
      </c>
      <c r="D914">
        <v>66</v>
      </c>
      <c r="E914" t="s">
        <v>946</v>
      </c>
      <c r="F914">
        <v>5419</v>
      </c>
      <c r="G914" t="s">
        <v>18</v>
      </c>
      <c r="H914">
        <v>27</v>
      </c>
      <c r="I914" t="s">
        <v>19</v>
      </c>
      <c r="J914">
        <v>2004</v>
      </c>
      <c r="K914">
        <v>2004</v>
      </c>
      <c r="L914" t="s">
        <v>20</v>
      </c>
      <c r="M914">
        <v>23538</v>
      </c>
      <c r="N914">
        <v>2592</v>
      </c>
    </row>
    <row r="915" spans="1:14" x14ac:dyDescent="0.35">
      <c r="A915" t="s">
        <v>964</v>
      </c>
      <c r="B915" t="s">
        <v>15</v>
      </c>
      <c r="C915" t="s">
        <v>16</v>
      </c>
      <c r="D915">
        <v>66</v>
      </c>
      <c r="E915" t="s">
        <v>946</v>
      </c>
      <c r="F915">
        <v>5419</v>
      </c>
      <c r="G915" t="s">
        <v>18</v>
      </c>
      <c r="H915">
        <v>27</v>
      </c>
      <c r="I915" t="s">
        <v>19</v>
      </c>
      <c r="J915">
        <v>2005</v>
      </c>
      <c r="K915">
        <v>2005</v>
      </c>
      <c r="L915" t="s">
        <v>20</v>
      </c>
      <c r="M915">
        <v>23733</v>
      </c>
      <c r="N915">
        <v>2592</v>
      </c>
    </row>
    <row r="916" spans="1:14" x14ac:dyDescent="0.35">
      <c r="A916" t="s">
        <v>965</v>
      </c>
      <c r="B916" t="s">
        <v>15</v>
      </c>
      <c r="C916" t="s">
        <v>16</v>
      </c>
      <c r="D916">
        <v>66</v>
      </c>
      <c r="E916" t="s">
        <v>946</v>
      </c>
      <c r="F916">
        <v>5419</v>
      </c>
      <c r="G916" t="s">
        <v>18</v>
      </c>
      <c r="H916">
        <v>27</v>
      </c>
      <c r="I916" t="s">
        <v>19</v>
      </c>
      <c r="J916">
        <v>2006</v>
      </c>
      <c r="K916">
        <v>2006</v>
      </c>
      <c r="L916" t="s">
        <v>20</v>
      </c>
      <c r="M916">
        <v>23149</v>
      </c>
      <c r="N916">
        <v>2592</v>
      </c>
    </row>
    <row r="917" spans="1:14" x14ac:dyDescent="0.35">
      <c r="A917" t="s">
        <v>966</v>
      </c>
      <c r="B917" t="s">
        <v>15</v>
      </c>
      <c r="C917" t="s">
        <v>16</v>
      </c>
      <c r="D917">
        <v>66</v>
      </c>
      <c r="E917" t="s">
        <v>946</v>
      </c>
      <c r="F917">
        <v>5419</v>
      </c>
      <c r="G917" t="s">
        <v>18</v>
      </c>
      <c r="H917">
        <v>27</v>
      </c>
      <c r="I917" t="s">
        <v>19</v>
      </c>
      <c r="J917">
        <v>2007</v>
      </c>
      <c r="K917">
        <v>2007</v>
      </c>
      <c r="L917" t="s">
        <v>20</v>
      </c>
      <c r="M917">
        <v>26735</v>
      </c>
      <c r="N917">
        <v>2592</v>
      </c>
    </row>
    <row r="918" spans="1:14" x14ac:dyDescent="0.35">
      <c r="A918" t="s">
        <v>967</v>
      </c>
      <c r="B918" t="s">
        <v>15</v>
      </c>
      <c r="C918" t="s">
        <v>16</v>
      </c>
      <c r="D918">
        <v>66</v>
      </c>
      <c r="E918" t="s">
        <v>946</v>
      </c>
      <c r="F918">
        <v>5419</v>
      </c>
      <c r="G918" t="s">
        <v>18</v>
      </c>
      <c r="H918">
        <v>27</v>
      </c>
      <c r="I918" t="s">
        <v>19</v>
      </c>
      <c r="J918">
        <v>2008</v>
      </c>
      <c r="K918">
        <v>2008</v>
      </c>
      <c r="L918" t="s">
        <v>20</v>
      </c>
      <c r="M918">
        <v>22838</v>
      </c>
      <c r="N918">
        <v>2592</v>
      </c>
    </row>
    <row r="919" spans="1:14" x14ac:dyDescent="0.35">
      <c r="A919" t="s">
        <v>968</v>
      </c>
      <c r="B919" t="s">
        <v>15</v>
      </c>
      <c r="C919" t="s">
        <v>16</v>
      </c>
      <c r="D919">
        <v>66</v>
      </c>
      <c r="E919" t="s">
        <v>946</v>
      </c>
      <c r="F919">
        <v>5419</v>
      </c>
      <c r="G919" t="s">
        <v>18</v>
      </c>
      <c r="H919">
        <v>27</v>
      </c>
      <c r="I919" t="s">
        <v>19</v>
      </c>
      <c r="J919">
        <v>2009</v>
      </c>
      <c r="K919">
        <v>2009</v>
      </c>
      <c r="L919" t="s">
        <v>20</v>
      </c>
      <c r="M919">
        <v>28705</v>
      </c>
      <c r="N919">
        <v>2592</v>
      </c>
    </row>
    <row r="920" spans="1:14" x14ac:dyDescent="0.35">
      <c r="A920" t="s">
        <v>969</v>
      </c>
      <c r="B920" t="s">
        <v>15</v>
      </c>
      <c r="C920" t="s">
        <v>16</v>
      </c>
      <c r="D920">
        <v>66</v>
      </c>
      <c r="E920" t="s">
        <v>946</v>
      </c>
      <c r="F920">
        <v>5419</v>
      </c>
      <c r="G920" t="s">
        <v>18</v>
      </c>
      <c r="H920">
        <v>27</v>
      </c>
      <c r="I920" t="s">
        <v>19</v>
      </c>
      <c r="J920">
        <v>2010</v>
      </c>
      <c r="K920">
        <v>2010</v>
      </c>
      <c r="L920" t="s">
        <v>20</v>
      </c>
      <c r="M920">
        <v>30173</v>
      </c>
      <c r="N920">
        <v>2592</v>
      </c>
    </row>
    <row r="921" spans="1:14" x14ac:dyDescent="0.35">
      <c r="A921" t="s">
        <v>970</v>
      </c>
      <c r="B921" t="s">
        <v>15</v>
      </c>
      <c r="C921" t="s">
        <v>16</v>
      </c>
      <c r="D921">
        <v>66</v>
      </c>
      <c r="E921" t="s">
        <v>946</v>
      </c>
      <c r="F921">
        <v>5419</v>
      </c>
      <c r="G921" t="s">
        <v>18</v>
      </c>
      <c r="H921">
        <v>27</v>
      </c>
      <c r="I921" t="s">
        <v>19</v>
      </c>
      <c r="J921">
        <v>2011</v>
      </c>
      <c r="K921">
        <v>2011</v>
      </c>
      <c r="L921" t="s">
        <v>20</v>
      </c>
      <c r="M921">
        <v>28519</v>
      </c>
      <c r="N921">
        <v>2592</v>
      </c>
    </row>
    <row r="922" spans="1:14" x14ac:dyDescent="0.35">
      <c r="A922" t="s">
        <v>971</v>
      </c>
      <c r="B922" t="s">
        <v>15</v>
      </c>
      <c r="C922" t="s">
        <v>16</v>
      </c>
      <c r="D922">
        <v>66</v>
      </c>
      <c r="E922" t="s">
        <v>946</v>
      </c>
      <c r="F922">
        <v>5419</v>
      </c>
      <c r="G922" t="s">
        <v>18</v>
      </c>
      <c r="H922">
        <v>27</v>
      </c>
      <c r="I922" t="s">
        <v>19</v>
      </c>
      <c r="J922">
        <v>2012</v>
      </c>
      <c r="K922">
        <v>2012</v>
      </c>
      <c r="L922" t="s">
        <v>20</v>
      </c>
      <c r="M922">
        <v>24412</v>
      </c>
      <c r="N922">
        <v>2592</v>
      </c>
    </row>
    <row r="923" spans="1:14" x14ac:dyDescent="0.35">
      <c r="A923" t="s">
        <v>972</v>
      </c>
      <c r="B923" t="s">
        <v>15</v>
      </c>
      <c r="C923" t="s">
        <v>16</v>
      </c>
      <c r="D923">
        <v>66</v>
      </c>
      <c r="E923" t="s">
        <v>946</v>
      </c>
      <c r="F923">
        <v>5419</v>
      </c>
      <c r="G923" t="s">
        <v>18</v>
      </c>
      <c r="H923">
        <v>27</v>
      </c>
      <c r="I923" t="s">
        <v>19</v>
      </c>
      <c r="J923">
        <v>2013</v>
      </c>
      <c r="K923">
        <v>2013</v>
      </c>
      <c r="L923" t="s">
        <v>20</v>
      </c>
      <c r="M923">
        <v>31967</v>
      </c>
      <c r="N923">
        <v>2592</v>
      </c>
    </row>
    <row r="924" spans="1:14" x14ac:dyDescent="0.35">
      <c r="A924" t="s">
        <v>973</v>
      </c>
      <c r="B924" t="s">
        <v>15</v>
      </c>
      <c r="C924" t="s">
        <v>16</v>
      </c>
      <c r="D924">
        <v>66</v>
      </c>
      <c r="E924" t="s">
        <v>946</v>
      </c>
      <c r="F924">
        <v>5419</v>
      </c>
      <c r="G924" t="s">
        <v>18</v>
      </c>
      <c r="H924">
        <v>27</v>
      </c>
      <c r="I924" t="s">
        <v>19</v>
      </c>
      <c r="J924">
        <v>2014</v>
      </c>
      <c r="K924">
        <v>2014</v>
      </c>
      <c r="L924" t="s">
        <v>20</v>
      </c>
      <c r="M924">
        <v>54802</v>
      </c>
      <c r="N924">
        <v>2592</v>
      </c>
    </row>
    <row r="925" spans="1:14" x14ac:dyDescent="0.35">
      <c r="A925" t="s">
        <v>974</v>
      </c>
      <c r="B925" t="s">
        <v>15</v>
      </c>
      <c r="C925" t="s">
        <v>16</v>
      </c>
      <c r="D925">
        <v>66</v>
      </c>
      <c r="E925" t="s">
        <v>946</v>
      </c>
      <c r="F925">
        <v>5419</v>
      </c>
      <c r="G925" t="s">
        <v>18</v>
      </c>
      <c r="H925">
        <v>27</v>
      </c>
      <c r="I925" t="s">
        <v>19</v>
      </c>
      <c r="J925">
        <v>2015</v>
      </c>
      <c r="K925">
        <v>2015</v>
      </c>
      <c r="L925" t="s">
        <v>20</v>
      </c>
      <c r="M925">
        <v>47345</v>
      </c>
      <c r="N925">
        <v>2592</v>
      </c>
    </row>
    <row r="926" spans="1:14" x14ac:dyDescent="0.35">
      <c r="A926" t="s">
        <v>975</v>
      </c>
      <c r="B926" t="s">
        <v>15</v>
      </c>
      <c r="C926" t="s">
        <v>16</v>
      </c>
      <c r="D926">
        <v>66</v>
      </c>
      <c r="E926" t="s">
        <v>946</v>
      </c>
      <c r="F926">
        <v>5419</v>
      </c>
      <c r="G926" t="s">
        <v>18</v>
      </c>
      <c r="H926">
        <v>27</v>
      </c>
      <c r="I926" t="s">
        <v>19</v>
      </c>
      <c r="J926">
        <v>2016</v>
      </c>
      <c r="K926">
        <v>2016</v>
      </c>
      <c r="L926" t="s">
        <v>20</v>
      </c>
      <c r="M926">
        <v>35450</v>
      </c>
      <c r="N926">
        <v>2592</v>
      </c>
    </row>
    <row r="927" spans="1:14" x14ac:dyDescent="0.35">
      <c r="A927" t="s">
        <v>976</v>
      </c>
      <c r="B927" t="s">
        <v>15</v>
      </c>
      <c r="C927" t="s">
        <v>16</v>
      </c>
      <c r="D927">
        <v>68</v>
      </c>
      <c r="E927" t="s">
        <v>977</v>
      </c>
      <c r="F927">
        <v>5419</v>
      </c>
      <c r="G927" t="s">
        <v>18</v>
      </c>
      <c r="H927">
        <v>27</v>
      </c>
      <c r="I927" t="s">
        <v>19</v>
      </c>
      <c r="J927">
        <v>1985</v>
      </c>
      <c r="K927">
        <v>1985</v>
      </c>
      <c r="L927" t="s">
        <v>20</v>
      </c>
      <c r="M927">
        <v>54964</v>
      </c>
      <c r="N927">
        <v>867</v>
      </c>
    </row>
    <row r="928" spans="1:14" x14ac:dyDescent="0.35">
      <c r="A928" t="s">
        <v>978</v>
      </c>
      <c r="B928" t="s">
        <v>15</v>
      </c>
      <c r="C928" t="s">
        <v>16</v>
      </c>
      <c r="D928">
        <v>68</v>
      </c>
      <c r="E928" t="s">
        <v>977</v>
      </c>
      <c r="F928">
        <v>5419</v>
      </c>
      <c r="G928" t="s">
        <v>18</v>
      </c>
      <c r="H928">
        <v>27</v>
      </c>
      <c r="I928" t="s">
        <v>19</v>
      </c>
      <c r="J928">
        <v>1986</v>
      </c>
      <c r="K928">
        <v>1986</v>
      </c>
      <c r="L928" t="s">
        <v>20</v>
      </c>
      <c r="M928">
        <v>51299</v>
      </c>
      <c r="N928">
        <v>867</v>
      </c>
    </row>
    <row r="929" spans="1:14" x14ac:dyDescent="0.35">
      <c r="A929" t="s">
        <v>979</v>
      </c>
      <c r="B929" t="s">
        <v>15</v>
      </c>
      <c r="C929" t="s">
        <v>16</v>
      </c>
      <c r="D929">
        <v>68</v>
      </c>
      <c r="E929" t="s">
        <v>977</v>
      </c>
      <c r="F929">
        <v>5419</v>
      </c>
      <c r="G929" t="s">
        <v>18</v>
      </c>
      <c r="H929">
        <v>27</v>
      </c>
      <c r="I929" t="s">
        <v>19</v>
      </c>
      <c r="J929">
        <v>1987</v>
      </c>
      <c r="K929">
        <v>1987</v>
      </c>
      <c r="L929" t="s">
        <v>20</v>
      </c>
      <c r="M929">
        <v>49782</v>
      </c>
      <c r="N929">
        <v>867</v>
      </c>
    </row>
    <row r="930" spans="1:14" x14ac:dyDescent="0.35">
      <c r="A930" t="s">
        <v>980</v>
      </c>
      <c r="B930" t="s">
        <v>15</v>
      </c>
      <c r="C930" t="s">
        <v>16</v>
      </c>
      <c r="D930">
        <v>68</v>
      </c>
      <c r="E930" t="s">
        <v>977</v>
      </c>
      <c r="F930">
        <v>5419</v>
      </c>
      <c r="G930" t="s">
        <v>18</v>
      </c>
      <c r="H930">
        <v>27</v>
      </c>
      <c r="I930" t="s">
        <v>19</v>
      </c>
      <c r="J930">
        <v>1989</v>
      </c>
      <c r="K930">
        <v>1989</v>
      </c>
      <c r="L930" t="s">
        <v>20</v>
      </c>
      <c r="M930">
        <v>60368</v>
      </c>
      <c r="N930">
        <v>867</v>
      </c>
    </row>
    <row r="931" spans="1:14" x14ac:dyDescent="0.35">
      <c r="A931" t="s">
        <v>981</v>
      </c>
      <c r="B931" t="s">
        <v>15</v>
      </c>
      <c r="C931" t="s">
        <v>16</v>
      </c>
      <c r="D931">
        <v>68</v>
      </c>
      <c r="E931" t="s">
        <v>977</v>
      </c>
      <c r="F931">
        <v>5419</v>
      </c>
      <c r="G931" t="s">
        <v>18</v>
      </c>
      <c r="H931">
        <v>27</v>
      </c>
      <c r="I931" t="s">
        <v>19</v>
      </c>
      <c r="J931">
        <v>1990</v>
      </c>
      <c r="K931">
        <v>1990</v>
      </c>
      <c r="L931" t="s">
        <v>20</v>
      </c>
      <c r="M931">
        <v>59461</v>
      </c>
      <c r="N931">
        <v>867</v>
      </c>
    </row>
    <row r="932" spans="1:14" x14ac:dyDescent="0.35">
      <c r="A932" t="s">
        <v>982</v>
      </c>
      <c r="B932" t="s">
        <v>15</v>
      </c>
      <c r="C932" t="s">
        <v>16</v>
      </c>
      <c r="D932">
        <v>68</v>
      </c>
      <c r="E932" t="s">
        <v>977</v>
      </c>
      <c r="F932">
        <v>5419</v>
      </c>
      <c r="G932" t="s">
        <v>18</v>
      </c>
      <c r="H932">
        <v>27</v>
      </c>
      <c r="I932" t="s">
        <v>19</v>
      </c>
      <c r="J932">
        <v>1991</v>
      </c>
      <c r="K932">
        <v>1991</v>
      </c>
      <c r="L932" t="s">
        <v>20</v>
      </c>
      <c r="M932">
        <v>53273</v>
      </c>
      <c r="N932">
        <v>867</v>
      </c>
    </row>
    <row r="933" spans="1:14" x14ac:dyDescent="0.35">
      <c r="A933" t="s">
        <v>983</v>
      </c>
      <c r="B933" t="s">
        <v>15</v>
      </c>
      <c r="C933" t="s">
        <v>16</v>
      </c>
      <c r="D933">
        <v>68</v>
      </c>
      <c r="E933" t="s">
        <v>977</v>
      </c>
      <c r="F933">
        <v>5419</v>
      </c>
      <c r="G933" t="s">
        <v>18</v>
      </c>
      <c r="H933">
        <v>27</v>
      </c>
      <c r="I933" t="s">
        <v>19</v>
      </c>
      <c r="J933">
        <v>1992</v>
      </c>
      <c r="K933">
        <v>1992</v>
      </c>
      <c r="L933" t="s">
        <v>20</v>
      </c>
      <c r="M933">
        <v>52448</v>
      </c>
      <c r="N933">
        <v>867</v>
      </c>
    </row>
    <row r="934" spans="1:14" x14ac:dyDescent="0.35">
      <c r="A934" t="s">
        <v>984</v>
      </c>
      <c r="B934" t="s">
        <v>15</v>
      </c>
      <c r="C934" t="s">
        <v>16</v>
      </c>
      <c r="D934">
        <v>68</v>
      </c>
      <c r="E934" t="s">
        <v>977</v>
      </c>
      <c r="F934">
        <v>5419</v>
      </c>
      <c r="G934" t="s">
        <v>18</v>
      </c>
      <c r="H934">
        <v>27</v>
      </c>
      <c r="I934" t="s">
        <v>19</v>
      </c>
      <c r="J934">
        <v>1993</v>
      </c>
      <c r="K934">
        <v>1993</v>
      </c>
      <c r="L934" t="s">
        <v>20</v>
      </c>
      <c r="M934">
        <v>49628</v>
      </c>
      <c r="N934">
        <v>867</v>
      </c>
    </row>
    <row r="935" spans="1:14" x14ac:dyDescent="0.35">
      <c r="A935" t="s">
        <v>985</v>
      </c>
      <c r="B935" t="s">
        <v>15</v>
      </c>
      <c r="C935" t="s">
        <v>16</v>
      </c>
      <c r="D935">
        <v>68</v>
      </c>
      <c r="E935" t="s">
        <v>977</v>
      </c>
      <c r="F935">
        <v>5419</v>
      </c>
      <c r="G935" t="s">
        <v>18</v>
      </c>
      <c r="H935">
        <v>27</v>
      </c>
      <c r="I935" t="s">
        <v>19</v>
      </c>
      <c r="J935">
        <v>1994</v>
      </c>
      <c r="K935">
        <v>1994</v>
      </c>
      <c r="L935" t="s">
        <v>20</v>
      </c>
      <c r="M935">
        <v>45700</v>
      </c>
      <c r="N935">
        <v>867</v>
      </c>
    </row>
    <row r="936" spans="1:14" x14ac:dyDescent="0.35">
      <c r="A936" t="s">
        <v>986</v>
      </c>
      <c r="B936" t="s">
        <v>15</v>
      </c>
      <c r="C936" t="s">
        <v>16</v>
      </c>
      <c r="D936">
        <v>68</v>
      </c>
      <c r="E936" t="s">
        <v>977</v>
      </c>
      <c r="F936">
        <v>5419</v>
      </c>
      <c r="G936" t="s">
        <v>18</v>
      </c>
      <c r="H936">
        <v>27</v>
      </c>
      <c r="I936" t="s">
        <v>19</v>
      </c>
      <c r="J936">
        <v>1995</v>
      </c>
      <c r="K936">
        <v>1995</v>
      </c>
      <c r="L936" t="s">
        <v>20</v>
      </c>
      <c r="M936">
        <v>48627</v>
      </c>
      <c r="N936">
        <v>867</v>
      </c>
    </row>
    <row r="937" spans="1:14" x14ac:dyDescent="0.35">
      <c r="A937" t="s">
        <v>987</v>
      </c>
      <c r="B937" t="s">
        <v>15</v>
      </c>
      <c r="C937" t="s">
        <v>16</v>
      </c>
      <c r="D937">
        <v>68</v>
      </c>
      <c r="E937" t="s">
        <v>977</v>
      </c>
      <c r="F937">
        <v>5419</v>
      </c>
      <c r="G937" t="s">
        <v>18</v>
      </c>
      <c r="H937">
        <v>27</v>
      </c>
      <c r="I937" t="s">
        <v>19</v>
      </c>
      <c r="J937">
        <v>1996</v>
      </c>
      <c r="K937">
        <v>1996</v>
      </c>
      <c r="L937" t="s">
        <v>20</v>
      </c>
      <c r="M937">
        <v>52455</v>
      </c>
      <c r="N937">
        <v>867</v>
      </c>
    </row>
    <row r="938" spans="1:14" x14ac:dyDescent="0.35">
      <c r="A938" t="s">
        <v>988</v>
      </c>
      <c r="B938" t="s">
        <v>15</v>
      </c>
      <c r="C938" t="s">
        <v>16</v>
      </c>
      <c r="D938">
        <v>68</v>
      </c>
      <c r="E938" t="s">
        <v>977</v>
      </c>
      <c r="F938">
        <v>5419</v>
      </c>
      <c r="G938" t="s">
        <v>18</v>
      </c>
      <c r="H938">
        <v>27</v>
      </c>
      <c r="I938" t="s">
        <v>19</v>
      </c>
      <c r="J938">
        <v>1997</v>
      </c>
      <c r="K938">
        <v>1997</v>
      </c>
      <c r="L938" t="s">
        <v>20</v>
      </c>
      <c r="M938">
        <v>58919</v>
      </c>
      <c r="N938">
        <v>867</v>
      </c>
    </row>
    <row r="939" spans="1:14" x14ac:dyDescent="0.35">
      <c r="A939" t="s">
        <v>989</v>
      </c>
      <c r="B939" t="s">
        <v>15</v>
      </c>
      <c r="C939" t="s">
        <v>16</v>
      </c>
      <c r="D939">
        <v>68</v>
      </c>
      <c r="E939" t="s">
        <v>977</v>
      </c>
      <c r="F939">
        <v>5419</v>
      </c>
      <c r="G939" t="s">
        <v>18</v>
      </c>
      <c r="H939">
        <v>27</v>
      </c>
      <c r="I939" t="s">
        <v>19</v>
      </c>
      <c r="J939">
        <v>1998</v>
      </c>
      <c r="K939">
        <v>1998</v>
      </c>
      <c r="L939" t="s">
        <v>20</v>
      </c>
      <c r="M939">
        <v>58281</v>
      </c>
      <c r="N939">
        <v>867</v>
      </c>
    </row>
    <row r="940" spans="1:14" x14ac:dyDescent="0.35">
      <c r="A940" t="s">
        <v>990</v>
      </c>
      <c r="B940" t="s">
        <v>15</v>
      </c>
      <c r="C940" t="s">
        <v>16</v>
      </c>
      <c r="D940">
        <v>68</v>
      </c>
      <c r="E940" t="s">
        <v>977</v>
      </c>
      <c r="F940">
        <v>5419</v>
      </c>
      <c r="G940" t="s">
        <v>18</v>
      </c>
      <c r="H940">
        <v>27</v>
      </c>
      <c r="I940" t="s">
        <v>19</v>
      </c>
      <c r="J940">
        <v>1999</v>
      </c>
      <c r="K940">
        <v>1999</v>
      </c>
      <c r="L940" t="s">
        <v>20</v>
      </c>
      <c r="M940">
        <v>60915</v>
      </c>
      <c r="N940">
        <v>867</v>
      </c>
    </row>
    <row r="941" spans="1:14" x14ac:dyDescent="0.35">
      <c r="A941" t="s">
        <v>991</v>
      </c>
      <c r="B941" t="s">
        <v>15</v>
      </c>
      <c r="C941" t="s">
        <v>16</v>
      </c>
      <c r="D941">
        <v>68</v>
      </c>
      <c r="E941" t="s">
        <v>977</v>
      </c>
      <c r="F941">
        <v>5419</v>
      </c>
      <c r="G941" t="s">
        <v>18</v>
      </c>
      <c r="H941">
        <v>27</v>
      </c>
      <c r="I941" t="s">
        <v>19</v>
      </c>
      <c r="J941">
        <v>2000</v>
      </c>
      <c r="K941">
        <v>2000</v>
      </c>
      <c r="L941" t="s">
        <v>20</v>
      </c>
      <c r="M941">
        <v>58358</v>
      </c>
      <c r="N941">
        <v>867</v>
      </c>
    </row>
    <row r="942" spans="1:14" x14ac:dyDescent="0.35">
      <c r="A942" t="s">
        <v>992</v>
      </c>
      <c r="B942" t="s">
        <v>15</v>
      </c>
      <c r="C942" t="s">
        <v>16</v>
      </c>
      <c r="D942">
        <v>68</v>
      </c>
      <c r="E942" t="s">
        <v>977</v>
      </c>
      <c r="F942">
        <v>5419</v>
      </c>
      <c r="G942" t="s">
        <v>18</v>
      </c>
      <c r="H942">
        <v>27</v>
      </c>
      <c r="I942" t="s">
        <v>19</v>
      </c>
      <c r="J942">
        <v>2001</v>
      </c>
      <c r="K942">
        <v>2001</v>
      </c>
      <c r="L942" t="s">
        <v>20</v>
      </c>
      <c r="M942">
        <v>53603</v>
      </c>
      <c r="N942">
        <v>867</v>
      </c>
    </row>
    <row r="943" spans="1:14" x14ac:dyDescent="0.35">
      <c r="A943" t="s">
        <v>993</v>
      </c>
      <c r="B943" t="s">
        <v>15</v>
      </c>
      <c r="C943" t="s">
        <v>16</v>
      </c>
      <c r="D943">
        <v>68</v>
      </c>
      <c r="E943" t="s">
        <v>977</v>
      </c>
      <c r="F943">
        <v>5419</v>
      </c>
      <c r="G943" t="s">
        <v>18</v>
      </c>
      <c r="H943">
        <v>27</v>
      </c>
      <c r="I943" t="s">
        <v>19</v>
      </c>
      <c r="J943">
        <v>2002</v>
      </c>
      <c r="K943">
        <v>2002</v>
      </c>
      <c r="L943" t="s">
        <v>20</v>
      </c>
      <c r="M943">
        <v>56910</v>
      </c>
      <c r="N943">
        <v>867</v>
      </c>
    </row>
    <row r="944" spans="1:14" x14ac:dyDescent="0.35">
      <c r="A944" t="s">
        <v>994</v>
      </c>
      <c r="B944" t="s">
        <v>15</v>
      </c>
      <c r="C944" t="s">
        <v>16</v>
      </c>
      <c r="D944">
        <v>68</v>
      </c>
      <c r="E944" t="s">
        <v>977</v>
      </c>
      <c r="F944">
        <v>5419</v>
      </c>
      <c r="G944" t="s">
        <v>18</v>
      </c>
      <c r="H944">
        <v>27</v>
      </c>
      <c r="I944" t="s">
        <v>19</v>
      </c>
      <c r="J944">
        <v>2004</v>
      </c>
      <c r="K944">
        <v>2004</v>
      </c>
      <c r="L944" t="s">
        <v>20</v>
      </c>
      <c r="M944">
        <v>57098</v>
      </c>
      <c r="N944">
        <v>867</v>
      </c>
    </row>
    <row r="945" spans="1:14" x14ac:dyDescent="0.35">
      <c r="A945" t="s">
        <v>995</v>
      </c>
      <c r="B945" t="s">
        <v>15</v>
      </c>
      <c r="C945" t="s">
        <v>16</v>
      </c>
      <c r="D945">
        <v>68</v>
      </c>
      <c r="E945" t="s">
        <v>977</v>
      </c>
      <c r="F945">
        <v>5419</v>
      </c>
      <c r="G945" t="s">
        <v>18</v>
      </c>
      <c r="H945">
        <v>27</v>
      </c>
      <c r="I945" t="s">
        <v>19</v>
      </c>
      <c r="J945">
        <v>2005</v>
      </c>
      <c r="K945">
        <v>2005</v>
      </c>
      <c r="L945" t="s">
        <v>20</v>
      </c>
      <c r="M945">
        <v>57314</v>
      </c>
      <c r="N945">
        <v>867</v>
      </c>
    </row>
    <row r="946" spans="1:14" x14ac:dyDescent="0.35">
      <c r="A946" t="s">
        <v>996</v>
      </c>
      <c r="B946" t="s">
        <v>15</v>
      </c>
      <c r="C946" t="s">
        <v>16</v>
      </c>
      <c r="D946">
        <v>68</v>
      </c>
      <c r="E946" t="s">
        <v>977</v>
      </c>
      <c r="F946">
        <v>5419</v>
      </c>
      <c r="G946" t="s">
        <v>18</v>
      </c>
      <c r="H946">
        <v>27</v>
      </c>
      <c r="I946" t="s">
        <v>19</v>
      </c>
      <c r="J946">
        <v>2006</v>
      </c>
      <c r="K946">
        <v>2006</v>
      </c>
      <c r="L946" t="s">
        <v>20</v>
      </c>
      <c r="M946">
        <v>54756</v>
      </c>
      <c r="N946">
        <v>867</v>
      </c>
    </row>
    <row r="947" spans="1:14" x14ac:dyDescent="0.35">
      <c r="A947" t="s">
        <v>997</v>
      </c>
      <c r="B947" t="s">
        <v>15</v>
      </c>
      <c r="C947" t="s">
        <v>16</v>
      </c>
      <c r="D947">
        <v>68</v>
      </c>
      <c r="E947" t="s">
        <v>977</v>
      </c>
      <c r="F947">
        <v>5419</v>
      </c>
      <c r="G947" t="s">
        <v>18</v>
      </c>
      <c r="H947">
        <v>27</v>
      </c>
      <c r="I947" t="s">
        <v>19</v>
      </c>
      <c r="J947">
        <v>2007</v>
      </c>
      <c r="K947">
        <v>2007</v>
      </c>
      <c r="L947" t="s">
        <v>20</v>
      </c>
      <c r="M947">
        <v>46354</v>
      </c>
      <c r="N947">
        <v>867</v>
      </c>
    </row>
    <row r="948" spans="1:14" x14ac:dyDescent="0.35">
      <c r="A948" t="s">
        <v>998</v>
      </c>
      <c r="B948" t="s">
        <v>15</v>
      </c>
      <c r="C948" t="s">
        <v>16</v>
      </c>
      <c r="D948">
        <v>68</v>
      </c>
      <c r="E948" t="s">
        <v>977</v>
      </c>
      <c r="F948">
        <v>5419</v>
      </c>
      <c r="G948" t="s">
        <v>18</v>
      </c>
      <c r="H948">
        <v>27</v>
      </c>
      <c r="I948" t="s">
        <v>19</v>
      </c>
      <c r="J948">
        <v>2008</v>
      </c>
      <c r="K948">
        <v>2008</v>
      </c>
      <c r="L948" t="s">
        <v>20</v>
      </c>
      <c r="M948">
        <v>57599</v>
      </c>
      <c r="N948">
        <v>867</v>
      </c>
    </row>
    <row r="949" spans="1:14" x14ac:dyDescent="0.35">
      <c r="A949" t="s">
        <v>999</v>
      </c>
      <c r="B949" t="s">
        <v>15</v>
      </c>
      <c r="C949" t="s">
        <v>16</v>
      </c>
      <c r="D949">
        <v>68</v>
      </c>
      <c r="E949" t="s">
        <v>977</v>
      </c>
      <c r="F949">
        <v>5419</v>
      </c>
      <c r="G949" t="s">
        <v>18</v>
      </c>
      <c r="H949">
        <v>27</v>
      </c>
      <c r="I949" t="s">
        <v>19</v>
      </c>
      <c r="J949">
        <v>2009</v>
      </c>
      <c r="K949">
        <v>2009</v>
      </c>
      <c r="L949" t="s">
        <v>20</v>
      </c>
      <c r="M949">
        <v>57406</v>
      </c>
      <c r="N949">
        <v>867</v>
      </c>
    </row>
    <row r="950" spans="1:14" x14ac:dyDescent="0.35">
      <c r="A950" t="s">
        <v>1000</v>
      </c>
      <c r="B950" t="s">
        <v>15</v>
      </c>
      <c r="C950" t="s">
        <v>16</v>
      </c>
      <c r="D950">
        <v>68</v>
      </c>
      <c r="E950" t="s">
        <v>977</v>
      </c>
      <c r="F950">
        <v>5419</v>
      </c>
      <c r="G950" t="s">
        <v>18</v>
      </c>
      <c r="H950">
        <v>27</v>
      </c>
      <c r="I950" t="s">
        <v>19</v>
      </c>
      <c r="J950">
        <v>2010</v>
      </c>
      <c r="K950">
        <v>2010</v>
      </c>
      <c r="L950" t="s">
        <v>20</v>
      </c>
      <c r="M950">
        <v>50432</v>
      </c>
      <c r="N950">
        <v>867</v>
      </c>
    </row>
    <row r="951" spans="1:14" x14ac:dyDescent="0.35">
      <c r="A951" t="s">
        <v>1001</v>
      </c>
      <c r="B951" t="s">
        <v>15</v>
      </c>
      <c r="C951" t="s">
        <v>16</v>
      </c>
      <c r="D951">
        <v>68</v>
      </c>
      <c r="E951" t="s">
        <v>977</v>
      </c>
      <c r="F951">
        <v>5419</v>
      </c>
      <c r="G951" t="s">
        <v>18</v>
      </c>
      <c r="H951">
        <v>27</v>
      </c>
      <c r="I951" t="s">
        <v>19</v>
      </c>
      <c r="J951">
        <v>2011</v>
      </c>
      <c r="K951">
        <v>2011</v>
      </c>
      <c r="L951" t="s">
        <v>20</v>
      </c>
      <c r="M951">
        <v>56263</v>
      </c>
      <c r="N951">
        <v>867</v>
      </c>
    </row>
    <row r="952" spans="1:14" x14ac:dyDescent="0.35">
      <c r="A952" t="s">
        <v>1002</v>
      </c>
      <c r="B952" t="s">
        <v>15</v>
      </c>
      <c r="C952" t="s">
        <v>16</v>
      </c>
      <c r="D952">
        <v>68</v>
      </c>
      <c r="E952" t="s">
        <v>977</v>
      </c>
      <c r="F952">
        <v>5419</v>
      </c>
      <c r="G952" t="s">
        <v>18</v>
      </c>
      <c r="H952">
        <v>27</v>
      </c>
      <c r="I952" t="s">
        <v>19</v>
      </c>
      <c r="J952">
        <v>2012</v>
      </c>
      <c r="K952">
        <v>2012</v>
      </c>
      <c r="L952" t="s">
        <v>20</v>
      </c>
      <c r="M952">
        <v>55947</v>
      </c>
      <c r="N952">
        <v>867</v>
      </c>
    </row>
    <row r="953" spans="1:14" x14ac:dyDescent="0.35">
      <c r="A953" t="s">
        <v>1003</v>
      </c>
      <c r="B953" t="s">
        <v>15</v>
      </c>
      <c r="C953" t="s">
        <v>16</v>
      </c>
      <c r="D953">
        <v>68</v>
      </c>
      <c r="E953" t="s">
        <v>977</v>
      </c>
      <c r="F953">
        <v>5419</v>
      </c>
      <c r="G953" t="s">
        <v>18</v>
      </c>
      <c r="H953">
        <v>27</v>
      </c>
      <c r="I953" t="s">
        <v>19</v>
      </c>
      <c r="J953">
        <v>2013</v>
      </c>
      <c r="K953">
        <v>2013</v>
      </c>
      <c r="L953" t="s">
        <v>20</v>
      </c>
      <c r="M953">
        <v>39400</v>
      </c>
      <c r="N953">
        <v>867</v>
      </c>
    </row>
    <row r="954" spans="1:14" x14ac:dyDescent="0.35">
      <c r="A954" t="s">
        <v>1004</v>
      </c>
      <c r="B954" t="s">
        <v>15</v>
      </c>
      <c r="C954" t="s">
        <v>16</v>
      </c>
      <c r="D954">
        <v>68</v>
      </c>
      <c r="E954" t="s">
        <v>977</v>
      </c>
      <c r="F954">
        <v>5419</v>
      </c>
      <c r="G954" t="s">
        <v>18</v>
      </c>
      <c r="H954">
        <v>27</v>
      </c>
      <c r="I954" t="s">
        <v>19</v>
      </c>
      <c r="J954">
        <v>2014</v>
      </c>
      <c r="K954">
        <v>2014</v>
      </c>
      <c r="L954" t="s">
        <v>20</v>
      </c>
      <c r="M954">
        <v>49784</v>
      </c>
      <c r="N954">
        <v>867</v>
      </c>
    </row>
    <row r="955" spans="1:14" x14ac:dyDescent="0.35">
      <c r="A955" t="s">
        <v>1005</v>
      </c>
      <c r="B955" t="s">
        <v>15</v>
      </c>
      <c r="C955" t="s">
        <v>16</v>
      </c>
      <c r="D955">
        <v>68</v>
      </c>
      <c r="E955" t="s">
        <v>977</v>
      </c>
      <c r="F955">
        <v>5419</v>
      </c>
      <c r="G955" t="s">
        <v>18</v>
      </c>
      <c r="H955">
        <v>27</v>
      </c>
      <c r="I955" t="s">
        <v>19</v>
      </c>
      <c r="J955">
        <v>2015</v>
      </c>
      <c r="K955">
        <v>2015</v>
      </c>
      <c r="L955" t="s">
        <v>20</v>
      </c>
      <c r="M955">
        <v>50014</v>
      </c>
      <c r="N955">
        <v>867</v>
      </c>
    </row>
    <row r="956" spans="1:14" x14ac:dyDescent="0.35">
      <c r="A956" t="s">
        <v>1006</v>
      </c>
      <c r="B956" t="s">
        <v>15</v>
      </c>
      <c r="C956" t="s">
        <v>16</v>
      </c>
      <c r="D956">
        <v>68</v>
      </c>
      <c r="E956" t="s">
        <v>977</v>
      </c>
      <c r="F956">
        <v>5419</v>
      </c>
      <c r="G956" t="s">
        <v>18</v>
      </c>
      <c r="H956">
        <v>27</v>
      </c>
      <c r="I956" t="s">
        <v>19</v>
      </c>
      <c r="J956">
        <v>2016</v>
      </c>
      <c r="K956">
        <v>2016</v>
      </c>
      <c r="L956" t="s">
        <v>20</v>
      </c>
      <c r="M956">
        <v>47499</v>
      </c>
      <c r="N956">
        <v>867</v>
      </c>
    </row>
    <row r="957" spans="1:14" x14ac:dyDescent="0.35">
      <c r="A957" t="s">
        <v>1007</v>
      </c>
      <c r="B957" t="s">
        <v>15</v>
      </c>
      <c r="C957" t="s">
        <v>16</v>
      </c>
      <c r="D957">
        <v>74</v>
      </c>
      <c r="E957" t="s">
        <v>1008</v>
      </c>
      <c r="F957">
        <v>5419</v>
      </c>
      <c r="G957" t="s">
        <v>18</v>
      </c>
      <c r="H957">
        <v>27</v>
      </c>
      <c r="I957" t="s">
        <v>19</v>
      </c>
      <c r="J957">
        <v>1985</v>
      </c>
      <c r="K957">
        <v>1985</v>
      </c>
      <c r="L957" t="s">
        <v>20</v>
      </c>
      <c r="M957">
        <v>17241</v>
      </c>
      <c r="N957">
        <v>1831</v>
      </c>
    </row>
    <row r="958" spans="1:14" x14ac:dyDescent="0.35">
      <c r="A958" t="s">
        <v>1009</v>
      </c>
      <c r="B958" t="s">
        <v>15</v>
      </c>
      <c r="C958" t="s">
        <v>16</v>
      </c>
      <c r="D958">
        <v>74</v>
      </c>
      <c r="E958" t="s">
        <v>1008</v>
      </c>
      <c r="F958">
        <v>5419</v>
      </c>
      <c r="G958" t="s">
        <v>18</v>
      </c>
      <c r="H958">
        <v>27</v>
      </c>
      <c r="I958" t="s">
        <v>19</v>
      </c>
      <c r="J958">
        <v>1986</v>
      </c>
      <c r="K958">
        <v>1986</v>
      </c>
      <c r="L958" t="s">
        <v>20</v>
      </c>
      <c r="M958">
        <v>25724</v>
      </c>
      <c r="N958">
        <v>1831</v>
      </c>
    </row>
    <row r="959" spans="1:14" x14ac:dyDescent="0.35">
      <c r="A959" t="s">
        <v>1010</v>
      </c>
      <c r="B959" t="s">
        <v>15</v>
      </c>
      <c r="C959" t="s">
        <v>16</v>
      </c>
      <c r="D959">
        <v>74</v>
      </c>
      <c r="E959" t="s">
        <v>1008</v>
      </c>
      <c r="F959">
        <v>5419</v>
      </c>
      <c r="G959" t="s">
        <v>18</v>
      </c>
      <c r="H959">
        <v>27</v>
      </c>
      <c r="I959" t="s">
        <v>19</v>
      </c>
      <c r="J959">
        <v>1987</v>
      </c>
      <c r="K959">
        <v>1987</v>
      </c>
      <c r="L959" t="s">
        <v>20</v>
      </c>
      <c r="M959">
        <v>20900</v>
      </c>
      <c r="N959">
        <v>1831</v>
      </c>
    </row>
    <row r="960" spans="1:14" x14ac:dyDescent="0.35">
      <c r="A960" t="s">
        <v>1011</v>
      </c>
      <c r="B960" t="s">
        <v>15</v>
      </c>
      <c r="C960" t="s">
        <v>16</v>
      </c>
      <c r="D960">
        <v>74</v>
      </c>
      <c r="E960" t="s">
        <v>1008</v>
      </c>
      <c r="F960">
        <v>5419</v>
      </c>
      <c r="G960" t="s">
        <v>18</v>
      </c>
      <c r="H960">
        <v>27</v>
      </c>
      <c r="I960" t="s">
        <v>19</v>
      </c>
      <c r="J960">
        <v>1989</v>
      </c>
      <c r="K960">
        <v>1989</v>
      </c>
      <c r="L960" t="s">
        <v>20</v>
      </c>
      <c r="M960">
        <v>20000</v>
      </c>
      <c r="N960">
        <v>1831</v>
      </c>
    </row>
    <row r="961" spans="1:14" x14ac:dyDescent="0.35">
      <c r="A961" t="s">
        <v>1012</v>
      </c>
      <c r="B961" t="s">
        <v>15</v>
      </c>
      <c r="C961" t="s">
        <v>16</v>
      </c>
      <c r="D961">
        <v>74</v>
      </c>
      <c r="E961" t="s">
        <v>1008</v>
      </c>
      <c r="F961">
        <v>5419</v>
      </c>
      <c r="G961" t="s">
        <v>18</v>
      </c>
      <c r="H961">
        <v>27</v>
      </c>
      <c r="I961" t="s">
        <v>19</v>
      </c>
      <c r="J961">
        <v>1990</v>
      </c>
      <c r="K961">
        <v>1990</v>
      </c>
      <c r="L961" t="s">
        <v>20</v>
      </c>
      <c r="M961">
        <v>20000</v>
      </c>
      <c r="N961">
        <v>1831</v>
      </c>
    </row>
    <row r="962" spans="1:14" x14ac:dyDescent="0.35">
      <c r="A962" t="s">
        <v>1013</v>
      </c>
      <c r="B962" t="s">
        <v>15</v>
      </c>
      <c r="C962" t="s">
        <v>16</v>
      </c>
      <c r="D962">
        <v>74</v>
      </c>
      <c r="E962" t="s">
        <v>1008</v>
      </c>
      <c r="F962">
        <v>5419</v>
      </c>
      <c r="G962" t="s">
        <v>18</v>
      </c>
      <c r="H962">
        <v>27</v>
      </c>
      <c r="I962" t="s">
        <v>19</v>
      </c>
      <c r="J962">
        <v>1991</v>
      </c>
      <c r="K962">
        <v>1991</v>
      </c>
      <c r="L962" t="s">
        <v>20</v>
      </c>
      <c r="M962">
        <v>19886</v>
      </c>
      <c r="N962">
        <v>1831</v>
      </c>
    </row>
    <row r="963" spans="1:14" x14ac:dyDescent="0.35">
      <c r="A963" t="s">
        <v>1014</v>
      </c>
      <c r="B963" t="s">
        <v>15</v>
      </c>
      <c r="C963" t="s">
        <v>16</v>
      </c>
      <c r="D963">
        <v>74</v>
      </c>
      <c r="E963" t="s">
        <v>1008</v>
      </c>
      <c r="F963">
        <v>5419</v>
      </c>
      <c r="G963" t="s">
        <v>18</v>
      </c>
      <c r="H963">
        <v>27</v>
      </c>
      <c r="I963" t="s">
        <v>19</v>
      </c>
      <c r="J963">
        <v>1992</v>
      </c>
      <c r="K963">
        <v>1992</v>
      </c>
      <c r="L963" t="s">
        <v>20</v>
      </c>
      <c r="M963">
        <v>19995</v>
      </c>
      <c r="N963">
        <v>1831</v>
      </c>
    </row>
    <row r="964" spans="1:14" x14ac:dyDescent="0.35">
      <c r="A964" t="s">
        <v>1015</v>
      </c>
      <c r="B964" t="s">
        <v>15</v>
      </c>
      <c r="C964" t="s">
        <v>16</v>
      </c>
      <c r="D964">
        <v>74</v>
      </c>
      <c r="E964" t="s">
        <v>1008</v>
      </c>
      <c r="F964">
        <v>5419</v>
      </c>
      <c r="G964" t="s">
        <v>18</v>
      </c>
      <c r="H964">
        <v>27</v>
      </c>
      <c r="I964" t="s">
        <v>19</v>
      </c>
      <c r="J964">
        <v>1993</v>
      </c>
      <c r="K964">
        <v>1993</v>
      </c>
      <c r="L964" t="s">
        <v>20</v>
      </c>
      <c r="M964">
        <v>20106</v>
      </c>
      <c r="N964">
        <v>1831</v>
      </c>
    </row>
    <row r="965" spans="1:14" x14ac:dyDescent="0.35">
      <c r="A965" t="s">
        <v>1016</v>
      </c>
      <c r="B965" t="s">
        <v>15</v>
      </c>
      <c r="C965" t="s">
        <v>16</v>
      </c>
      <c r="D965">
        <v>74</v>
      </c>
      <c r="E965" t="s">
        <v>1008</v>
      </c>
      <c r="F965">
        <v>5419</v>
      </c>
      <c r="G965" t="s">
        <v>18</v>
      </c>
      <c r="H965">
        <v>27</v>
      </c>
      <c r="I965" t="s">
        <v>19</v>
      </c>
      <c r="J965">
        <v>1994</v>
      </c>
      <c r="K965">
        <v>1994</v>
      </c>
      <c r="L965" t="s">
        <v>20</v>
      </c>
      <c r="M965">
        <v>20218</v>
      </c>
      <c r="N965">
        <v>1831</v>
      </c>
    </row>
    <row r="966" spans="1:14" x14ac:dyDescent="0.35">
      <c r="A966" t="s">
        <v>1017</v>
      </c>
      <c r="B966" t="s">
        <v>15</v>
      </c>
      <c r="C966" t="s">
        <v>16</v>
      </c>
      <c r="D966">
        <v>74</v>
      </c>
      <c r="E966" t="s">
        <v>1008</v>
      </c>
      <c r="F966">
        <v>5419</v>
      </c>
      <c r="G966" t="s">
        <v>18</v>
      </c>
      <c r="H966">
        <v>27</v>
      </c>
      <c r="I966" t="s">
        <v>19</v>
      </c>
      <c r="J966">
        <v>1995</v>
      </c>
      <c r="K966">
        <v>1995</v>
      </c>
      <c r="L966" t="s">
        <v>20</v>
      </c>
      <c r="M966">
        <v>20332</v>
      </c>
      <c r="N966">
        <v>1831</v>
      </c>
    </row>
    <row r="967" spans="1:14" x14ac:dyDescent="0.35">
      <c r="A967" t="s">
        <v>1018</v>
      </c>
      <c r="B967" t="s">
        <v>15</v>
      </c>
      <c r="C967" t="s">
        <v>16</v>
      </c>
      <c r="D967">
        <v>74</v>
      </c>
      <c r="E967" t="s">
        <v>1008</v>
      </c>
      <c r="F967">
        <v>5419</v>
      </c>
      <c r="G967" t="s">
        <v>18</v>
      </c>
      <c r="H967">
        <v>27</v>
      </c>
      <c r="I967" t="s">
        <v>19</v>
      </c>
      <c r="J967">
        <v>1996</v>
      </c>
      <c r="K967">
        <v>1996</v>
      </c>
      <c r="L967" t="s">
        <v>20</v>
      </c>
      <c r="M967">
        <v>20447</v>
      </c>
      <c r="N967">
        <v>1831</v>
      </c>
    </row>
    <row r="968" spans="1:14" x14ac:dyDescent="0.35">
      <c r="A968" t="s">
        <v>1019</v>
      </c>
      <c r="B968" t="s">
        <v>15</v>
      </c>
      <c r="C968" t="s">
        <v>16</v>
      </c>
      <c r="D968">
        <v>74</v>
      </c>
      <c r="E968" t="s">
        <v>1008</v>
      </c>
      <c r="F968">
        <v>5419</v>
      </c>
      <c r="G968" t="s">
        <v>18</v>
      </c>
      <c r="H968">
        <v>27</v>
      </c>
      <c r="I968" t="s">
        <v>19</v>
      </c>
      <c r="J968">
        <v>1997</v>
      </c>
      <c r="K968">
        <v>1997</v>
      </c>
      <c r="L968" t="s">
        <v>20</v>
      </c>
      <c r="M968">
        <v>20565</v>
      </c>
      <c r="N968">
        <v>1831</v>
      </c>
    </row>
    <row r="969" spans="1:14" x14ac:dyDescent="0.35">
      <c r="A969" t="s">
        <v>1020</v>
      </c>
      <c r="B969" t="s">
        <v>15</v>
      </c>
      <c r="C969" t="s">
        <v>16</v>
      </c>
      <c r="D969">
        <v>74</v>
      </c>
      <c r="E969" t="s">
        <v>1008</v>
      </c>
      <c r="F969">
        <v>5419</v>
      </c>
      <c r="G969" t="s">
        <v>18</v>
      </c>
      <c r="H969">
        <v>27</v>
      </c>
      <c r="I969" t="s">
        <v>19</v>
      </c>
      <c r="J969">
        <v>1998</v>
      </c>
      <c r="K969">
        <v>1998</v>
      </c>
      <c r="L969" t="s">
        <v>20</v>
      </c>
      <c r="M969">
        <v>20686</v>
      </c>
      <c r="N969">
        <v>1831</v>
      </c>
    </row>
    <row r="970" spans="1:14" x14ac:dyDescent="0.35">
      <c r="A970" t="s">
        <v>1021</v>
      </c>
      <c r="B970" t="s">
        <v>15</v>
      </c>
      <c r="C970" t="s">
        <v>16</v>
      </c>
      <c r="D970">
        <v>74</v>
      </c>
      <c r="E970" t="s">
        <v>1008</v>
      </c>
      <c r="F970">
        <v>5419</v>
      </c>
      <c r="G970" t="s">
        <v>18</v>
      </c>
      <c r="H970">
        <v>27</v>
      </c>
      <c r="I970" t="s">
        <v>19</v>
      </c>
      <c r="J970">
        <v>1999</v>
      </c>
      <c r="K970">
        <v>1999</v>
      </c>
      <c r="L970" t="s">
        <v>20</v>
      </c>
      <c r="M970">
        <v>20810</v>
      </c>
      <c r="N970">
        <v>1831</v>
      </c>
    </row>
    <row r="971" spans="1:14" x14ac:dyDescent="0.35">
      <c r="A971" t="s">
        <v>1022</v>
      </c>
      <c r="B971" t="s">
        <v>15</v>
      </c>
      <c r="C971" t="s">
        <v>16</v>
      </c>
      <c r="D971">
        <v>74</v>
      </c>
      <c r="E971" t="s">
        <v>1008</v>
      </c>
      <c r="F971">
        <v>5419</v>
      </c>
      <c r="G971" t="s">
        <v>18</v>
      </c>
      <c r="H971">
        <v>27</v>
      </c>
      <c r="I971" t="s">
        <v>19</v>
      </c>
      <c r="J971">
        <v>2000</v>
      </c>
      <c r="K971">
        <v>2000</v>
      </c>
      <c r="L971" t="s">
        <v>20</v>
      </c>
      <c r="M971">
        <v>20000</v>
      </c>
      <c r="N971">
        <v>1831</v>
      </c>
    </row>
    <row r="972" spans="1:14" x14ac:dyDescent="0.35">
      <c r="A972" t="s">
        <v>1023</v>
      </c>
      <c r="B972" t="s">
        <v>15</v>
      </c>
      <c r="C972" t="s">
        <v>16</v>
      </c>
      <c r="D972">
        <v>74</v>
      </c>
      <c r="E972" t="s">
        <v>1008</v>
      </c>
      <c r="F972">
        <v>5419</v>
      </c>
      <c r="G972" t="s">
        <v>18</v>
      </c>
      <c r="H972">
        <v>27</v>
      </c>
      <c r="I972" t="s">
        <v>19</v>
      </c>
      <c r="J972">
        <v>2001</v>
      </c>
      <c r="K972">
        <v>2001</v>
      </c>
      <c r="L972" t="s">
        <v>20</v>
      </c>
      <c r="M972">
        <v>21295</v>
      </c>
      <c r="N972">
        <v>1831</v>
      </c>
    </row>
    <row r="973" spans="1:14" x14ac:dyDescent="0.35">
      <c r="A973" t="s">
        <v>1024</v>
      </c>
      <c r="B973" t="s">
        <v>15</v>
      </c>
      <c r="C973" t="s">
        <v>16</v>
      </c>
      <c r="D973">
        <v>74</v>
      </c>
      <c r="E973" t="s">
        <v>1008</v>
      </c>
      <c r="F973">
        <v>5419</v>
      </c>
      <c r="G973" t="s">
        <v>18</v>
      </c>
      <c r="H973">
        <v>27</v>
      </c>
      <c r="I973" t="s">
        <v>19</v>
      </c>
      <c r="J973">
        <v>2002</v>
      </c>
      <c r="K973">
        <v>2002</v>
      </c>
      <c r="L973" t="s">
        <v>20</v>
      </c>
      <c r="M973">
        <v>21657</v>
      </c>
      <c r="N973">
        <v>1831</v>
      </c>
    </row>
    <row r="974" spans="1:14" x14ac:dyDescent="0.35">
      <c r="A974" t="s">
        <v>1025</v>
      </c>
      <c r="B974" t="s">
        <v>15</v>
      </c>
      <c r="C974" t="s">
        <v>16</v>
      </c>
      <c r="D974">
        <v>74</v>
      </c>
      <c r="E974" t="s">
        <v>1008</v>
      </c>
      <c r="F974">
        <v>5419</v>
      </c>
      <c r="G974" t="s">
        <v>18</v>
      </c>
      <c r="H974">
        <v>27</v>
      </c>
      <c r="I974" t="s">
        <v>19</v>
      </c>
      <c r="J974">
        <v>2004</v>
      </c>
      <c r="K974">
        <v>2004</v>
      </c>
      <c r="L974" t="s">
        <v>20</v>
      </c>
      <c r="M974">
        <v>22554</v>
      </c>
      <c r="N974">
        <v>1831</v>
      </c>
    </row>
    <row r="975" spans="1:14" x14ac:dyDescent="0.35">
      <c r="A975" t="s">
        <v>1026</v>
      </c>
      <c r="B975" t="s">
        <v>15</v>
      </c>
      <c r="C975" t="s">
        <v>16</v>
      </c>
      <c r="D975">
        <v>74</v>
      </c>
      <c r="E975" t="s">
        <v>1008</v>
      </c>
      <c r="F975">
        <v>5419</v>
      </c>
      <c r="G975" t="s">
        <v>18</v>
      </c>
      <c r="H975">
        <v>27</v>
      </c>
      <c r="I975" t="s">
        <v>19</v>
      </c>
      <c r="J975">
        <v>2005</v>
      </c>
      <c r="K975">
        <v>2005</v>
      </c>
      <c r="L975" t="s">
        <v>20</v>
      </c>
      <c r="M975">
        <v>23088</v>
      </c>
      <c r="N975">
        <v>1831</v>
      </c>
    </row>
    <row r="976" spans="1:14" x14ac:dyDescent="0.35">
      <c r="A976" t="s">
        <v>1027</v>
      </c>
      <c r="B976" t="s">
        <v>15</v>
      </c>
      <c r="C976" t="s">
        <v>16</v>
      </c>
      <c r="D976">
        <v>74</v>
      </c>
      <c r="E976" t="s">
        <v>1008</v>
      </c>
      <c r="F976">
        <v>5419</v>
      </c>
      <c r="G976" t="s">
        <v>18</v>
      </c>
      <c r="H976">
        <v>27</v>
      </c>
      <c r="I976" t="s">
        <v>19</v>
      </c>
      <c r="J976">
        <v>2006</v>
      </c>
      <c r="K976">
        <v>2006</v>
      </c>
      <c r="L976" t="s">
        <v>20</v>
      </c>
      <c r="M976">
        <v>23622</v>
      </c>
      <c r="N976">
        <v>1831</v>
      </c>
    </row>
    <row r="977" spans="1:14" x14ac:dyDescent="0.35">
      <c r="A977" t="s">
        <v>1028</v>
      </c>
      <c r="B977" t="s">
        <v>15</v>
      </c>
      <c r="C977" t="s">
        <v>16</v>
      </c>
      <c r="D977">
        <v>74</v>
      </c>
      <c r="E977" t="s">
        <v>1008</v>
      </c>
      <c r="F977">
        <v>5419</v>
      </c>
      <c r="G977" t="s">
        <v>18</v>
      </c>
      <c r="H977">
        <v>27</v>
      </c>
      <c r="I977" t="s">
        <v>19</v>
      </c>
      <c r="J977">
        <v>2007</v>
      </c>
      <c r="K977">
        <v>2007</v>
      </c>
      <c r="L977" t="s">
        <v>20</v>
      </c>
      <c r="M977">
        <v>24155</v>
      </c>
      <c r="N977">
        <v>1831</v>
      </c>
    </row>
    <row r="978" spans="1:14" x14ac:dyDescent="0.35">
      <c r="A978" t="s">
        <v>1029</v>
      </c>
      <c r="B978" t="s">
        <v>15</v>
      </c>
      <c r="C978" t="s">
        <v>16</v>
      </c>
      <c r="D978">
        <v>74</v>
      </c>
      <c r="E978" t="s">
        <v>1008</v>
      </c>
      <c r="F978">
        <v>5419</v>
      </c>
      <c r="G978" t="s">
        <v>18</v>
      </c>
      <c r="H978">
        <v>27</v>
      </c>
      <c r="I978" t="s">
        <v>19</v>
      </c>
      <c r="J978">
        <v>2008</v>
      </c>
      <c r="K978">
        <v>2008</v>
      </c>
      <c r="L978" t="s">
        <v>20</v>
      </c>
      <c r="M978">
        <v>24688</v>
      </c>
      <c r="N978">
        <v>1831</v>
      </c>
    </row>
    <row r="979" spans="1:14" x14ac:dyDescent="0.35">
      <c r="A979" t="s">
        <v>1030</v>
      </c>
      <c r="B979" t="s">
        <v>15</v>
      </c>
      <c r="C979" t="s">
        <v>16</v>
      </c>
      <c r="D979">
        <v>74</v>
      </c>
      <c r="E979" t="s">
        <v>1008</v>
      </c>
      <c r="F979">
        <v>5419</v>
      </c>
      <c r="G979" t="s">
        <v>18</v>
      </c>
      <c r="H979">
        <v>27</v>
      </c>
      <c r="I979" t="s">
        <v>19</v>
      </c>
      <c r="J979">
        <v>2009</v>
      </c>
      <c r="K979">
        <v>2009</v>
      </c>
      <c r="L979" t="s">
        <v>20</v>
      </c>
      <c r="M979">
        <v>25219</v>
      </c>
      <c r="N979">
        <v>1831</v>
      </c>
    </row>
    <row r="980" spans="1:14" x14ac:dyDescent="0.35">
      <c r="A980" t="s">
        <v>1031</v>
      </c>
      <c r="B980" t="s">
        <v>15</v>
      </c>
      <c r="C980" t="s">
        <v>16</v>
      </c>
      <c r="D980">
        <v>74</v>
      </c>
      <c r="E980" t="s">
        <v>1008</v>
      </c>
      <c r="F980">
        <v>5419</v>
      </c>
      <c r="G980" t="s">
        <v>18</v>
      </c>
      <c r="H980">
        <v>27</v>
      </c>
      <c r="I980" t="s">
        <v>19</v>
      </c>
      <c r="J980">
        <v>2010</v>
      </c>
      <c r="K980">
        <v>2010</v>
      </c>
      <c r="L980" t="s">
        <v>20</v>
      </c>
      <c r="M980">
        <v>25748</v>
      </c>
      <c r="N980">
        <v>1831</v>
      </c>
    </row>
    <row r="981" spans="1:14" x14ac:dyDescent="0.35">
      <c r="A981" t="s">
        <v>1032</v>
      </c>
      <c r="B981" t="s">
        <v>15</v>
      </c>
      <c r="C981" t="s">
        <v>16</v>
      </c>
      <c r="D981">
        <v>74</v>
      </c>
      <c r="E981" t="s">
        <v>1008</v>
      </c>
      <c r="F981">
        <v>5419</v>
      </c>
      <c r="G981" t="s">
        <v>18</v>
      </c>
      <c r="H981">
        <v>27</v>
      </c>
      <c r="I981" t="s">
        <v>19</v>
      </c>
      <c r="J981">
        <v>2011</v>
      </c>
      <c r="K981">
        <v>2011</v>
      </c>
      <c r="L981" t="s">
        <v>20</v>
      </c>
      <c r="M981">
        <v>26273</v>
      </c>
      <c r="N981">
        <v>1831</v>
      </c>
    </row>
    <row r="982" spans="1:14" x14ac:dyDescent="0.35">
      <c r="A982" t="s">
        <v>1033</v>
      </c>
      <c r="B982" t="s">
        <v>15</v>
      </c>
      <c r="C982" t="s">
        <v>16</v>
      </c>
      <c r="D982">
        <v>74</v>
      </c>
      <c r="E982" t="s">
        <v>1008</v>
      </c>
      <c r="F982">
        <v>5419</v>
      </c>
      <c r="G982" t="s">
        <v>18</v>
      </c>
      <c r="H982">
        <v>27</v>
      </c>
      <c r="I982" t="s">
        <v>19</v>
      </c>
      <c r="J982">
        <v>2012</v>
      </c>
      <c r="K982">
        <v>2012</v>
      </c>
      <c r="L982" t="s">
        <v>20</v>
      </c>
      <c r="M982">
        <v>27419</v>
      </c>
      <c r="N982">
        <v>1831</v>
      </c>
    </row>
    <row r="983" spans="1:14" x14ac:dyDescent="0.35">
      <c r="A983" t="s">
        <v>1034</v>
      </c>
      <c r="B983" t="s">
        <v>15</v>
      </c>
      <c r="C983" t="s">
        <v>16</v>
      </c>
      <c r="D983">
        <v>74</v>
      </c>
      <c r="E983" t="s">
        <v>1008</v>
      </c>
      <c r="F983">
        <v>5419</v>
      </c>
      <c r="G983" t="s">
        <v>18</v>
      </c>
      <c r="H983">
        <v>27</v>
      </c>
      <c r="I983" t="s">
        <v>19</v>
      </c>
      <c r="J983">
        <v>2013</v>
      </c>
      <c r="K983">
        <v>2013</v>
      </c>
      <c r="L983" t="s">
        <v>20</v>
      </c>
      <c r="M983">
        <v>27419</v>
      </c>
      <c r="N983">
        <v>1831</v>
      </c>
    </row>
    <row r="984" spans="1:14" x14ac:dyDescent="0.35">
      <c r="A984" t="s">
        <v>1035</v>
      </c>
      <c r="B984" t="s">
        <v>15</v>
      </c>
      <c r="C984" t="s">
        <v>16</v>
      </c>
      <c r="D984">
        <v>74</v>
      </c>
      <c r="E984" t="s">
        <v>1008</v>
      </c>
      <c r="F984">
        <v>5419</v>
      </c>
      <c r="G984" t="s">
        <v>18</v>
      </c>
      <c r="H984">
        <v>27</v>
      </c>
      <c r="I984" t="s">
        <v>19</v>
      </c>
      <c r="J984">
        <v>2014</v>
      </c>
      <c r="K984">
        <v>2014</v>
      </c>
      <c r="L984" t="s">
        <v>20</v>
      </c>
      <c r="M984">
        <v>27450</v>
      </c>
      <c r="N984">
        <v>1831</v>
      </c>
    </row>
    <row r="985" spans="1:14" x14ac:dyDescent="0.35">
      <c r="A985" t="s">
        <v>1036</v>
      </c>
      <c r="B985" t="s">
        <v>15</v>
      </c>
      <c r="C985" t="s">
        <v>16</v>
      </c>
      <c r="D985">
        <v>74</v>
      </c>
      <c r="E985" t="s">
        <v>1008</v>
      </c>
      <c r="F985">
        <v>5419</v>
      </c>
      <c r="G985" t="s">
        <v>18</v>
      </c>
      <c r="H985">
        <v>27</v>
      </c>
      <c r="I985" t="s">
        <v>19</v>
      </c>
      <c r="J985">
        <v>2015</v>
      </c>
      <c r="K985">
        <v>2015</v>
      </c>
      <c r="L985" t="s">
        <v>20</v>
      </c>
      <c r="M985">
        <v>27935</v>
      </c>
      <c r="N985">
        <v>1831</v>
      </c>
    </row>
    <row r="986" spans="1:14" x14ac:dyDescent="0.35">
      <c r="A986" t="s">
        <v>1037</v>
      </c>
      <c r="B986" t="s">
        <v>15</v>
      </c>
      <c r="C986" t="s">
        <v>16</v>
      </c>
      <c r="D986">
        <v>74</v>
      </c>
      <c r="E986" t="s">
        <v>1008</v>
      </c>
      <c r="F986">
        <v>5419</v>
      </c>
      <c r="G986" t="s">
        <v>18</v>
      </c>
      <c r="H986">
        <v>27</v>
      </c>
      <c r="I986" t="s">
        <v>19</v>
      </c>
      <c r="J986">
        <v>2016</v>
      </c>
      <c r="K986">
        <v>2016</v>
      </c>
      <c r="L986" t="s">
        <v>20</v>
      </c>
      <c r="M986">
        <v>28453</v>
      </c>
      <c r="N986">
        <v>1831</v>
      </c>
    </row>
    <row r="987" spans="1:14" x14ac:dyDescent="0.35">
      <c r="A987" t="s">
        <v>1038</v>
      </c>
      <c r="B987" t="s">
        <v>15</v>
      </c>
      <c r="C987" t="s">
        <v>16</v>
      </c>
      <c r="D987">
        <v>75</v>
      </c>
      <c r="E987" t="s">
        <v>1039</v>
      </c>
      <c r="F987">
        <v>5419</v>
      </c>
      <c r="G987" t="s">
        <v>18</v>
      </c>
      <c r="H987">
        <v>27</v>
      </c>
      <c r="I987" t="s">
        <v>19</v>
      </c>
      <c r="J987">
        <v>1985</v>
      </c>
      <c r="K987">
        <v>1985</v>
      </c>
      <c r="L987" t="s">
        <v>20</v>
      </c>
      <c r="M987">
        <v>19091</v>
      </c>
      <c r="N987">
        <v>836</v>
      </c>
    </row>
    <row r="988" spans="1:14" x14ac:dyDescent="0.35">
      <c r="A988" t="s">
        <v>1040</v>
      </c>
      <c r="B988" t="s">
        <v>15</v>
      </c>
      <c r="C988" t="s">
        <v>16</v>
      </c>
      <c r="D988">
        <v>75</v>
      </c>
      <c r="E988" t="s">
        <v>1039</v>
      </c>
      <c r="F988">
        <v>5419</v>
      </c>
      <c r="G988" t="s">
        <v>18</v>
      </c>
      <c r="H988">
        <v>27</v>
      </c>
      <c r="I988" t="s">
        <v>19</v>
      </c>
      <c r="J988">
        <v>1986</v>
      </c>
      <c r="K988">
        <v>1986</v>
      </c>
      <c r="L988" t="s">
        <v>20</v>
      </c>
      <c r="M988">
        <v>16071</v>
      </c>
      <c r="N988">
        <v>836</v>
      </c>
    </row>
    <row r="989" spans="1:14" x14ac:dyDescent="0.35">
      <c r="A989" t="s">
        <v>1041</v>
      </c>
      <c r="B989" t="s">
        <v>15</v>
      </c>
      <c r="C989" t="s">
        <v>16</v>
      </c>
      <c r="D989">
        <v>75</v>
      </c>
      <c r="E989" t="s">
        <v>1039</v>
      </c>
      <c r="F989">
        <v>5419</v>
      </c>
      <c r="G989" t="s">
        <v>18</v>
      </c>
      <c r="H989">
        <v>27</v>
      </c>
      <c r="I989" t="s">
        <v>19</v>
      </c>
      <c r="J989">
        <v>1987</v>
      </c>
      <c r="K989">
        <v>1987</v>
      </c>
      <c r="L989" t="s">
        <v>20</v>
      </c>
      <c r="M989">
        <v>12825</v>
      </c>
      <c r="N989">
        <v>836</v>
      </c>
    </row>
    <row r="990" spans="1:14" x14ac:dyDescent="0.35">
      <c r="A990" t="s">
        <v>1042</v>
      </c>
      <c r="B990" t="s">
        <v>15</v>
      </c>
      <c r="C990" t="s">
        <v>16</v>
      </c>
      <c r="D990">
        <v>75</v>
      </c>
      <c r="E990" t="s">
        <v>1039</v>
      </c>
      <c r="F990">
        <v>5419</v>
      </c>
      <c r="G990" t="s">
        <v>18</v>
      </c>
      <c r="H990">
        <v>27</v>
      </c>
      <c r="I990" t="s">
        <v>19</v>
      </c>
      <c r="J990">
        <v>1989</v>
      </c>
      <c r="K990">
        <v>1989</v>
      </c>
      <c r="L990" t="s">
        <v>20</v>
      </c>
      <c r="M990">
        <v>15111</v>
      </c>
      <c r="N990">
        <v>836</v>
      </c>
    </row>
    <row r="991" spans="1:14" x14ac:dyDescent="0.35">
      <c r="A991" t="s">
        <v>1043</v>
      </c>
      <c r="B991" t="s">
        <v>15</v>
      </c>
      <c r="C991" t="s">
        <v>16</v>
      </c>
      <c r="D991">
        <v>75</v>
      </c>
      <c r="E991" t="s">
        <v>1039</v>
      </c>
      <c r="F991">
        <v>5419</v>
      </c>
      <c r="G991" t="s">
        <v>18</v>
      </c>
      <c r="H991">
        <v>27</v>
      </c>
      <c r="I991" t="s">
        <v>19</v>
      </c>
      <c r="J991">
        <v>1990</v>
      </c>
      <c r="K991">
        <v>1990</v>
      </c>
      <c r="L991" t="s">
        <v>20</v>
      </c>
      <c r="M991">
        <v>14671</v>
      </c>
      <c r="N991">
        <v>836</v>
      </c>
    </row>
    <row r="992" spans="1:14" x14ac:dyDescent="0.35">
      <c r="A992" t="s">
        <v>1044</v>
      </c>
      <c r="B992" t="s">
        <v>15</v>
      </c>
      <c r="C992" t="s">
        <v>16</v>
      </c>
      <c r="D992">
        <v>75</v>
      </c>
      <c r="E992" t="s">
        <v>1039</v>
      </c>
      <c r="F992">
        <v>5419</v>
      </c>
      <c r="G992" t="s">
        <v>18</v>
      </c>
      <c r="H992">
        <v>27</v>
      </c>
      <c r="I992" t="s">
        <v>19</v>
      </c>
      <c r="J992">
        <v>1991</v>
      </c>
      <c r="K992">
        <v>1991</v>
      </c>
      <c r="L992" t="s">
        <v>20</v>
      </c>
      <c r="M992">
        <v>15265</v>
      </c>
      <c r="N992">
        <v>836</v>
      </c>
    </row>
    <row r="993" spans="1:14" x14ac:dyDescent="0.35">
      <c r="A993" t="s">
        <v>1045</v>
      </c>
      <c r="B993" t="s">
        <v>15</v>
      </c>
      <c r="C993" t="s">
        <v>16</v>
      </c>
      <c r="D993">
        <v>75</v>
      </c>
      <c r="E993" t="s">
        <v>1039</v>
      </c>
      <c r="F993">
        <v>5419</v>
      </c>
      <c r="G993" t="s">
        <v>18</v>
      </c>
      <c r="H993">
        <v>27</v>
      </c>
      <c r="I993" t="s">
        <v>19</v>
      </c>
      <c r="J993">
        <v>1992</v>
      </c>
      <c r="K993">
        <v>1992</v>
      </c>
      <c r="L993" t="s">
        <v>20</v>
      </c>
      <c r="M993">
        <v>17298</v>
      </c>
      <c r="N993">
        <v>836</v>
      </c>
    </row>
    <row r="994" spans="1:14" x14ac:dyDescent="0.35">
      <c r="A994" t="s">
        <v>1046</v>
      </c>
      <c r="B994" t="s">
        <v>15</v>
      </c>
      <c r="C994" t="s">
        <v>16</v>
      </c>
      <c r="D994">
        <v>75</v>
      </c>
      <c r="E994" t="s">
        <v>1039</v>
      </c>
      <c r="F994">
        <v>5419</v>
      </c>
      <c r="G994" t="s">
        <v>18</v>
      </c>
      <c r="H994">
        <v>27</v>
      </c>
      <c r="I994" t="s">
        <v>19</v>
      </c>
      <c r="J994">
        <v>1993</v>
      </c>
      <c r="K994">
        <v>1993</v>
      </c>
      <c r="L994" t="s">
        <v>20</v>
      </c>
      <c r="M994">
        <v>14601</v>
      </c>
      <c r="N994">
        <v>836</v>
      </c>
    </row>
    <row r="995" spans="1:14" x14ac:dyDescent="0.35">
      <c r="A995" t="s">
        <v>1047</v>
      </c>
      <c r="B995" t="s">
        <v>15</v>
      </c>
      <c r="C995" t="s">
        <v>16</v>
      </c>
      <c r="D995">
        <v>75</v>
      </c>
      <c r="E995" t="s">
        <v>1039</v>
      </c>
      <c r="F995">
        <v>5419</v>
      </c>
      <c r="G995" t="s">
        <v>18</v>
      </c>
      <c r="H995">
        <v>27</v>
      </c>
      <c r="I995" t="s">
        <v>19</v>
      </c>
      <c r="J995">
        <v>1994</v>
      </c>
      <c r="K995">
        <v>1994</v>
      </c>
      <c r="L995" t="s">
        <v>20</v>
      </c>
      <c r="M995">
        <v>15390</v>
      </c>
      <c r="N995">
        <v>836</v>
      </c>
    </row>
    <row r="996" spans="1:14" x14ac:dyDescent="0.35">
      <c r="A996" t="s">
        <v>1048</v>
      </c>
      <c r="B996" t="s">
        <v>15</v>
      </c>
      <c r="C996" t="s">
        <v>16</v>
      </c>
      <c r="D996">
        <v>75</v>
      </c>
      <c r="E996" t="s">
        <v>1039</v>
      </c>
      <c r="F996">
        <v>5419</v>
      </c>
      <c r="G996" t="s">
        <v>18</v>
      </c>
      <c r="H996">
        <v>27</v>
      </c>
      <c r="I996" t="s">
        <v>19</v>
      </c>
      <c r="J996">
        <v>1995</v>
      </c>
      <c r="K996">
        <v>1995</v>
      </c>
      <c r="L996" t="s">
        <v>20</v>
      </c>
      <c r="M996">
        <v>12304</v>
      </c>
      <c r="N996">
        <v>836</v>
      </c>
    </row>
    <row r="997" spans="1:14" x14ac:dyDescent="0.35">
      <c r="A997" t="s">
        <v>1049</v>
      </c>
      <c r="B997" t="s">
        <v>15</v>
      </c>
      <c r="C997" t="s">
        <v>16</v>
      </c>
      <c r="D997">
        <v>75</v>
      </c>
      <c r="E997" t="s">
        <v>1039</v>
      </c>
      <c r="F997">
        <v>5419</v>
      </c>
      <c r="G997" t="s">
        <v>18</v>
      </c>
      <c r="H997">
        <v>27</v>
      </c>
      <c r="I997" t="s">
        <v>19</v>
      </c>
      <c r="J997">
        <v>1996</v>
      </c>
      <c r="K997">
        <v>1996</v>
      </c>
      <c r="L997" t="s">
        <v>20</v>
      </c>
      <c r="M997">
        <v>10676</v>
      </c>
      <c r="N997">
        <v>836</v>
      </c>
    </row>
    <row r="998" spans="1:14" x14ac:dyDescent="0.35">
      <c r="A998" t="s">
        <v>1050</v>
      </c>
      <c r="B998" t="s">
        <v>15</v>
      </c>
      <c r="C998" t="s">
        <v>16</v>
      </c>
      <c r="D998">
        <v>75</v>
      </c>
      <c r="E998" t="s">
        <v>1039</v>
      </c>
      <c r="F998">
        <v>5419</v>
      </c>
      <c r="G998" t="s">
        <v>18</v>
      </c>
      <c r="H998">
        <v>27</v>
      </c>
      <c r="I998" t="s">
        <v>19</v>
      </c>
      <c r="J998">
        <v>1997</v>
      </c>
      <c r="K998">
        <v>1997</v>
      </c>
      <c r="L998" t="s">
        <v>20</v>
      </c>
      <c r="M998">
        <v>10236</v>
      </c>
      <c r="N998">
        <v>836</v>
      </c>
    </row>
    <row r="999" spans="1:14" x14ac:dyDescent="0.35">
      <c r="A999" t="s">
        <v>1051</v>
      </c>
      <c r="B999" t="s">
        <v>15</v>
      </c>
      <c r="C999" t="s">
        <v>16</v>
      </c>
      <c r="D999">
        <v>75</v>
      </c>
      <c r="E999" t="s">
        <v>1039</v>
      </c>
      <c r="F999">
        <v>5419</v>
      </c>
      <c r="G999" t="s">
        <v>18</v>
      </c>
      <c r="H999">
        <v>27</v>
      </c>
      <c r="I999" t="s">
        <v>19</v>
      </c>
      <c r="J999">
        <v>1998</v>
      </c>
      <c r="K999">
        <v>1998</v>
      </c>
      <c r="L999" t="s">
        <v>20</v>
      </c>
      <c r="M999">
        <v>13429</v>
      </c>
      <c r="N999">
        <v>836</v>
      </c>
    </row>
    <row r="1000" spans="1:14" x14ac:dyDescent="0.35">
      <c r="A1000" t="s">
        <v>1052</v>
      </c>
      <c r="B1000" t="s">
        <v>15</v>
      </c>
      <c r="C1000" t="s">
        <v>16</v>
      </c>
      <c r="D1000">
        <v>75</v>
      </c>
      <c r="E1000" t="s">
        <v>1039</v>
      </c>
      <c r="F1000">
        <v>5419</v>
      </c>
      <c r="G1000" t="s">
        <v>18</v>
      </c>
      <c r="H1000">
        <v>27</v>
      </c>
      <c r="I1000" t="s">
        <v>19</v>
      </c>
      <c r="J1000">
        <v>1999</v>
      </c>
      <c r="K1000">
        <v>1999</v>
      </c>
      <c r="L1000" t="s">
        <v>20</v>
      </c>
      <c r="M1000">
        <v>21712</v>
      </c>
      <c r="N1000">
        <v>836</v>
      </c>
    </row>
    <row r="1001" spans="1:14" x14ac:dyDescent="0.35">
      <c r="A1001" t="s">
        <v>1053</v>
      </c>
      <c r="B1001" t="s">
        <v>15</v>
      </c>
      <c r="C1001" t="s">
        <v>16</v>
      </c>
      <c r="D1001">
        <v>75</v>
      </c>
      <c r="E1001" t="s">
        <v>1039</v>
      </c>
      <c r="F1001">
        <v>5419</v>
      </c>
      <c r="G1001" t="s">
        <v>18</v>
      </c>
      <c r="H1001">
        <v>27</v>
      </c>
      <c r="I1001" t="s">
        <v>19</v>
      </c>
      <c r="J1001">
        <v>2000</v>
      </c>
      <c r="K1001">
        <v>2000</v>
      </c>
      <c r="L1001" t="s">
        <v>20</v>
      </c>
      <c r="M1001">
        <v>22143</v>
      </c>
      <c r="N1001">
        <v>836</v>
      </c>
    </row>
    <row r="1002" spans="1:14" x14ac:dyDescent="0.35">
      <c r="A1002" t="s">
        <v>1054</v>
      </c>
      <c r="B1002" t="s">
        <v>15</v>
      </c>
      <c r="C1002" t="s">
        <v>16</v>
      </c>
      <c r="D1002">
        <v>75</v>
      </c>
      <c r="E1002" t="s">
        <v>1039</v>
      </c>
      <c r="F1002">
        <v>5419</v>
      </c>
      <c r="G1002" t="s">
        <v>18</v>
      </c>
      <c r="H1002">
        <v>27</v>
      </c>
      <c r="I1002" t="s">
        <v>19</v>
      </c>
      <c r="J1002">
        <v>2001</v>
      </c>
      <c r="K1002">
        <v>2001</v>
      </c>
      <c r="L1002" t="s">
        <v>20</v>
      </c>
      <c r="M1002">
        <v>23286</v>
      </c>
      <c r="N1002">
        <v>836</v>
      </c>
    </row>
    <row r="1003" spans="1:14" x14ac:dyDescent="0.35">
      <c r="A1003" t="s">
        <v>1055</v>
      </c>
      <c r="B1003" t="s">
        <v>15</v>
      </c>
      <c r="C1003" t="s">
        <v>16</v>
      </c>
      <c r="D1003">
        <v>75</v>
      </c>
      <c r="E1003" t="s">
        <v>1039</v>
      </c>
      <c r="F1003">
        <v>5419</v>
      </c>
      <c r="G1003" t="s">
        <v>18</v>
      </c>
      <c r="H1003">
        <v>27</v>
      </c>
      <c r="I1003" t="s">
        <v>19</v>
      </c>
      <c r="J1003">
        <v>2002</v>
      </c>
      <c r="K1003">
        <v>2002</v>
      </c>
      <c r="L1003" t="s">
        <v>20</v>
      </c>
      <c r="M1003">
        <v>20452</v>
      </c>
      <c r="N1003">
        <v>836</v>
      </c>
    </row>
    <row r="1004" spans="1:14" x14ac:dyDescent="0.35">
      <c r="A1004" t="s">
        <v>1056</v>
      </c>
      <c r="B1004" t="s">
        <v>15</v>
      </c>
      <c r="C1004" t="s">
        <v>16</v>
      </c>
      <c r="D1004">
        <v>75</v>
      </c>
      <c r="E1004" t="s">
        <v>1039</v>
      </c>
      <c r="F1004">
        <v>5419</v>
      </c>
      <c r="G1004" t="s">
        <v>18</v>
      </c>
      <c r="H1004">
        <v>27</v>
      </c>
      <c r="I1004" t="s">
        <v>19</v>
      </c>
      <c r="J1004">
        <v>2004</v>
      </c>
      <c r="K1004">
        <v>2004</v>
      </c>
      <c r="L1004" t="s">
        <v>20</v>
      </c>
      <c r="M1004">
        <v>20375</v>
      </c>
      <c r="N1004">
        <v>836</v>
      </c>
    </row>
    <row r="1005" spans="1:14" x14ac:dyDescent="0.35">
      <c r="A1005" t="s">
        <v>1057</v>
      </c>
      <c r="B1005" t="s">
        <v>15</v>
      </c>
      <c r="C1005" t="s">
        <v>16</v>
      </c>
      <c r="D1005">
        <v>75</v>
      </c>
      <c r="E1005" t="s">
        <v>1039</v>
      </c>
      <c r="F1005">
        <v>5419</v>
      </c>
      <c r="G1005" t="s">
        <v>18</v>
      </c>
      <c r="H1005">
        <v>27</v>
      </c>
      <c r="I1005" t="s">
        <v>19</v>
      </c>
      <c r="J1005">
        <v>2005</v>
      </c>
      <c r="K1005">
        <v>2005</v>
      </c>
      <c r="L1005" t="s">
        <v>20</v>
      </c>
      <c r="M1005">
        <v>10034</v>
      </c>
      <c r="N1005">
        <v>836</v>
      </c>
    </row>
    <row r="1006" spans="1:14" x14ac:dyDescent="0.35">
      <c r="A1006" t="s">
        <v>1058</v>
      </c>
      <c r="B1006" t="s">
        <v>15</v>
      </c>
      <c r="C1006" t="s">
        <v>16</v>
      </c>
      <c r="D1006">
        <v>75</v>
      </c>
      <c r="E1006" t="s">
        <v>1039</v>
      </c>
      <c r="F1006">
        <v>5419</v>
      </c>
      <c r="G1006" t="s">
        <v>18</v>
      </c>
      <c r="H1006">
        <v>27</v>
      </c>
      <c r="I1006" t="s">
        <v>19</v>
      </c>
      <c r="J1006">
        <v>2006</v>
      </c>
      <c r="K1006">
        <v>2006</v>
      </c>
      <c r="L1006" t="s">
        <v>20</v>
      </c>
      <c r="M1006">
        <v>16910</v>
      </c>
      <c r="N1006">
        <v>836</v>
      </c>
    </row>
    <row r="1007" spans="1:14" x14ac:dyDescent="0.35">
      <c r="A1007" t="s">
        <v>1059</v>
      </c>
      <c r="B1007" t="s">
        <v>15</v>
      </c>
      <c r="C1007" t="s">
        <v>16</v>
      </c>
      <c r="D1007">
        <v>75</v>
      </c>
      <c r="E1007" t="s">
        <v>1039</v>
      </c>
      <c r="F1007">
        <v>5419</v>
      </c>
      <c r="G1007" t="s">
        <v>18</v>
      </c>
      <c r="H1007">
        <v>27</v>
      </c>
      <c r="I1007" t="s">
        <v>19</v>
      </c>
      <c r="J1007">
        <v>2007</v>
      </c>
      <c r="K1007">
        <v>2007</v>
      </c>
      <c r="L1007" t="s">
        <v>20</v>
      </c>
      <c r="M1007">
        <v>6861</v>
      </c>
      <c r="N1007">
        <v>836</v>
      </c>
    </row>
    <row r="1008" spans="1:14" x14ac:dyDescent="0.35">
      <c r="A1008" t="s">
        <v>1060</v>
      </c>
      <c r="B1008" t="s">
        <v>15</v>
      </c>
      <c r="C1008" t="s">
        <v>16</v>
      </c>
      <c r="D1008">
        <v>75</v>
      </c>
      <c r="E1008" t="s">
        <v>1039</v>
      </c>
      <c r="F1008">
        <v>5419</v>
      </c>
      <c r="G1008" t="s">
        <v>18</v>
      </c>
      <c r="H1008">
        <v>27</v>
      </c>
      <c r="I1008" t="s">
        <v>19</v>
      </c>
      <c r="J1008">
        <v>2008</v>
      </c>
      <c r="K1008">
        <v>2008</v>
      </c>
      <c r="L1008" t="s">
        <v>20</v>
      </c>
      <c r="M1008">
        <v>11265</v>
      </c>
      <c r="N1008">
        <v>836</v>
      </c>
    </row>
    <row r="1009" spans="1:14" x14ac:dyDescent="0.35">
      <c r="A1009" t="s">
        <v>1061</v>
      </c>
      <c r="B1009" t="s">
        <v>15</v>
      </c>
      <c r="C1009" t="s">
        <v>16</v>
      </c>
      <c r="D1009">
        <v>75</v>
      </c>
      <c r="E1009" t="s">
        <v>1039</v>
      </c>
      <c r="F1009">
        <v>5419</v>
      </c>
      <c r="G1009" t="s">
        <v>18</v>
      </c>
      <c r="H1009">
        <v>27</v>
      </c>
      <c r="I1009" t="s">
        <v>19</v>
      </c>
      <c r="J1009">
        <v>2009</v>
      </c>
      <c r="K1009">
        <v>2009</v>
      </c>
      <c r="L1009" t="s">
        <v>20</v>
      </c>
      <c r="M1009">
        <v>10822</v>
      </c>
      <c r="N1009">
        <v>836</v>
      </c>
    </row>
    <row r="1010" spans="1:14" x14ac:dyDescent="0.35">
      <c r="A1010" t="s">
        <v>1062</v>
      </c>
      <c r="B1010" t="s">
        <v>15</v>
      </c>
      <c r="C1010" t="s">
        <v>16</v>
      </c>
      <c r="D1010">
        <v>75</v>
      </c>
      <c r="E1010" t="s">
        <v>1039</v>
      </c>
      <c r="F1010">
        <v>5419</v>
      </c>
      <c r="G1010" t="s">
        <v>18</v>
      </c>
      <c r="H1010">
        <v>27</v>
      </c>
      <c r="I1010" t="s">
        <v>19</v>
      </c>
      <c r="J1010">
        <v>2010</v>
      </c>
      <c r="K1010">
        <v>2010</v>
      </c>
      <c r="L1010" t="s">
        <v>20</v>
      </c>
      <c r="M1010">
        <v>11595</v>
      </c>
      <c r="N1010">
        <v>836</v>
      </c>
    </row>
    <row r="1011" spans="1:14" x14ac:dyDescent="0.35">
      <c r="A1011" t="s">
        <v>1063</v>
      </c>
      <c r="B1011" t="s">
        <v>15</v>
      </c>
      <c r="C1011" t="s">
        <v>16</v>
      </c>
      <c r="D1011">
        <v>75</v>
      </c>
      <c r="E1011" t="s">
        <v>1039</v>
      </c>
      <c r="F1011">
        <v>5419</v>
      </c>
      <c r="G1011" t="s">
        <v>18</v>
      </c>
      <c r="H1011">
        <v>27</v>
      </c>
      <c r="I1011" t="s">
        <v>19</v>
      </c>
      <c r="J1011">
        <v>2011</v>
      </c>
      <c r="K1011">
        <v>2011</v>
      </c>
      <c r="L1011" t="s">
        <v>20</v>
      </c>
      <c r="M1011">
        <v>12168</v>
      </c>
      <c r="N1011">
        <v>836</v>
      </c>
    </row>
    <row r="1012" spans="1:14" x14ac:dyDescent="0.35">
      <c r="A1012" t="s">
        <v>1064</v>
      </c>
      <c r="B1012" t="s">
        <v>15</v>
      </c>
      <c r="C1012" t="s">
        <v>16</v>
      </c>
      <c r="D1012">
        <v>75</v>
      </c>
      <c r="E1012" t="s">
        <v>1039</v>
      </c>
      <c r="F1012">
        <v>5419</v>
      </c>
      <c r="G1012" t="s">
        <v>18</v>
      </c>
      <c r="H1012">
        <v>27</v>
      </c>
      <c r="I1012" t="s">
        <v>19</v>
      </c>
      <c r="J1012">
        <v>2012</v>
      </c>
      <c r="K1012">
        <v>2012</v>
      </c>
      <c r="L1012" t="s">
        <v>20</v>
      </c>
      <c r="M1012">
        <v>8526</v>
      </c>
      <c r="N1012">
        <v>836</v>
      </c>
    </row>
    <row r="1013" spans="1:14" x14ac:dyDescent="0.35">
      <c r="A1013" t="s">
        <v>1065</v>
      </c>
      <c r="B1013" t="s">
        <v>15</v>
      </c>
      <c r="C1013" t="s">
        <v>16</v>
      </c>
      <c r="D1013">
        <v>75</v>
      </c>
      <c r="E1013" t="s">
        <v>1039</v>
      </c>
      <c r="F1013">
        <v>5419</v>
      </c>
      <c r="G1013" t="s">
        <v>18</v>
      </c>
      <c r="H1013">
        <v>27</v>
      </c>
      <c r="I1013" t="s">
        <v>19</v>
      </c>
      <c r="J1013">
        <v>2013</v>
      </c>
      <c r="K1013">
        <v>2013</v>
      </c>
      <c r="L1013" t="s">
        <v>20</v>
      </c>
      <c r="M1013">
        <v>10501</v>
      </c>
      <c r="N1013">
        <v>836</v>
      </c>
    </row>
    <row r="1014" spans="1:14" x14ac:dyDescent="0.35">
      <c r="A1014" t="s">
        <v>1066</v>
      </c>
      <c r="B1014" t="s">
        <v>15</v>
      </c>
      <c r="C1014" t="s">
        <v>16</v>
      </c>
      <c r="D1014">
        <v>75</v>
      </c>
      <c r="E1014" t="s">
        <v>1039</v>
      </c>
      <c r="F1014">
        <v>5419</v>
      </c>
      <c r="G1014" t="s">
        <v>18</v>
      </c>
      <c r="H1014">
        <v>27</v>
      </c>
      <c r="I1014" t="s">
        <v>19</v>
      </c>
      <c r="J1014">
        <v>2014</v>
      </c>
      <c r="K1014">
        <v>2014</v>
      </c>
      <c r="L1014" t="s">
        <v>20</v>
      </c>
      <c r="M1014">
        <v>7041</v>
      </c>
      <c r="N1014">
        <v>836</v>
      </c>
    </row>
    <row r="1015" spans="1:14" x14ac:dyDescent="0.35">
      <c r="A1015" t="s">
        <v>1067</v>
      </c>
      <c r="B1015" t="s">
        <v>15</v>
      </c>
      <c r="C1015" t="s">
        <v>16</v>
      </c>
      <c r="D1015">
        <v>75</v>
      </c>
      <c r="E1015" t="s">
        <v>1039</v>
      </c>
      <c r="F1015">
        <v>5419</v>
      </c>
      <c r="G1015" t="s">
        <v>18</v>
      </c>
      <c r="H1015">
        <v>27</v>
      </c>
      <c r="I1015" t="s">
        <v>19</v>
      </c>
      <c r="J1015">
        <v>2015</v>
      </c>
      <c r="K1015">
        <v>2015</v>
      </c>
      <c r="L1015" t="s">
        <v>20</v>
      </c>
      <c r="M1015">
        <v>7717</v>
      </c>
      <c r="N1015">
        <v>836</v>
      </c>
    </row>
    <row r="1016" spans="1:14" x14ac:dyDescent="0.35">
      <c r="A1016" t="s">
        <v>1068</v>
      </c>
      <c r="B1016" t="s">
        <v>15</v>
      </c>
      <c r="C1016" t="s">
        <v>16</v>
      </c>
      <c r="D1016">
        <v>75</v>
      </c>
      <c r="E1016" t="s">
        <v>1039</v>
      </c>
      <c r="F1016">
        <v>5419</v>
      </c>
      <c r="G1016" t="s">
        <v>18</v>
      </c>
      <c r="H1016">
        <v>27</v>
      </c>
      <c r="I1016" t="s">
        <v>19</v>
      </c>
      <c r="J1016">
        <v>2016</v>
      </c>
      <c r="K1016">
        <v>2016</v>
      </c>
      <c r="L1016" t="s">
        <v>20</v>
      </c>
      <c r="M1016">
        <v>7424</v>
      </c>
      <c r="N1016">
        <v>836</v>
      </c>
    </row>
    <row r="1017" spans="1:14" x14ac:dyDescent="0.35">
      <c r="A1017" t="s">
        <v>1069</v>
      </c>
      <c r="B1017" t="s">
        <v>15</v>
      </c>
      <c r="C1017" t="s">
        <v>16</v>
      </c>
      <c r="D1017">
        <v>81</v>
      </c>
      <c r="E1017" t="s">
        <v>1070</v>
      </c>
      <c r="F1017">
        <v>5419</v>
      </c>
      <c r="G1017" t="s">
        <v>18</v>
      </c>
      <c r="H1017">
        <v>27</v>
      </c>
      <c r="I1017" t="s">
        <v>19</v>
      </c>
      <c r="J1017">
        <v>1985</v>
      </c>
      <c r="K1017">
        <v>1985</v>
      </c>
      <c r="L1017" t="s">
        <v>20</v>
      </c>
      <c r="M1017">
        <v>11765</v>
      </c>
      <c r="N1017">
        <v>1187</v>
      </c>
    </row>
    <row r="1018" spans="1:14" x14ac:dyDescent="0.35">
      <c r="A1018" t="s">
        <v>1071</v>
      </c>
      <c r="B1018" t="s">
        <v>15</v>
      </c>
      <c r="C1018" t="s">
        <v>16</v>
      </c>
      <c r="D1018">
        <v>81</v>
      </c>
      <c r="E1018" t="s">
        <v>1070</v>
      </c>
      <c r="F1018">
        <v>5419</v>
      </c>
      <c r="G1018" t="s">
        <v>18</v>
      </c>
      <c r="H1018">
        <v>27</v>
      </c>
      <c r="I1018" t="s">
        <v>19</v>
      </c>
      <c r="J1018">
        <v>1986</v>
      </c>
      <c r="K1018">
        <v>1986</v>
      </c>
      <c r="L1018" t="s">
        <v>20</v>
      </c>
      <c r="M1018">
        <v>9146</v>
      </c>
      <c r="N1018">
        <v>1187</v>
      </c>
    </row>
    <row r="1019" spans="1:14" x14ac:dyDescent="0.35">
      <c r="A1019" t="s">
        <v>1072</v>
      </c>
      <c r="B1019" t="s">
        <v>15</v>
      </c>
      <c r="C1019" t="s">
        <v>16</v>
      </c>
      <c r="D1019">
        <v>81</v>
      </c>
      <c r="E1019" t="s">
        <v>1070</v>
      </c>
      <c r="F1019">
        <v>5419</v>
      </c>
      <c r="G1019" t="s">
        <v>18</v>
      </c>
      <c r="H1019">
        <v>27</v>
      </c>
      <c r="I1019" t="s">
        <v>19</v>
      </c>
      <c r="J1019">
        <v>1987</v>
      </c>
      <c r="K1019">
        <v>1987</v>
      </c>
      <c r="L1019" t="s">
        <v>20</v>
      </c>
      <c r="M1019">
        <v>11208</v>
      </c>
      <c r="N1019">
        <v>1187</v>
      </c>
    </row>
    <row r="1020" spans="1:14" x14ac:dyDescent="0.35">
      <c r="A1020" t="s">
        <v>1073</v>
      </c>
      <c r="B1020" t="s">
        <v>15</v>
      </c>
      <c r="C1020" t="s">
        <v>16</v>
      </c>
      <c r="D1020">
        <v>81</v>
      </c>
      <c r="E1020" t="s">
        <v>1070</v>
      </c>
      <c r="F1020">
        <v>5419</v>
      </c>
      <c r="G1020" t="s">
        <v>18</v>
      </c>
      <c r="H1020">
        <v>27</v>
      </c>
      <c r="I1020" t="s">
        <v>19</v>
      </c>
      <c r="J1020">
        <v>1989</v>
      </c>
      <c r="K1020">
        <v>1989</v>
      </c>
      <c r="L1020" t="s">
        <v>20</v>
      </c>
      <c r="M1020">
        <v>10293</v>
      </c>
      <c r="N1020">
        <v>1187</v>
      </c>
    </row>
    <row r="1021" spans="1:14" x14ac:dyDescent="0.35">
      <c r="A1021" t="s">
        <v>1074</v>
      </c>
      <c r="B1021" t="s">
        <v>15</v>
      </c>
      <c r="C1021" t="s">
        <v>16</v>
      </c>
      <c r="D1021">
        <v>81</v>
      </c>
      <c r="E1021" t="s">
        <v>1070</v>
      </c>
      <c r="F1021">
        <v>5419</v>
      </c>
      <c r="G1021" t="s">
        <v>18</v>
      </c>
      <c r="H1021">
        <v>27</v>
      </c>
      <c r="I1021" t="s">
        <v>19</v>
      </c>
      <c r="J1021">
        <v>1990</v>
      </c>
      <c r="K1021">
        <v>1990</v>
      </c>
      <c r="L1021" t="s">
        <v>20</v>
      </c>
      <c r="M1021">
        <v>16510</v>
      </c>
      <c r="N1021">
        <v>1187</v>
      </c>
    </row>
    <row r="1022" spans="1:14" x14ac:dyDescent="0.35">
      <c r="A1022" t="s">
        <v>1075</v>
      </c>
      <c r="B1022" t="s">
        <v>15</v>
      </c>
      <c r="C1022" t="s">
        <v>16</v>
      </c>
      <c r="D1022">
        <v>81</v>
      </c>
      <c r="E1022" t="s">
        <v>1070</v>
      </c>
      <c r="F1022">
        <v>5419</v>
      </c>
      <c r="G1022" t="s">
        <v>18</v>
      </c>
      <c r="H1022">
        <v>27</v>
      </c>
      <c r="I1022" t="s">
        <v>19</v>
      </c>
      <c r="J1022">
        <v>1991</v>
      </c>
      <c r="K1022">
        <v>1991</v>
      </c>
      <c r="L1022" t="s">
        <v>20</v>
      </c>
      <c r="M1022">
        <v>15901</v>
      </c>
      <c r="N1022">
        <v>1187</v>
      </c>
    </row>
    <row r="1023" spans="1:14" x14ac:dyDescent="0.35">
      <c r="A1023" t="s">
        <v>1076</v>
      </c>
      <c r="B1023" t="s">
        <v>15</v>
      </c>
      <c r="C1023" t="s">
        <v>16</v>
      </c>
      <c r="D1023">
        <v>81</v>
      </c>
      <c r="E1023" t="s">
        <v>1070</v>
      </c>
      <c r="F1023">
        <v>5419</v>
      </c>
      <c r="G1023" t="s">
        <v>18</v>
      </c>
      <c r="H1023">
        <v>27</v>
      </c>
      <c r="I1023" t="s">
        <v>19</v>
      </c>
      <c r="J1023">
        <v>1992</v>
      </c>
      <c r="K1023">
        <v>1992</v>
      </c>
      <c r="L1023" t="s">
        <v>20</v>
      </c>
      <c r="M1023">
        <v>16499</v>
      </c>
      <c r="N1023">
        <v>1187</v>
      </c>
    </row>
    <row r="1024" spans="1:14" x14ac:dyDescent="0.35">
      <c r="A1024" t="s">
        <v>1077</v>
      </c>
      <c r="B1024" t="s">
        <v>15</v>
      </c>
      <c r="C1024" t="s">
        <v>16</v>
      </c>
      <c r="D1024">
        <v>81</v>
      </c>
      <c r="E1024" t="s">
        <v>1070</v>
      </c>
      <c r="F1024">
        <v>5419</v>
      </c>
      <c r="G1024" t="s">
        <v>18</v>
      </c>
      <c r="H1024">
        <v>27</v>
      </c>
      <c r="I1024" t="s">
        <v>19</v>
      </c>
      <c r="J1024">
        <v>1993</v>
      </c>
      <c r="K1024">
        <v>1993</v>
      </c>
      <c r="L1024" t="s">
        <v>20</v>
      </c>
      <c r="M1024">
        <v>20389</v>
      </c>
      <c r="N1024">
        <v>1187</v>
      </c>
    </row>
    <row r="1025" spans="1:14" x14ac:dyDescent="0.35">
      <c r="A1025" t="s">
        <v>1078</v>
      </c>
      <c r="B1025" t="s">
        <v>15</v>
      </c>
      <c r="C1025" t="s">
        <v>16</v>
      </c>
      <c r="D1025">
        <v>81</v>
      </c>
      <c r="E1025" t="s">
        <v>1070</v>
      </c>
      <c r="F1025">
        <v>5419</v>
      </c>
      <c r="G1025" t="s">
        <v>18</v>
      </c>
      <c r="H1025">
        <v>27</v>
      </c>
      <c r="I1025" t="s">
        <v>19</v>
      </c>
      <c r="J1025">
        <v>1994</v>
      </c>
      <c r="K1025">
        <v>1994</v>
      </c>
      <c r="L1025" t="s">
        <v>20</v>
      </c>
      <c r="M1025">
        <v>20062</v>
      </c>
      <c r="N1025">
        <v>1187</v>
      </c>
    </row>
    <row r="1026" spans="1:14" x14ac:dyDescent="0.35">
      <c r="A1026" t="s">
        <v>1079</v>
      </c>
      <c r="B1026" t="s">
        <v>15</v>
      </c>
      <c r="C1026" t="s">
        <v>16</v>
      </c>
      <c r="D1026">
        <v>81</v>
      </c>
      <c r="E1026" t="s">
        <v>1070</v>
      </c>
      <c r="F1026">
        <v>5419</v>
      </c>
      <c r="G1026" t="s">
        <v>18</v>
      </c>
      <c r="H1026">
        <v>27</v>
      </c>
      <c r="I1026" t="s">
        <v>19</v>
      </c>
      <c r="J1026">
        <v>1995</v>
      </c>
      <c r="K1026">
        <v>1995</v>
      </c>
      <c r="L1026" t="s">
        <v>20</v>
      </c>
      <c r="M1026">
        <v>20192</v>
      </c>
      <c r="N1026">
        <v>1187</v>
      </c>
    </row>
    <row r="1027" spans="1:14" x14ac:dyDescent="0.35">
      <c r="A1027" t="s">
        <v>1080</v>
      </c>
      <c r="B1027" t="s">
        <v>15</v>
      </c>
      <c r="C1027" t="s">
        <v>16</v>
      </c>
      <c r="D1027">
        <v>81</v>
      </c>
      <c r="E1027" t="s">
        <v>1070</v>
      </c>
      <c r="F1027">
        <v>5419</v>
      </c>
      <c r="G1027" t="s">
        <v>18</v>
      </c>
      <c r="H1027">
        <v>27</v>
      </c>
      <c r="I1027" t="s">
        <v>19</v>
      </c>
      <c r="J1027">
        <v>1996</v>
      </c>
      <c r="K1027">
        <v>1996</v>
      </c>
      <c r="L1027" t="s">
        <v>20</v>
      </c>
      <c r="M1027">
        <v>20496</v>
      </c>
      <c r="N1027">
        <v>1187</v>
      </c>
    </row>
    <row r="1028" spans="1:14" x14ac:dyDescent="0.35">
      <c r="A1028" t="s">
        <v>1081</v>
      </c>
      <c r="B1028" t="s">
        <v>15</v>
      </c>
      <c r="C1028" t="s">
        <v>16</v>
      </c>
      <c r="D1028">
        <v>81</v>
      </c>
      <c r="E1028" t="s">
        <v>1070</v>
      </c>
      <c r="F1028">
        <v>5419</v>
      </c>
      <c r="G1028" t="s">
        <v>18</v>
      </c>
      <c r="H1028">
        <v>27</v>
      </c>
      <c r="I1028" t="s">
        <v>19</v>
      </c>
      <c r="J1028">
        <v>1997</v>
      </c>
      <c r="K1028">
        <v>1997</v>
      </c>
      <c r="L1028" t="s">
        <v>20</v>
      </c>
      <c r="M1028">
        <v>16746</v>
      </c>
      <c r="N1028">
        <v>1187</v>
      </c>
    </row>
    <row r="1029" spans="1:14" x14ac:dyDescent="0.35">
      <c r="A1029" t="s">
        <v>1082</v>
      </c>
      <c r="B1029" t="s">
        <v>15</v>
      </c>
      <c r="C1029" t="s">
        <v>16</v>
      </c>
      <c r="D1029">
        <v>81</v>
      </c>
      <c r="E1029" t="s">
        <v>1070</v>
      </c>
      <c r="F1029">
        <v>5419</v>
      </c>
      <c r="G1029" t="s">
        <v>18</v>
      </c>
      <c r="H1029">
        <v>27</v>
      </c>
      <c r="I1029" t="s">
        <v>19</v>
      </c>
      <c r="J1029">
        <v>1998</v>
      </c>
      <c r="K1029">
        <v>1998</v>
      </c>
      <c r="L1029" t="s">
        <v>20</v>
      </c>
      <c r="M1029">
        <v>14847</v>
      </c>
      <c r="N1029">
        <v>1187</v>
      </c>
    </row>
    <row r="1030" spans="1:14" x14ac:dyDescent="0.35">
      <c r="A1030" t="s">
        <v>1083</v>
      </c>
      <c r="B1030" t="s">
        <v>15</v>
      </c>
      <c r="C1030" t="s">
        <v>16</v>
      </c>
      <c r="D1030">
        <v>81</v>
      </c>
      <c r="E1030" t="s">
        <v>1070</v>
      </c>
      <c r="F1030">
        <v>5419</v>
      </c>
      <c r="G1030" t="s">
        <v>18</v>
      </c>
      <c r="H1030">
        <v>27</v>
      </c>
      <c r="I1030" t="s">
        <v>19</v>
      </c>
      <c r="J1030">
        <v>1999</v>
      </c>
      <c r="K1030">
        <v>1999</v>
      </c>
      <c r="L1030" t="s">
        <v>20</v>
      </c>
      <c r="M1030">
        <v>19919</v>
      </c>
      <c r="N1030">
        <v>1187</v>
      </c>
    </row>
    <row r="1031" spans="1:14" x14ac:dyDescent="0.35">
      <c r="A1031" t="s">
        <v>1084</v>
      </c>
      <c r="B1031" t="s">
        <v>15</v>
      </c>
      <c r="C1031" t="s">
        <v>16</v>
      </c>
      <c r="D1031">
        <v>81</v>
      </c>
      <c r="E1031" t="s">
        <v>1070</v>
      </c>
      <c r="F1031">
        <v>5419</v>
      </c>
      <c r="G1031" t="s">
        <v>18</v>
      </c>
      <c r="H1031">
        <v>27</v>
      </c>
      <c r="I1031" t="s">
        <v>19</v>
      </c>
      <c r="J1031">
        <v>2000</v>
      </c>
      <c r="K1031">
        <v>2000</v>
      </c>
      <c r="L1031" t="s">
        <v>20</v>
      </c>
      <c r="M1031">
        <v>21589</v>
      </c>
      <c r="N1031">
        <v>1187</v>
      </c>
    </row>
    <row r="1032" spans="1:14" x14ac:dyDescent="0.35">
      <c r="A1032" t="s">
        <v>1085</v>
      </c>
      <c r="B1032" t="s">
        <v>15</v>
      </c>
      <c r="C1032" t="s">
        <v>16</v>
      </c>
      <c r="D1032">
        <v>81</v>
      </c>
      <c r="E1032" t="s">
        <v>1070</v>
      </c>
      <c r="F1032">
        <v>5419</v>
      </c>
      <c r="G1032" t="s">
        <v>18</v>
      </c>
      <c r="H1032">
        <v>27</v>
      </c>
      <c r="I1032" t="s">
        <v>19</v>
      </c>
      <c r="J1032">
        <v>2001</v>
      </c>
      <c r="K1032">
        <v>2001</v>
      </c>
      <c r="L1032" t="s">
        <v>20</v>
      </c>
      <c r="M1032">
        <v>20185</v>
      </c>
      <c r="N1032">
        <v>1187</v>
      </c>
    </row>
    <row r="1033" spans="1:14" x14ac:dyDescent="0.35">
      <c r="A1033" t="s">
        <v>1086</v>
      </c>
      <c r="B1033" t="s">
        <v>15</v>
      </c>
      <c r="C1033" t="s">
        <v>16</v>
      </c>
      <c r="D1033">
        <v>81</v>
      </c>
      <c r="E1033" t="s">
        <v>1070</v>
      </c>
      <c r="F1033">
        <v>5419</v>
      </c>
      <c r="G1033" t="s">
        <v>18</v>
      </c>
      <c r="H1033">
        <v>27</v>
      </c>
      <c r="I1033" t="s">
        <v>19</v>
      </c>
      <c r="J1033">
        <v>2002</v>
      </c>
      <c r="K1033">
        <v>2002</v>
      </c>
      <c r="L1033" t="s">
        <v>20</v>
      </c>
      <c r="M1033">
        <v>22799</v>
      </c>
      <c r="N1033">
        <v>1187</v>
      </c>
    </row>
    <row r="1034" spans="1:14" x14ac:dyDescent="0.35">
      <c r="A1034" t="s">
        <v>1087</v>
      </c>
      <c r="B1034" t="s">
        <v>15</v>
      </c>
      <c r="C1034" t="s">
        <v>16</v>
      </c>
      <c r="D1034">
        <v>81</v>
      </c>
      <c r="E1034" t="s">
        <v>1070</v>
      </c>
      <c r="F1034">
        <v>5419</v>
      </c>
      <c r="G1034" t="s">
        <v>18</v>
      </c>
      <c r="H1034">
        <v>27</v>
      </c>
      <c r="I1034" t="s">
        <v>19</v>
      </c>
      <c r="J1034">
        <v>2004</v>
      </c>
      <c r="K1034">
        <v>2004</v>
      </c>
      <c r="L1034" t="s">
        <v>20</v>
      </c>
      <c r="M1034">
        <v>20253</v>
      </c>
      <c r="N1034">
        <v>1187</v>
      </c>
    </row>
    <row r="1035" spans="1:14" x14ac:dyDescent="0.35">
      <c r="A1035" t="s">
        <v>1088</v>
      </c>
      <c r="B1035" t="s">
        <v>15</v>
      </c>
      <c r="C1035" t="s">
        <v>16</v>
      </c>
      <c r="D1035">
        <v>81</v>
      </c>
      <c r="E1035" t="s">
        <v>1070</v>
      </c>
      <c r="F1035">
        <v>5419</v>
      </c>
      <c r="G1035" t="s">
        <v>18</v>
      </c>
      <c r="H1035">
        <v>27</v>
      </c>
      <c r="I1035" t="s">
        <v>19</v>
      </c>
      <c r="J1035">
        <v>2005</v>
      </c>
      <c r="K1035">
        <v>2005</v>
      </c>
      <c r="L1035" t="s">
        <v>20</v>
      </c>
      <c r="M1035">
        <v>23917</v>
      </c>
      <c r="N1035">
        <v>1187</v>
      </c>
    </row>
    <row r="1036" spans="1:14" x14ac:dyDescent="0.35">
      <c r="A1036" t="s">
        <v>1089</v>
      </c>
      <c r="B1036" t="s">
        <v>15</v>
      </c>
      <c r="C1036" t="s">
        <v>16</v>
      </c>
      <c r="D1036">
        <v>81</v>
      </c>
      <c r="E1036" t="s">
        <v>1070</v>
      </c>
      <c r="F1036">
        <v>5419</v>
      </c>
      <c r="G1036" t="s">
        <v>18</v>
      </c>
      <c r="H1036">
        <v>27</v>
      </c>
      <c r="I1036" t="s">
        <v>19</v>
      </c>
      <c r="J1036">
        <v>2006</v>
      </c>
      <c r="K1036">
        <v>2006</v>
      </c>
      <c r="L1036" t="s">
        <v>20</v>
      </c>
      <c r="M1036">
        <v>20000</v>
      </c>
      <c r="N1036">
        <v>1187</v>
      </c>
    </row>
    <row r="1037" spans="1:14" x14ac:dyDescent="0.35">
      <c r="A1037" t="s">
        <v>1090</v>
      </c>
      <c r="B1037" t="s">
        <v>15</v>
      </c>
      <c r="C1037" t="s">
        <v>16</v>
      </c>
      <c r="D1037">
        <v>81</v>
      </c>
      <c r="E1037" t="s">
        <v>1070</v>
      </c>
      <c r="F1037">
        <v>5419</v>
      </c>
      <c r="G1037" t="s">
        <v>18</v>
      </c>
      <c r="H1037">
        <v>27</v>
      </c>
      <c r="I1037" t="s">
        <v>19</v>
      </c>
      <c r="J1037">
        <v>2007</v>
      </c>
      <c r="K1037">
        <v>2007</v>
      </c>
      <c r="L1037" t="s">
        <v>20</v>
      </c>
      <c r="M1037">
        <v>17015</v>
      </c>
      <c r="N1037">
        <v>1187</v>
      </c>
    </row>
    <row r="1038" spans="1:14" x14ac:dyDescent="0.35">
      <c r="A1038" t="s">
        <v>1091</v>
      </c>
      <c r="B1038" t="s">
        <v>15</v>
      </c>
      <c r="C1038" t="s">
        <v>16</v>
      </c>
      <c r="D1038">
        <v>81</v>
      </c>
      <c r="E1038" t="s">
        <v>1070</v>
      </c>
      <c r="F1038">
        <v>5419</v>
      </c>
      <c r="G1038" t="s">
        <v>18</v>
      </c>
      <c r="H1038">
        <v>27</v>
      </c>
      <c r="I1038" t="s">
        <v>19</v>
      </c>
      <c r="J1038">
        <v>2008</v>
      </c>
      <c r="K1038">
        <v>2008</v>
      </c>
      <c r="L1038" t="s">
        <v>20</v>
      </c>
      <c r="M1038">
        <v>22735</v>
      </c>
      <c r="N1038">
        <v>1187</v>
      </c>
    </row>
    <row r="1039" spans="1:14" x14ac:dyDescent="0.35">
      <c r="A1039" t="s">
        <v>1092</v>
      </c>
      <c r="B1039" t="s">
        <v>15</v>
      </c>
      <c r="C1039" t="s">
        <v>16</v>
      </c>
      <c r="D1039">
        <v>81</v>
      </c>
      <c r="E1039" t="s">
        <v>1070</v>
      </c>
      <c r="F1039">
        <v>5419</v>
      </c>
      <c r="G1039" t="s">
        <v>18</v>
      </c>
      <c r="H1039">
        <v>27</v>
      </c>
      <c r="I1039" t="s">
        <v>19</v>
      </c>
      <c r="J1039">
        <v>2009</v>
      </c>
      <c r="K1039">
        <v>2009</v>
      </c>
      <c r="L1039" t="s">
        <v>20</v>
      </c>
      <c r="M1039">
        <v>24109</v>
      </c>
      <c r="N1039">
        <v>1187</v>
      </c>
    </row>
    <row r="1040" spans="1:14" x14ac:dyDescent="0.35">
      <c r="A1040" t="s">
        <v>1093</v>
      </c>
      <c r="B1040" t="s">
        <v>15</v>
      </c>
      <c r="C1040" t="s">
        <v>16</v>
      </c>
      <c r="D1040">
        <v>81</v>
      </c>
      <c r="E1040" t="s">
        <v>1070</v>
      </c>
      <c r="F1040">
        <v>5419</v>
      </c>
      <c r="G1040" t="s">
        <v>18</v>
      </c>
      <c r="H1040">
        <v>27</v>
      </c>
      <c r="I1040" t="s">
        <v>19</v>
      </c>
      <c r="J1040">
        <v>2010</v>
      </c>
      <c r="K1040">
        <v>2010</v>
      </c>
      <c r="L1040" t="s">
        <v>20</v>
      </c>
      <c r="M1040">
        <v>27126</v>
      </c>
      <c r="N1040">
        <v>1187</v>
      </c>
    </row>
    <row r="1041" spans="1:14" x14ac:dyDescent="0.35">
      <c r="A1041" t="s">
        <v>1094</v>
      </c>
      <c r="B1041" t="s">
        <v>15</v>
      </c>
      <c r="C1041" t="s">
        <v>16</v>
      </c>
      <c r="D1041">
        <v>81</v>
      </c>
      <c r="E1041" t="s">
        <v>1070</v>
      </c>
      <c r="F1041">
        <v>5419</v>
      </c>
      <c r="G1041" t="s">
        <v>18</v>
      </c>
      <c r="H1041">
        <v>27</v>
      </c>
      <c r="I1041" t="s">
        <v>19</v>
      </c>
      <c r="J1041">
        <v>2011</v>
      </c>
      <c r="K1041">
        <v>2011</v>
      </c>
      <c r="L1041" t="s">
        <v>20</v>
      </c>
      <c r="M1041">
        <v>23495</v>
      </c>
      <c r="N1041">
        <v>1187</v>
      </c>
    </row>
    <row r="1042" spans="1:14" x14ac:dyDescent="0.35">
      <c r="A1042" t="s">
        <v>1095</v>
      </c>
      <c r="B1042" t="s">
        <v>15</v>
      </c>
      <c r="C1042" t="s">
        <v>16</v>
      </c>
      <c r="D1042">
        <v>81</v>
      </c>
      <c r="E1042" t="s">
        <v>1070</v>
      </c>
      <c r="F1042">
        <v>5419</v>
      </c>
      <c r="G1042" t="s">
        <v>18</v>
      </c>
      <c r="H1042">
        <v>27</v>
      </c>
      <c r="I1042" t="s">
        <v>19</v>
      </c>
      <c r="J1042">
        <v>2012</v>
      </c>
      <c r="K1042">
        <v>2012</v>
      </c>
      <c r="L1042" t="s">
        <v>20</v>
      </c>
      <c r="M1042">
        <v>25386</v>
      </c>
      <c r="N1042">
        <v>1187</v>
      </c>
    </row>
    <row r="1043" spans="1:14" x14ac:dyDescent="0.35">
      <c r="A1043" t="s">
        <v>1096</v>
      </c>
      <c r="B1043" t="s">
        <v>15</v>
      </c>
      <c r="C1043" t="s">
        <v>16</v>
      </c>
      <c r="D1043">
        <v>81</v>
      </c>
      <c r="E1043" t="s">
        <v>1070</v>
      </c>
      <c r="F1043">
        <v>5419</v>
      </c>
      <c r="G1043" t="s">
        <v>18</v>
      </c>
      <c r="H1043">
        <v>27</v>
      </c>
      <c r="I1043" t="s">
        <v>19</v>
      </c>
      <c r="J1043">
        <v>2013</v>
      </c>
      <c r="K1043">
        <v>2013</v>
      </c>
      <c r="L1043" t="s">
        <v>20</v>
      </c>
      <c r="M1043">
        <v>26378</v>
      </c>
      <c r="N1043">
        <v>1187</v>
      </c>
    </row>
    <row r="1044" spans="1:14" x14ac:dyDescent="0.35">
      <c r="A1044" t="s">
        <v>1097</v>
      </c>
      <c r="B1044" t="s">
        <v>15</v>
      </c>
      <c r="C1044" t="s">
        <v>16</v>
      </c>
      <c r="D1044">
        <v>81</v>
      </c>
      <c r="E1044" t="s">
        <v>1070</v>
      </c>
      <c r="F1044">
        <v>5419</v>
      </c>
      <c r="G1044" t="s">
        <v>18</v>
      </c>
      <c r="H1044">
        <v>27</v>
      </c>
      <c r="I1044" t="s">
        <v>19</v>
      </c>
      <c r="J1044">
        <v>2014</v>
      </c>
      <c r="K1044">
        <v>2014</v>
      </c>
      <c r="L1044" t="s">
        <v>20</v>
      </c>
      <c r="M1044">
        <v>26964</v>
      </c>
      <c r="N1044">
        <v>1187</v>
      </c>
    </row>
    <row r="1045" spans="1:14" x14ac:dyDescent="0.35">
      <c r="A1045" t="s">
        <v>1098</v>
      </c>
      <c r="B1045" t="s">
        <v>15</v>
      </c>
      <c r="C1045" t="s">
        <v>16</v>
      </c>
      <c r="D1045">
        <v>81</v>
      </c>
      <c r="E1045" t="s">
        <v>1070</v>
      </c>
      <c r="F1045">
        <v>5419</v>
      </c>
      <c r="G1045" t="s">
        <v>18</v>
      </c>
      <c r="H1045">
        <v>27</v>
      </c>
      <c r="I1045" t="s">
        <v>19</v>
      </c>
      <c r="J1045">
        <v>2015</v>
      </c>
      <c r="K1045">
        <v>2015</v>
      </c>
      <c r="L1045" t="s">
        <v>20</v>
      </c>
      <c r="M1045">
        <v>27500</v>
      </c>
      <c r="N1045">
        <v>1187</v>
      </c>
    </row>
    <row r="1046" spans="1:14" x14ac:dyDescent="0.35">
      <c r="A1046" t="s">
        <v>1099</v>
      </c>
      <c r="B1046" t="s">
        <v>15</v>
      </c>
      <c r="C1046" t="s">
        <v>16</v>
      </c>
      <c r="D1046">
        <v>81</v>
      </c>
      <c r="E1046" t="s">
        <v>1070</v>
      </c>
      <c r="F1046">
        <v>5419</v>
      </c>
      <c r="G1046" t="s">
        <v>18</v>
      </c>
      <c r="H1046">
        <v>27</v>
      </c>
      <c r="I1046" t="s">
        <v>19</v>
      </c>
      <c r="J1046">
        <v>2016</v>
      </c>
      <c r="K1046">
        <v>2016</v>
      </c>
      <c r="L1046" t="s">
        <v>20</v>
      </c>
      <c r="M1046">
        <v>28200</v>
      </c>
      <c r="N1046">
        <v>1187</v>
      </c>
    </row>
    <row r="1047" spans="1:14" x14ac:dyDescent="0.35">
      <c r="A1047" t="s">
        <v>1100</v>
      </c>
      <c r="B1047" t="s">
        <v>15</v>
      </c>
      <c r="C1047" t="s">
        <v>16</v>
      </c>
      <c r="D1047">
        <v>84</v>
      </c>
      <c r="E1047" t="s">
        <v>1101</v>
      </c>
      <c r="F1047">
        <v>5419</v>
      </c>
      <c r="G1047" t="s">
        <v>18</v>
      </c>
      <c r="H1047">
        <v>27</v>
      </c>
      <c r="I1047" t="s">
        <v>19</v>
      </c>
      <c r="J1047">
        <v>1985</v>
      </c>
      <c r="K1047">
        <v>1985</v>
      </c>
      <c r="L1047" t="s">
        <v>20</v>
      </c>
      <c r="M1047">
        <v>61549</v>
      </c>
      <c r="N1047">
        <v>652</v>
      </c>
    </row>
    <row r="1048" spans="1:14" x14ac:dyDescent="0.35">
      <c r="A1048" t="s">
        <v>1102</v>
      </c>
      <c r="B1048" t="s">
        <v>15</v>
      </c>
      <c r="C1048" t="s">
        <v>16</v>
      </c>
      <c r="D1048">
        <v>84</v>
      </c>
      <c r="E1048" t="s">
        <v>1101</v>
      </c>
      <c r="F1048">
        <v>5419</v>
      </c>
      <c r="G1048" t="s">
        <v>18</v>
      </c>
      <c r="H1048">
        <v>27</v>
      </c>
      <c r="I1048" t="s">
        <v>19</v>
      </c>
      <c r="J1048">
        <v>1986</v>
      </c>
      <c r="K1048">
        <v>1986</v>
      </c>
      <c r="L1048" t="s">
        <v>20</v>
      </c>
      <c r="M1048">
        <v>67222</v>
      </c>
      <c r="N1048">
        <v>652</v>
      </c>
    </row>
    <row r="1049" spans="1:14" x14ac:dyDescent="0.35">
      <c r="A1049" t="s">
        <v>1103</v>
      </c>
      <c r="B1049" t="s">
        <v>15</v>
      </c>
      <c r="C1049" t="s">
        <v>16</v>
      </c>
      <c r="D1049">
        <v>84</v>
      </c>
      <c r="E1049" t="s">
        <v>1101</v>
      </c>
      <c r="F1049">
        <v>5419</v>
      </c>
      <c r="G1049" t="s">
        <v>18</v>
      </c>
      <c r="H1049">
        <v>27</v>
      </c>
      <c r="I1049" t="s">
        <v>19</v>
      </c>
      <c r="J1049">
        <v>1987</v>
      </c>
      <c r="K1049">
        <v>1987</v>
      </c>
      <c r="L1049" t="s">
        <v>20</v>
      </c>
      <c r="M1049">
        <v>68500</v>
      </c>
      <c r="N1049">
        <v>652</v>
      </c>
    </row>
    <row r="1050" spans="1:14" x14ac:dyDescent="0.35">
      <c r="A1050" t="s">
        <v>1104</v>
      </c>
      <c r="B1050" t="s">
        <v>15</v>
      </c>
      <c r="C1050" t="s">
        <v>16</v>
      </c>
      <c r="D1050">
        <v>84</v>
      </c>
      <c r="E1050" t="s">
        <v>1101</v>
      </c>
      <c r="F1050">
        <v>5419</v>
      </c>
      <c r="G1050" t="s">
        <v>18</v>
      </c>
      <c r="H1050">
        <v>27</v>
      </c>
      <c r="I1050" t="s">
        <v>19</v>
      </c>
      <c r="J1050">
        <v>1989</v>
      </c>
      <c r="K1050">
        <v>1989</v>
      </c>
      <c r="L1050" t="s">
        <v>20</v>
      </c>
      <c r="M1050">
        <v>65964</v>
      </c>
      <c r="N1050">
        <v>652</v>
      </c>
    </row>
    <row r="1051" spans="1:14" x14ac:dyDescent="0.35">
      <c r="A1051" t="s">
        <v>1105</v>
      </c>
      <c r="B1051" t="s">
        <v>15</v>
      </c>
      <c r="C1051" t="s">
        <v>16</v>
      </c>
      <c r="D1051">
        <v>84</v>
      </c>
      <c r="E1051" t="s">
        <v>1101</v>
      </c>
      <c r="F1051">
        <v>5419</v>
      </c>
      <c r="G1051" t="s">
        <v>18</v>
      </c>
      <c r="H1051">
        <v>27</v>
      </c>
      <c r="I1051" t="s">
        <v>19</v>
      </c>
      <c r="J1051">
        <v>1990</v>
      </c>
      <c r="K1051">
        <v>1990</v>
      </c>
      <c r="L1051" t="s">
        <v>20</v>
      </c>
      <c r="M1051">
        <v>60000</v>
      </c>
      <c r="N1051">
        <v>652</v>
      </c>
    </row>
    <row r="1052" spans="1:14" x14ac:dyDescent="0.35">
      <c r="A1052" t="s">
        <v>1106</v>
      </c>
      <c r="B1052" t="s">
        <v>15</v>
      </c>
      <c r="C1052" t="s">
        <v>16</v>
      </c>
      <c r="D1052">
        <v>84</v>
      </c>
      <c r="E1052" t="s">
        <v>1101</v>
      </c>
      <c r="F1052">
        <v>5419</v>
      </c>
      <c r="G1052" t="s">
        <v>18</v>
      </c>
      <c r="H1052">
        <v>27</v>
      </c>
      <c r="I1052" t="s">
        <v>19</v>
      </c>
      <c r="J1052">
        <v>1991</v>
      </c>
      <c r="K1052">
        <v>1991</v>
      </c>
      <c r="L1052" t="s">
        <v>20</v>
      </c>
      <c r="M1052">
        <v>54938</v>
      </c>
      <c r="N1052">
        <v>652</v>
      </c>
    </row>
    <row r="1053" spans="1:14" x14ac:dyDescent="0.35">
      <c r="A1053" t="s">
        <v>1107</v>
      </c>
      <c r="B1053" t="s">
        <v>15</v>
      </c>
      <c r="C1053" t="s">
        <v>16</v>
      </c>
      <c r="D1053">
        <v>84</v>
      </c>
      <c r="E1053" t="s">
        <v>1101</v>
      </c>
      <c r="F1053">
        <v>5419</v>
      </c>
      <c r="G1053" t="s">
        <v>18</v>
      </c>
      <c r="H1053">
        <v>27</v>
      </c>
      <c r="I1053" t="s">
        <v>19</v>
      </c>
      <c r="J1053">
        <v>1992</v>
      </c>
      <c r="K1053">
        <v>1992</v>
      </c>
      <c r="L1053" t="s">
        <v>20</v>
      </c>
      <c r="M1053">
        <v>73611</v>
      </c>
      <c r="N1053">
        <v>652</v>
      </c>
    </row>
    <row r="1054" spans="1:14" x14ac:dyDescent="0.35">
      <c r="A1054" t="s">
        <v>1108</v>
      </c>
      <c r="B1054" t="s">
        <v>15</v>
      </c>
      <c r="C1054" t="s">
        <v>16</v>
      </c>
      <c r="D1054">
        <v>84</v>
      </c>
      <c r="E1054" t="s">
        <v>1101</v>
      </c>
      <c r="F1054">
        <v>5419</v>
      </c>
      <c r="G1054" t="s">
        <v>18</v>
      </c>
      <c r="H1054">
        <v>27</v>
      </c>
      <c r="I1054" t="s">
        <v>19</v>
      </c>
      <c r="J1054">
        <v>1993</v>
      </c>
      <c r="K1054">
        <v>1993</v>
      </c>
      <c r="L1054" t="s">
        <v>20</v>
      </c>
      <c r="M1054">
        <v>73904</v>
      </c>
      <c r="N1054">
        <v>652</v>
      </c>
    </row>
    <row r="1055" spans="1:14" x14ac:dyDescent="0.35">
      <c r="A1055" t="s">
        <v>1109</v>
      </c>
      <c r="B1055" t="s">
        <v>15</v>
      </c>
      <c r="C1055" t="s">
        <v>16</v>
      </c>
      <c r="D1055">
        <v>84</v>
      </c>
      <c r="E1055" t="s">
        <v>1101</v>
      </c>
      <c r="F1055">
        <v>5419</v>
      </c>
      <c r="G1055" t="s">
        <v>18</v>
      </c>
      <c r="H1055">
        <v>27</v>
      </c>
      <c r="I1055" t="s">
        <v>19</v>
      </c>
      <c r="J1055">
        <v>1994</v>
      </c>
      <c r="K1055">
        <v>1994</v>
      </c>
      <c r="L1055" t="s">
        <v>20</v>
      </c>
      <c r="M1055">
        <v>80813</v>
      </c>
      <c r="N1055">
        <v>652</v>
      </c>
    </row>
    <row r="1056" spans="1:14" x14ac:dyDescent="0.35">
      <c r="A1056" t="s">
        <v>1110</v>
      </c>
      <c r="B1056" t="s">
        <v>15</v>
      </c>
      <c r="C1056" t="s">
        <v>16</v>
      </c>
      <c r="D1056">
        <v>84</v>
      </c>
      <c r="E1056" t="s">
        <v>1101</v>
      </c>
      <c r="F1056">
        <v>5419</v>
      </c>
      <c r="G1056" t="s">
        <v>18</v>
      </c>
      <c r="H1056">
        <v>27</v>
      </c>
      <c r="I1056" t="s">
        <v>19</v>
      </c>
      <c r="J1056">
        <v>1995</v>
      </c>
      <c r="K1056">
        <v>1995</v>
      </c>
      <c r="L1056" t="s">
        <v>20</v>
      </c>
      <c r="M1056">
        <v>81057</v>
      </c>
      <c r="N1056">
        <v>652</v>
      </c>
    </row>
    <row r="1057" spans="1:14" x14ac:dyDescent="0.35">
      <c r="A1057" t="s">
        <v>1111</v>
      </c>
      <c r="B1057" t="s">
        <v>15</v>
      </c>
      <c r="C1057" t="s">
        <v>16</v>
      </c>
      <c r="D1057">
        <v>84</v>
      </c>
      <c r="E1057" t="s">
        <v>1101</v>
      </c>
      <c r="F1057">
        <v>5419</v>
      </c>
      <c r="G1057" t="s">
        <v>18</v>
      </c>
      <c r="H1057">
        <v>27</v>
      </c>
      <c r="I1057" t="s">
        <v>19</v>
      </c>
      <c r="J1057">
        <v>1996</v>
      </c>
      <c r="K1057">
        <v>1996</v>
      </c>
      <c r="L1057" t="s">
        <v>20</v>
      </c>
      <c r="M1057">
        <v>77561</v>
      </c>
      <c r="N1057">
        <v>652</v>
      </c>
    </row>
    <row r="1058" spans="1:14" x14ac:dyDescent="0.35">
      <c r="A1058" t="s">
        <v>1112</v>
      </c>
      <c r="B1058" t="s">
        <v>15</v>
      </c>
      <c r="C1058" t="s">
        <v>16</v>
      </c>
      <c r="D1058">
        <v>84</v>
      </c>
      <c r="E1058" t="s">
        <v>1101</v>
      </c>
      <c r="F1058">
        <v>5419</v>
      </c>
      <c r="G1058" t="s">
        <v>18</v>
      </c>
      <c r="H1058">
        <v>27</v>
      </c>
      <c r="I1058" t="s">
        <v>19</v>
      </c>
      <c r="J1058">
        <v>1997</v>
      </c>
      <c r="K1058">
        <v>1997</v>
      </c>
      <c r="L1058" t="s">
        <v>20</v>
      </c>
      <c r="M1058">
        <v>74739</v>
      </c>
      <c r="N1058">
        <v>652</v>
      </c>
    </row>
    <row r="1059" spans="1:14" x14ac:dyDescent="0.35">
      <c r="A1059" t="s">
        <v>1113</v>
      </c>
      <c r="B1059" t="s">
        <v>15</v>
      </c>
      <c r="C1059" t="s">
        <v>16</v>
      </c>
      <c r="D1059">
        <v>84</v>
      </c>
      <c r="E1059" t="s">
        <v>1101</v>
      </c>
      <c r="F1059">
        <v>5419</v>
      </c>
      <c r="G1059" t="s">
        <v>18</v>
      </c>
      <c r="H1059">
        <v>27</v>
      </c>
      <c r="I1059" t="s">
        <v>19</v>
      </c>
      <c r="J1059">
        <v>1998</v>
      </c>
      <c r="K1059">
        <v>1998</v>
      </c>
      <c r="L1059" t="s">
        <v>20</v>
      </c>
      <c r="M1059">
        <v>72195</v>
      </c>
      <c r="N1059">
        <v>652</v>
      </c>
    </row>
    <row r="1060" spans="1:14" x14ac:dyDescent="0.35">
      <c r="A1060" t="s">
        <v>1114</v>
      </c>
      <c r="B1060" t="s">
        <v>15</v>
      </c>
      <c r="C1060" t="s">
        <v>16</v>
      </c>
      <c r="D1060">
        <v>84</v>
      </c>
      <c r="E1060" t="s">
        <v>1101</v>
      </c>
      <c r="F1060">
        <v>5419</v>
      </c>
      <c r="G1060" t="s">
        <v>18</v>
      </c>
      <c r="H1060">
        <v>27</v>
      </c>
      <c r="I1060" t="s">
        <v>19</v>
      </c>
      <c r="J1060">
        <v>1999</v>
      </c>
      <c r="K1060">
        <v>1999</v>
      </c>
      <c r="L1060" t="s">
        <v>20</v>
      </c>
      <c r="M1060">
        <v>73028</v>
      </c>
      <c r="N1060">
        <v>652</v>
      </c>
    </row>
    <row r="1061" spans="1:14" x14ac:dyDescent="0.35">
      <c r="A1061" t="s">
        <v>1115</v>
      </c>
      <c r="B1061" t="s">
        <v>15</v>
      </c>
      <c r="C1061" t="s">
        <v>16</v>
      </c>
      <c r="D1061">
        <v>84</v>
      </c>
      <c r="E1061" t="s">
        <v>1101</v>
      </c>
      <c r="F1061">
        <v>5419</v>
      </c>
      <c r="G1061" t="s">
        <v>18</v>
      </c>
      <c r="H1061">
        <v>27</v>
      </c>
      <c r="I1061" t="s">
        <v>19</v>
      </c>
      <c r="J1061">
        <v>2000</v>
      </c>
      <c r="K1061">
        <v>2000</v>
      </c>
      <c r="L1061" t="s">
        <v>20</v>
      </c>
      <c r="M1061">
        <v>70098</v>
      </c>
      <c r="N1061">
        <v>652</v>
      </c>
    </row>
    <row r="1062" spans="1:14" x14ac:dyDescent="0.35">
      <c r="A1062" t="s">
        <v>1116</v>
      </c>
      <c r="B1062" t="s">
        <v>15</v>
      </c>
      <c r="C1062" t="s">
        <v>16</v>
      </c>
      <c r="D1062">
        <v>84</v>
      </c>
      <c r="E1062" t="s">
        <v>1101</v>
      </c>
      <c r="F1062">
        <v>5419</v>
      </c>
      <c r="G1062" t="s">
        <v>18</v>
      </c>
      <c r="H1062">
        <v>27</v>
      </c>
      <c r="I1062" t="s">
        <v>19</v>
      </c>
      <c r="J1062">
        <v>2001</v>
      </c>
      <c r="K1062">
        <v>2001</v>
      </c>
      <c r="L1062" t="s">
        <v>20</v>
      </c>
      <c r="M1062">
        <v>71151</v>
      </c>
      <c r="N1062">
        <v>652</v>
      </c>
    </row>
    <row r="1063" spans="1:14" x14ac:dyDescent="0.35">
      <c r="A1063" t="s">
        <v>1117</v>
      </c>
      <c r="B1063" t="s">
        <v>15</v>
      </c>
      <c r="C1063" t="s">
        <v>16</v>
      </c>
      <c r="D1063">
        <v>84</v>
      </c>
      <c r="E1063" t="s">
        <v>1101</v>
      </c>
      <c r="F1063">
        <v>5419</v>
      </c>
      <c r="G1063" t="s">
        <v>18</v>
      </c>
      <c r="H1063">
        <v>27</v>
      </c>
      <c r="I1063" t="s">
        <v>19</v>
      </c>
      <c r="J1063">
        <v>2002</v>
      </c>
      <c r="K1063">
        <v>2002</v>
      </c>
      <c r="L1063" t="s">
        <v>20</v>
      </c>
      <c r="M1063">
        <v>73683</v>
      </c>
      <c r="N1063">
        <v>652</v>
      </c>
    </row>
    <row r="1064" spans="1:14" x14ac:dyDescent="0.35">
      <c r="A1064" t="s">
        <v>1118</v>
      </c>
      <c r="B1064" t="s">
        <v>15</v>
      </c>
      <c r="C1064" t="s">
        <v>16</v>
      </c>
      <c r="D1064">
        <v>84</v>
      </c>
      <c r="E1064" t="s">
        <v>1101</v>
      </c>
      <c r="F1064">
        <v>5419</v>
      </c>
      <c r="G1064" t="s">
        <v>18</v>
      </c>
      <c r="H1064">
        <v>27</v>
      </c>
      <c r="I1064" t="s">
        <v>19</v>
      </c>
      <c r="J1064">
        <v>2004</v>
      </c>
      <c r="K1064">
        <v>2004</v>
      </c>
      <c r="L1064" t="s">
        <v>20</v>
      </c>
      <c r="M1064">
        <v>71038</v>
      </c>
      <c r="N1064">
        <v>652</v>
      </c>
    </row>
    <row r="1065" spans="1:14" x14ac:dyDescent="0.35">
      <c r="A1065" t="s">
        <v>1119</v>
      </c>
      <c r="B1065" t="s">
        <v>15</v>
      </c>
      <c r="C1065" t="s">
        <v>16</v>
      </c>
      <c r="D1065">
        <v>84</v>
      </c>
      <c r="E1065" t="s">
        <v>1101</v>
      </c>
      <c r="F1065">
        <v>5419</v>
      </c>
      <c r="G1065" t="s">
        <v>18</v>
      </c>
      <c r="H1065">
        <v>27</v>
      </c>
      <c r="I1065" t="s">
        <v>19</v>
      </c>
      <c r="J1065">
        <v>2005</v>
      </c>
      <c r="K1065">
        <v>2005</v>
      </c>
      <c r="L1065" t="s">
        <v>20</v>
      </c>
      <c r="M1065">
        <v>74059</v>
      </c>
      <c r="N1065">
        <v>652</v>
      </c>
    </row>
    <row r="1066" spans="1:14" x14ac:dyDescent="0.35">
      <c r="A1066" t="s">
        <v>1120</v>
      </c>
      <c r="B1066" t="s">
        <v>15</v>
      </c>
      <c r="C1066" t="s">
        <v>16</v>
      </c>
      <c r="D1066">
        <v>84</v>
      </c>
      <c r="E1066" t="s">
        <v>1101</v>
      </c>
      <c r="F1066">
        <v>5419</v>
      </c>
      <c r="G1066" t="s">
        <v>18</v>
      </c>
      <c r="H1066">
        <v>27</v>
      </c>
      <c r="I1066" t="s">
        <v>19</v>
      </c>
      <c r="J1066">
        <v>2006</v>
      </c>
      <c r="K1066">
        <v>2006</v>
      </c>
      <c r="L1066" t="s">
        <v>20</v>
      </c>
      <c r="M1066">
        <v>77137</v>
      </c>
      <c r="N1066">
        <v>652</v>
      </c>
    </row>
    <row r="1067" spans="1:14" x14ac:dyDescent="0.35">
      <c r="A1067" t="s">
        <v>1121</v>
      </c>
      <c r="B1067" t="s">
        <v>15</v>
      </c>
      <c r="C1067" t="s">
        <v>16</v>
      </c>
      <c r="D1067">
        <v>84</v>
      </c>
      <c r="E1067" t="s">
        <v>1101</v>
      </c>
      <c r="F1067">
        <v>5419</v>
      </c>
      <c r="G1067" t="s">
        <v>18</v>
      </c>
      <c r="H1067">
        <v>27</v>
      </c>
      <c r="I1067" t="s">
        <v>19</v>
      </c>
      <c r="J1067">
        <v>2007</v>
      </c>
      <c r="K1067">
        <v>2007</v>
      </c>
      <c r="L1067" t="s">
        <v>20</v>
      </c>
      <c r="M1067">
        <v>76337</v>
      </c>
      <c r="N1067">
        <v>652</v>
      </c>
    </row>
    <row r="1068" spans="1:14" x14ac:dyDescent="0.35">
      <c r="A1068" t="s">
        <v>1122</v>
      </c>
      <c r="B1068" t="s">
        <v>15</v>
      </c>
      <c r="C1068" t="s">
        <v>16</v>
      </c>
      <c r="D1068">
        <v>84</v>
      </c>
      <c r="E1068" t="s">
        <v>1101</v>
      </c>
      <c r="F1068">
        <v>5419</v>
      </c>
      <c r="G1068" t="s">
        <v>18</v>
      </c>
      <c r="H1068">
        <v>27</v>
      </c>
      <c r="I1068" t="s">
        <v>19</v>
      </c>
      <c r="J1068">
        <v>2008</v>
      </c>
      <c r="K1068">
        <v>2008</v>
      </c>
      <c r="L1068" t="s">
        <v>20</v>
      </c>
      <c r="M1068">
        <v>73731</v>
      </c>
      <c r="N1068">
        <v>652</v>
      </c>
    </row>
    <row r="1069" spans="1:14" x14ac:dyDescent="0.35">
      <c r="A1069" t="s">
        <v>1123</v>
      </c>
      <c r="B1069" t="s">
        <v>15</v>
      </c>
      <c r="C1069" t="s">
        <v>16</v>
      </c>
      <c r="D1069">
        <v>84</v>
      </c>
      <c r="E1069" t="s">
        <v>1101</v>
      </c>
      <c r="F1069">
        <v>5419</v>
      </c>
      <c r="G1069" t="s">
        <v>18</v>
      </c>
      <c r="H1069">
        <v>27</v>
      </c>
      <c r="I1069" t="s">
        <v>19</v>
      </c>
      <c r="J1069">
        <v>2009</v>
      </c>
      <c r="K1069">
        <v>2009</v>
      </c>
      <c r="L1069" t="s">
        <v>20</v>
      </c>
      <c r="M1069">
        <v>76682</v>
      </c>
      <c r="N1069">
        <v>652</v>
      </c>
    </row>
    <row r="1070" spans="1:14" x14ac:dyDescent="0.35">
      <c r="A1070" t="s">
        <v>1124</v>
      </c>
      <c r="B1070" t="s">
        <v>15</v>
      </c>
      <c r="C1070" t="s">
        <v>16</v>
      </c>
      <c r="D1070">
        <v>84</v>
      </c>
      <c r="E1070" t="s">
        <v>1101</v>
      </c>
      <c r="F1070">
        <v>5419</v>
      </c>
      <c r="G1070" t="s">
        <v>18</v>
      </c>
      <c r="H1070">
        <v>27</v>
      </c>
      <c r="I1070" t="s">
        <v>19</v>
      </c>
      <c r="J1070">
        <v>2010</v>
      </c>
      <c r="K1070">
        <v>2010</v>
      </c>
      <c r="L1070" t="s">
        <v>20</v>
      </c>
      <c r="M1070">
        <v>69283</v>
      </c>
      <c r="N1070">
        <v>652</v>
      </c>
    </row>
    <row r="1071" spans="1:14" x14ac:dyDescent="0.35">
      <c r="A1071" t="s">
        <v>1125</v>
      </c>
      <c r="B1071" t="s">
        <v>15</v>
      </c>
      <c r="C1071" t="s">
        <v>16</v>
      </c>
      <c r="D1071">
        <v>84</v>
      </c>
      <c r="E1071" t="s">
        <v>1101</v>
      </c>
      <c r="F1071">
        <v>5419</v>
      </c>
      <c r="G1071" t="s">
        <v>18</v>
      </c>
      <c r="H1071">
        <v>27</v>
      </c>
      <c r="I1071" t="s">
        <v>19</v>
      </c>
      <c r="J1071">
        <v>2011</v>
      </c>
      <c r="K1071">
        <v>2011</v>
      </c>
      <c r="L1071" t="s">
        <v>20</v>
      </c>
      <c r="M1071">
        <v>81086</v>
      </c>
      <c r="N1071">
        <v>652</v>
      </c>
    </row>
    <row r="1072" spans="1:14" x14ac:dyDescent="0.35">
      <c r="A1072" t="s">
        <v>1126</v>
      </c>
      <c r="B1072" t="s">
        <v>15</v>
      </c>
      <c r="C1072" t="s">
        <v>16</v>
      </c>
      <c r="D1072">
        <v>84</v>
      </c>
      <c r="E1072" t="s">
        <v>1101</v>
      </c>
      <c r="F1072">
        <v>5419</v>
      </c>
      <c r="G1072" t="s">
        <v>18</v>
      </c>
      <c r="H1072">
        <v>27</v>
      </c>
      <c r="I1072" t="s">
        <v>19</v>
      </c>
      <c r="J1072">
        <v>2012</v>
      </c>
      <c r="K1072">
        <v>2012</v>
      </c>
      <c r="L1072" t="s">
        <v>20</v>
      </c>
      <c r="M1072">
        <v>74926</v>
      </c>
      <c r="N1072">
        <v>652</v>
      </c>
    </row>
    <row r="1073" spans="1:14" x14ac:dyDescent="0.35">
      <c r="A1073" t="s">
        <v>1127</v>
      </c>
      <c r="B1073" t="s">
        <v>15</v>
      </c>
      <c r="C1073" t="s">
        <v>16</v>
      </c>
      <c r="D1073">
        <v>84</v>
      </c>
      <c r="E1073" t="s">
        <v>1101</v>
      </c>
      <c r="F1073">
        <v>5419</v>
      </c>
      <c r="G1073" t="s">
        <v>18</v>
      </c>
      <c r="H1073">
        <v>27</v>
      </c>
      <c r="I1073" t="s">
        <v>19</v>
      </c>
      <c r="J1073">
        <v>2013</v>
      </c>
      <c r="K1073">
        <v>2013</v>
      </c>
      <c r="L1073" t="s">
        <v>20</v>
      </c>
      <c r="M1073">
        <v>83964</v>
      </c>
      <c r="N1073">
        <v>652</v>
      </c>
    </row>
    <row r="1074" spans="1:14" x14ac:dyDescent="0.35">
      <c r="A1074" t="s">
        <v>1128</v>
      </c>
      <c r="B1074" t="s">
        <v>15</v>
      </c>
      <c r="C1074" t="s">
        <v>16</v>
      </c>
      <c r="D1074">
        <v>84</v>
      </c>
      <c r="E1074" t="s">
        <v>1101</v>
      </c>
      <c r="F1074">
        <v>5419</v>
      </c>
      <c r="G1074" t="s">
        <v>18</v>
      </c>
      <c r="H1074">
        <v>27</v>
      </c>
      <c r="I1074" t="s">
        <v>19</v>
      </c>
      <c r="J1074">
        <v>2014</v>
      </c>
      <c r="K1074">
        <v>2014</v>
      </c>
      <c r="L1074" t="s">
        <v>20</v>
      </c>
      <c r="M1074">
        <v>84659</v>
      </c>
      <c r="N1074">
        <v>652</v>
      </c>
    </row>
    <row r="1075" spans="1:14" x14ac:dyDescent="0.35">
      <c r="A1075" t="s">
        <v>1129</v>
      </c>
      <c r="B1075" t="s">
        <v>15</v>
      </c>
      <c r="C1075" t="s">
        <v>16</v>
      </c>
      <c r="D1075">
        <v>84</v>
      </c>
      <c r="E1075" t="s">
        <v>1101</v>
      </c>
      <c r="F1075">
        <v>5419</v>
      </c>
      <c r="G1075" t="s">
        <v>18</v>
      </c>
      <c r="H1075">
        <v>27</v>
      </c>
      <c r="I1075" t="s">
        <v>19</v>
      </c>
      <c r="J1075">
        <v>2015</v>
      </c>
      <c r="K1075">
        <v>2015</v>
      </c>
      <c r="L1075" t="s">
        <v>20</v>
      </c>
      <c r="M1075">
        <v>77093</v>
      </c>
      <c r="N1075">
        <v>652</v>
      </c>
    </row>
    <row r="1076" spans="1:14" x14ac:dyDescent="0.35">
      <c r="A1076" t="s">
        <v>1130</v>
      </c>
      <c r="B1076" t="s">
        <v>15</v>
      </c>
      <c r="C1076" t="s">
        <v>16</v>
      </c>
      <c r="D1076">
        <v>84</v>
      </c>
      <c r="E1076" t="s">
        <v>1101</v>
      </c>
      <c r="F1076">
        <v>5419</v>
      </c>
      <c r="G1076" t="s">
        <v>18</v>
      </c>
      <c r="H1076">
        <v>27</v>
      </c>
      <c r="I1076" t="s">
        <v>19</v>
      </c>
      <c r="J1076">
        <v>2016</v>
      </c>
      <c r="K1076">
        <v>2016</v>
      </c>
      <c r="L1076" t="s">
        <v>20</v>
      </c>
      <c r="M1076">
        <v>77299</v>
      </c>
      <c r="N1076">
        <v>652</v>
      </c>
    </row>
    <row r="1077" spans="1:14" x14ac:dyDescent="0.35">
      <c r="A1077" t="s">
        <v>1131</v>
      </c>
      <c r="B1077" t="s">
        <v>15</v>
      </c>
      <c r="C1077" t="s">
        <v>16</v>
      </c>
      <c r="D1077">
        <v>89</v>
      </c>
      <c r="E1077" t="s">
        <v>1132</v>
      </c>
      <c r="F1077">
        <v>5419</v>
      </c>
      <c r="G1077" t="s">
        <v>18</v>
      </c>
      <c r="H1077">
        <v>27</v>
      </c>
      <c r="I1077" t="s">
        <v>19</v>
      </c>
      <c r="J1077">
        <v>1985</v>
      </c>
      <c r="K1077">
        <v>1985</v>
      </c>
      <c r="L1077" t="s">
        <v>20</v>
      </c>
      <c r="M1077">
        <v>26374</v>
      </c>
      <c r="N1077">
        <v>1996</v>
      </c>
    </row>
    <row r="1078" spans="1:14" x14ac:dyDescent="0.35">
      <c r="A1078" t="s">
        <v>1133</v>
      </c>
      <c r="B1078" t="s">
        <v>15</v>
      </c>
      <c r="C1078" t="s">
        <v>16</v>
      </c>
      <c r="D1078">
        <v>89</v>
      </c>
      <c r="E1078" t="s">
        <v>1132</v>
      </c>
      <c r="F1078">
        <v>5419</v>
      </c>
      <c r="G1078" t="s">
        <v>18</v>
      </c>
      <c r="H1078">
        <v>27</v>
      </c>
      <c r="I1078" t="s">
        <v>19</v>
      </c>
      <c r="J1078">
        <v>1986</v>
      </c>
      <c r="K1078">
        <v>1986</v>
      </c>
      <c r="L1078" t="s">
        <v>20</v>
      </c>
      <c r="M1078">
        <v>33402</v>
      </c>
      <c r="N1078">
        <v>1996</v>
      </c>
    </row>
    <row r="1079" spans="1:14" x14ac:dyDescent="0.35">
      <c r="A1079" t="s">
        <v>1134</v>
      </c>
      <c r="B1079" t="s">
        <v>15</v>
      </c>
      <c r="C1079" t="s">
        <v>16</v>
      </c>
      <c r="D1079">
        <v>89</v>
      </c>
      <c r="E1079" t="s">
        <v>1132</v>
      </c>
      <c r="F1079">
        <v>5419</v>
      </c>
      <c r="G1079" t="s">
        <v>18</v>
      </c>
      <c r="H1079">
        <v>27</v>
      </c>
      <c r="I1079" t="s">
        <v>19</v>
      </c>
      <c r="J1079">
        <v>1987</v>
      </c>
      <c r="K1079">
        <v>1987</v>
      </c>
      <c r="L1079" t="s">
        <v>20</v>
      </c>
      <c r="M1079">
        <v>25283</v>
      </c>
      <c r="N1079">
        <v>1996</v>
      </c>
    </row>
    <row r="1080" spans="1:14" x14ac:dyDescent="0.35">
      <c r="A1080" t="s">
        <v>1135</v>
      </c>
      <c r="B1080" t="s">
        <v>15</v>
      </c>
      <c r="C1080" t="s">
        <v>16</v>
      </c>
      <c r="D1080">
        <v>89</v>
      </c>
      <c r="E1080" t="s">
        <v>1132</v>
      </c>
      <c r="F1080">
        <v>5419</v>
      </c>
      <c r="G1080" t="s">
        <v>18</v>
      </c>
      <c r="H1080">
        <v>27</v>
      </c>
      <c r="I1080" t="s">
        <v>19</v>
      </c>
      <c r="J1080">
        <v>1989</v>
      </c>
      <c r="K1080">
        <v>1989</v>
      </c>
      <c r="L1080" t="s">
        <v>20</v>
      </c>
      <c r="M1080">
        <v>29693</v>
      </c>
      <c r="N1080">
        <v>1996</v>
      </c>
    </row>
    <row r="1081" spans="1:14" x14ac:dyDescent="0.35">
      <c r="A1081" t="s">
        <v>1136</v>
      </c>
      <c r="B1081" t="s">
        <v>15</v>
      </c>
      <c r="C1081" t="s">
        <v>16</v>
      </c>
      <c r="D1081">
        <v>89</v>
      </c>
      <c r="E1081" t="s">
        <v>1132</v>
      </c>
      <c r="F1081">
        <v>5419</v>
      </c>
      <c r="G1081" t="s">
        <v>18</v>
      </c>
      <c r="H1081">
        <v>27</v>
      </c>
      <c r="I1081" t="s">
        <v>19</v>
      </c>
      <c r="J1081">
        <v>1990</v>
      </c>
      <c r="K1081">
        <v>1990</v>
      </c>
      <c r="L1081" t="s">
        <v>20</v>
      </c>
      <c r="M1081">
        <v>31111</v>
      </c>
      <c r="N1081">
        <v>1996</v>
      </c>
    </row>
    <row r="1082" spans="1:14" x14ac:dyDescent="0.35">
      <c r="A1082" t="s">
        <v>1137</v>
      </c>
      <c r="B1082" t="s">
        <v>15</v>
      </c>
      <c r="C1082" t="s">
        <v>16</v>
      </c>
      <c r="D1082">
        <v>89</v>
      </c>
      <c r="E1082" t="s">
        <v>1132</v>
      </c>
      <c r="F1082">
        <v>5419</v>
      </c>
      <c r="G1082" t="s">
        <v>18</v>
      </c>
      <c r="H1082">
        <v>27</v>
      </c>
      <c r="I1082" t="s">
        <v>19</v>
      </c>
      <c r="J1082">
        <v>1991</v>
      </c>
      <c r="K1082">
        <v>1991</v>
      </c>
      <c r="L1082" t="s">
        <v>20</v>
      </c>
      <c r="M1082">
        <v>28745</v>
      </c>
      <c r="N1082">
        <v>1996</v>
      </c>
    </row>
    <row r="1083" spans="1:14" x14ac:dyDescent="0.35">
      <c r="A1083" t="s">
        <v>1138</v>
      </c>
      <c r="B1083" t="s">
        <v>15</v>
      </c>
      <c r="C1083" t="s">
        <v>16</v>
      </c>
      <c r="D1083">
        <v>89</v>
      </c>
      <c r="E1083" t="s">
        <v>1132</v>
      </c>
      <c r="F1083">
        <v>5419</v>
      </c>
      <c r="G1083" t="s">
        <v>18</v>
      </c>
      <c r="H1083">
        <v>27</v>
      </c>
      <c r="I1083" t="s">
        <v>19</v>
      </c>
      <c r="J1083">
        <v>1992</v>
      </c>
      <c r="K1083">
        <v>1992</v>
      </c>
      <c r="L1083" t="s">
        <v>20</v>
      </c>
      <c r="M1083">
        <v>26021</v>
      </c>
      <c r="N1083">
        <v>1996</v>
      </c>
    </row>
    <row r="1084" spans="1:14" x14ac:dyDescent="0.35">
      <c r="A1084" t="s">
        <v>1139</v>
      </c>
      <c r="B1084" t="s">
        <v>15</v>
      </c>
      <c r="C1084" t="s">
        <v>16</v>
      </c>
      <c r="D1084">
        <v>89</v>
      </c>
      <c r="E1084" t="s">
        <v>1132</v>
      </c>
      <c r="F1084">
        <v>5419</v>
      </c>
      <c r="G1084" t="s">
        <v>18</v>
      </c>
      <c r="H1084">
        <v>27</v>
      </c>
      <c r="I1084" t="s">
        <v>19</v>
      </c>
      <c r="J1084">
        <v>1993</v>
      </c>
      <c r="K1084">
        <v>1993</v>
      </c>
      <c r="L1084" t="s">
        <v>20</v>
      </c>
      <c r="M1084">
        <v>27338</v>
      </c>
      <c r="N1084">
        <v>1996</v>
      </c>
    </row>
    <row r="1085" spans="1:14" x14ac:dyDescent="0.35">
      <c r="A1085" t="s">
        <v>1140</v>
      </c>
      <c r="B1085" t="s">
        <v>15</v>
      </c>
      <c r="C1085" t="s">
        <v>16</v>
      </c>
      <c r="D1085">
        <v>89</v>
      </c>
      <c r="E1085" t="s">
        <v>1132</v>
      </c>
      <c r="F1085">
        <v>5419</v>
      </c>
      <c r="G1085" t="s">
        <v>18</v>
      </c>
      <c r="H1085">
        <v>27</v>
      </c>
      <c r="I1085" t="s">
        <v>19</v>
      </c>
      <c r="J1085">
        <v>1994</v>
      </c>
      <c r="K1085">
        <v>1994</v>
      </c>
      <c r="L1085" t="s">
        <v>20</v>
      </c>
      <c r="M1085">
        <v>30022</v>
      </c>
      <c r="N1085">
        <v>1996</v>
      </c>
    </row>
    <row r="1086" spans="1:14" x14ac:dyDescent="0.35">
      <c r="A1086" t="s">
        <v>1141</v>
      </c>
      <c r="B1086" t="s">
        <v>15</v>
      </c>
      <c r="C1086" t="s">
        <v>16</v>
      </c>
      <c r="D1086">
        <v>89</v>
      </c>
      <c r="E1086" t="s">
        <v>1132</v>
      </c>
      <c r="F1086">
        <v>5419</v>
      </c>
      <c r="G1086" t="s">
        <v>18</v>
      </c>
      <c r="H1086">
        <v>27</v>
      </c>
      <c r="I1086" t="s">
        <v>19</v>
      </c>
      <c r="J1086">
        <v>1995</v>
      </c>
      <c r="K1086">
        <v>1995</v>
      </c>
      <c r="L1086" t="s">
        <v>20</v>
      </c>
      <c r="M1086">
        <v>27877</v>
      </c>
      <c r="N1086">
        <v>1996</v>
      </c>
    </row>
    <row r="1087" spans="1:14" x14ac:dyDescent="0.35">
      <c r="A1087" t="s">
        <v>1142</v>
      </c>
      <c r="B1087" t="s">
        <v>15</v>
      </c>
      <c r="C1087" t="s">
        <v>16</v>
      </c>
      <c r="D1087">
        <v>89</v>
      </c>
      <c r="E1087" t="s">
        <v>1132</v>
      </c>
      <c r="F1087">
        <v>5419</v>
      </c>
      <c r="G1087" t="s">
        <v>18</v>
      </c>
      <c r="H1087">
        <v>27</v>
      </c>
      <c r="I1087" t="s">
        <v>19</v>
      </c>
      <c r="J1087">
        <v>1996</v>
      </c>
      <c r="K1087">
        <v>1996</v>
      </c>
      <c r="L1087" t="s">
        <v>20</v>
      </c>
      <c r="M1087">
        <v>18086</v>
      </c>
      <c r="N1087">
        <v>1996</v>
      </c>
    </row>
    <row r="1088" spans="1:14" x14ac:dyDescent="0.35">
      <c r="A1088" t="s">
        <v>1143</v>
      </c>
      <c r="B1088" t="s">
        <v>15</v>
      </c>
      <c r="C1088" t="s">
        <v>16</v>
      </c>
      <c r="D1088">
        <v>89</v>
      </c>
      <c r="E1088" t="s">
        <v>1132</v>
      </c>
      <c r="F1088">
        <v>5419</v>
      </c>
      <c r="G1088" t="s">
        <v>18</v>
      </c>
      <c r="H1088">
        <v>27</v>
      </c>
      <c r="I1088" t="s">
        <v>19</v>
      </c>
      <c r="J1088">
        <v>1997</v>
      </c>
      <c r="K1088">
        <v>1997</v>
      </c>
      <c r="L1088" t="s">
        <v>20</v>
      </c>
      <c r="M1088">
        <v>18548</v>
      </c>
      <c r="N1088">
        <v>1996</v>
      </c>
    </row>
    <row r="1089" spans="1:14" x14ac:dyDescent="0.35">
      <c r="A1089" t="s">
        <v>1144</v>
      </c>
      <c r="B1089" t="s">
        <v>15</v>
      </c>
      <c r="C1089" t="s">
        <v>16</v>
      </c>
      <c r="D1089">
        <v>89</v>
      </c>
      <c r="E1089" t="s">
        <v>1132</v>
      </c>
      <c r="F1089">
        <v>5419</v>
      </c>
      <c r="G1089" t="s">
        <v>18</v>
      </c>
      <c r="H1089">
        <v>27</v>
      </c>
      <c r="I1089" t="s">
        <v>19</v>
      </c>
      <c r="J1089">
        <v>1998</v>
      </c>
      <c r="K1089">
        <v>1998</v>
      </c>
      <c r="L1089" t="s">
        <v>20</v>
      </c>
      <c r="M1089">
        <v>22581</v>
      </c>
      <c r="N1089">
        <v>1996</v>
      </c>
    </row>
    <row r="1090" spans="1:14" x14ac:dyDescent="0.35">
      <c r="A1090" t="s">
        <v>1145</v>
      </c>
      <c r="B1090" t="s">
        <v>15</v>
      </c>
      <c r="C1090" t="s">
        <v>16</v>
      </c>
      <c r="D1090">
        <v>89</v>
      </c>
      <c r="E1090" t="s">
        <v>1132</v>
      </c>
      <c r="F1090">
        <v>5419</v>
      </c>
      <c r="G1090" t="s">
        <v>18</v>
      </c>
      <c r="H1090">
        <v>27</v>
      </c>
      <c r="I1090" t="s">
        <v>19</v>
      </c>
      <c r="J1090">
        <v>1999</v>
      </c>
      <c r="K1090">
        <v>1999</v>
      </c>
      <c r="L1090" t="s">
        <v>20</v>
      </c>
      <c r="M1090">
        <v>32924</v>
      </c>
      <c r="N1090">
        <v>1996</v>
      </c>
    </row>
    <row r="1091" spans="1:14" x14ac:dyDescent="0.35">
      <c r="A1091" t="s">
        <v>1146</v>
      </c>
      <c r="B1091" t="s">
        <v>15</v>
      </c>
      <c r="C1091" t="s">
        <v>16</v>
      </c>
      <c r="D1091">
        <v>89</v>
      </c>
      <c r="E1091" t="s">
        <v>1132</v>
      </c>
      <c r="F1091">
        <v>5419</v>
      </c>
      <c r="G1091" t="s">
        <v>18</v>
      </c>
      <c r="H1091">
        <v>27</v>
      </c>
      <c r="I1091" t="s">
        <v>19</v>
      </c>
      <c r="J1091">
        <v>2000</v>
      </c>
      <c r="K1091">
        <v>2000</v>
      </c>
      <c r="L1091" t="s">
        <v>20</v>
      </c>
      <c r="M1091">
        <v>30764</v>
      </c>
      <c r="N1091">
        <v>1996</v>
      </c>
    </row>
    <row r="1092" spans="1:14" x14ac:dyDescent="0.35">
      <c r="A1092" t="s">
        <v>1147</v>
      </c>
      <c r="B1092" t="s">
        <v>15</v>
      </c>
      <c r="C1092" t="s">
        <v>16</v>
      </c>
      <c r="D1092">
        <v>89</v>
      </c>
      <c r="E1092" t="s">
        <v>1132</v>
      </c>
      <c r="F1092">
        <v>5419</v>
      </c>
      <c r="G1092" t="s">
        <v>18</v>
      </c>
      <c r="H1092">
        <v>27</v>
      </c>
      <c r="I1092" t="s">
        <v>19</v>
      </c>
      <c r="J1092">
        <v>2001</v>
      </c>
      <c r="K1092">
        <v>2001</v>
      </c>
      <c r="L1092" t="s">
        <v>20</v>
      </c>
      <c r="M1092">
        <v>19229</v>
      </c>
      <c r="N1092">
        <v>1996</v>
      </c>
    </row>
    <row r="1093" spans="1:14" x14ac:dyDescent="0.35">
      <c r="A1093" t="s">
        <v>1148</v>
      </c>
      <c r="B1093" t="s">
        <v>15</v>
      </c>
      <c r="C1093" t="s">
        <v>16</v>
      </c>
      <c r="D1093">
        <v>89</v>
      </c>
      <c r="E1093" t="s">
        <v>1132</v>
      </c>
      <c r="F1093">
        <v>5419</v>
      </c>
      <c r="G1093" t="s">
        <v>18</v>
      </c>
      <c r="H1093">
        <v>27</v>
      </c>
      <c r="I1093" t="s">
        <v>19</v>
      </c>
      <c r="J1093">
        <v>2002</v>
      </c>
      <c r="K1093">
        <v>2002</v>
      </c>
      <c r="L1093" t="s">
        <v>20</v>
      </c>
      <c r="M1093">
        <v>11989</v>
      </c>
      <c r="N1093">
        <v>1996</v>
      </c>
    </row>
    <row r="1094" spans="1:14" x14ac:dyDescent="0.35">
      <c r="A1094" t="s">
        <v>1149</v>
      </c>
      <c r="B1094" t="s">
        <v>15</v>
      </c>
      <c r="C1094" t="s">
        <v>16</v>
      </c>
      <c r="D1094">
        <v>89</v>
      </c>
      <c r="E1094" t="s">
        <v>1132</v>
      </c>
      <c r="F1094">
        <v>5419</v>
      </c>
      <c r="G1094" t="s">
        <v>18</v>
      </c>
      <c r="H1094">
        <v>27</v>
      </c>
      <c r="I1094" t="s">
        <v>19</v>
      </c>
      <c r="J1094">
        <v>2004</v>
      </c>
      <c r="K1094">
        <v>2004</v>
      </c>
      <c r="L1094" t="s">
        <v>20</v>
      </c>
      <c r="M1094">
        <v>26236</v>
      </c>
      <c r="N1094">
        <v>1996</v>
      </c>
    </row>
    <row r="1095" spans="1:14" x14ac:dyDescent="0.35">
      <c r="A1095" t="s">
        <v>1150</v>
      </c>
      <c r="B1095" t="s">
        <v>15</v>
      </c>
      <c r="C1095" t="s">
        <v>16</v>
      </c>
      <c r="D1095">
        <v>89</v>
      </c>
      <c r="E1095" t="s">
        <v>1132</v>
      </c>
      <c r="F1095">
        <v>5419</v>
      </c>
      <c r="G1095" t="s">
        <v>18</v>
      </c>
      <c r="H1095">
        <v>27</v>
      </c>
      <c r="I1095" t="s">
        <v>19</v>
      </c>
      <c r="J1095">
        <v>2005</v>
      </c>
      <c r="K1095">
        <v>2005</v>
      </c>
      <c r="L1095" t="s">
        <v>20</v>
      </c>
      <c r="M1095">
        <v>27463</v>
      </c>
      <c r="N1095">
        <v>1996</v>
      </c>
    </row>
    <row r="1096" spans="1:14" x14ac:dyDescent="0.35">
      <c r="A1096" t="s">
        <v>1151</v>
      </c>
      <c r="B1096" t="s">
        <v>15</v>
      </c>
      <c r="C1096" t="s">
        <v>16</v>
      </c>
      <c r="D1096">
        <v>89</v>
      </c>
      <c r="E1096" t="s">
        <v>1132</v>
      </c>
      <c r="F1096">
        <v>5419</v>
      </c>
      <c r="G1096" t="s">
        <v>18</v>
      </c>
      <c r="H1096">
        <v>27</v>
      </c>
      <c r="I1096" t="s">
        <v>19</v>
      </c>
      <c r="J1096">
        <v>2006</v>
      </c>
      <c r="K1096">
        <v>2006</v>
      </c>
      <c r="L1096" t="s">
        <v>20</v>
      </c>
      <c r="M1096">
        <v>24662</v>
      </c>
      <c r="N1096">
        <v>1996</v>
      </c>
    </row>
    <row r="1097" spans="1:14" x14ac:dyDescent="0.35">
      <c r="A1097" t="s">
        <v>1152</v>
      </c>
      <c r="B1097" t="s">
        <v>15</v>
      </c>
      <c r="C1097" t="s">
        <v>16</v>
      </c>
      <c r="D1097">
        <v>89</v>
      </c>
      <c r="E1097" t="s">
        <v>1132</v>
      </c>
      <c r="F1097">
        <v>5419</v>
      </c>
      <c r="G1097" t="s">
        <v>18</v>
      </c>
      <c r="H1097">
        <v>27</v>
      </c>
      <c r="I1097" t="s">
        <v>19</v>
      </c>
      <c r="J1097">
        <v>2007</v>
      </c>
      <c r="K1097">
        <v>2007</v>
      </c>
      <c r="L1097" t="s">
        <v>20</v>
      </c>
      <c r="M1097">
        <v>28203</v>
      </c>
      <c r="N1097">
        <v>1996</v>
      </c>
    </row>
    <row r="1098" spans="1:14" x14ac:dyDescent="0.35">
      <c r="A1098" t="s">
        <v>1153</v>
      </c>
      <c r="B1098" t="s">
        <v>15</v>
      </c>
      <c r="C1098" t="s">
        <v>16</v>
      </c>
      <c r="D1098">
        <v>89</v>
      </c>
      <c r="E1098" t="s">
        <v>1132</v>
      </c>
      <c r="F1098">
        <v>5419</v>
      </c>
      <c r="G1098" t="s">
        <v>18</v>
      </c>
      <c r="H1098">
        <v>27</v>
      </c>
      <c r="I1098" t="s">
        <v>19</v>
      </c>
      <c r="J1098">
        <v>2008</v>
      </c>
      <c r="K1098">
        <v>2008</v>
      </c>
      <c r="L1098" t="s">
        <v>20</v>
      </c>
      <c r="M1098">
        <v>30625</v>
      </c>
      <c r="N1098">
        <v>1996</v>
      </c>
    </row>
    <row r="1099" spans="1:14" x14ac:dyDescent="0.35">
      <c r="A1099" t="s">
        <v>1154</v>
      </c>
      <c r="B1099" t="s">
        <v>15</v>
      </c>
      <c r="C1099" t="s">
        <v>16</v>
      </c>
      <c r="D1099">
        <v>89</v>
      </c>
      <c r="E1099" t="s">
        <v>1132</v>
      </c>
      <c r="F1099">
        <v>5419</v>
      </c>
      <c r="G1099" t="s">
        <v>18</v>
      </c>
      <c r="H1099">
        <v>27</v>
      </c>
      <c r="I1099" t="s">
        <v>19</v>
      </c>
      <c r="J1099">
        <v>2009</v>
      </c>
      <c r="K1099">
        <v>2009</v>
      </c>
      <c r="L1099" t="s">
        <v>20</v>
      </c>
      <c r="M1099">
        <v>28922</v>
      </c>
      <c r="N1099">
        <v>1996</v>
      </c>
    </row>
    <row r="1100" spans="1:14" x14ac:dyDescent="0.35">
      <c r="A1100" t="s">
        <v>1155</v>
      </c>
      <c r="B1100" t="s">
        <v>15</v>
      </c>
      <c r="C1100" t="s">
        <v>16</v>
      </c>
      <c r="D1100">
        <v>89</v>
      </c>
      <c r="E1100" t="s">
        <v>1132</v>
      </c>
      <c r="F1100">
        <v>5419</v>
      </c>
      <c r="G1100" t="s">
        <v>18</v>
      </c>
      <c r="H1100">
        <v>27</v>
      </c>
      <c r="I1100" t="s">
        <v>19</v>
      </c>
      <c r="J1100">
        <v>2010</v>
      </c>
      <c r="K1100">
        <v>2010</v>
      </c>
      <c r="L1100" t="s">
        <v>20</v>
      </c>
      <c r="M1100">
        <v>28258</v>
      </c>
      <c r="N1100">
        <v>1996</v>
      </c>
    </row>
    <row r="1101" spans="1:14" x14ac:dyDescent="0.35">
      <c r="A1101" t="s">
        <v>1156</v>
      </c>
      <c r="B1101" t="s">
        <v>15</v>
      </c>
      <c r="C1101" t="s">
        <v>16</v>
      </c>
      <c r="D1101">
        <v>89</v>
      </c>
      <c r="E1101" t="s">
        <v>1132</v>
      </c>
      <c r="F1101">
        <v>5419</v>
      </c>
      <c r="G1101" t="s">
        <v>18</v>
      </c>
      <c r="H1101">
        <v>27</v>
      </c>
      <c r="I1101" t="s">
        <v>19</v>
      </c>
      <c r="J1101">
        <v>2011</v>
      </c>
      <c r="K1101">
        <v>2011</v>
      </c>
      <c r="L1101" t="s">
        <v>20</v>
      </c>
      <c r="M1101">
        <v>28621</v>
      </c>
      <c r="N1101">
        <v>1996</v>
      </c>
    </row>
    <row r="1102" spans="1:14" x14ac:dyDescent="0.35">
      <c r="A1102" t="s">
        <v>1157</v>
      </c>
      <c r="B1102" t="s">
        <v>15</v>
      </c>
      <c r="C1102" t="s">
        <v>16</v>
      </c>
      <c r="D1102">
        <v>89</v>
      </c>
      <c r="E1102" t="s">
        <v>1132</v>
      </c>
      <c r="F1102">
        <v>5419</v>
      </c>
      <c r="G1102" t="s">
        <v>18</v>
      </c>
      <c r="H1102">
        <v>27</v>
      </c>
      <c r="I1102" t="s">
        <v>19</v>
      </c>
      <c r="J1102">
        <v>2012</v>
      </c>
      <c r="K1102">
        <v>2012</v>
      </c>
      <c r="L1102" t="s">
        <v>20</v>
      </c>
      <c r="M1102">
        <v>28928</v>
      </c>
      <c r="N1102">
        <v>1996</v>
      </c>
    </row>
    <row r="1103" spans="1:14" x14ac:dyDescent="0.35">
      <c r="A1103" t="s">
        <v>1158</v>
      </c>
      <c r="B1103" t="s">
        <v>15</v>
      </c>
      <c r="C1103" t="s">
        <v>16</v>
      </c>
      <c r="D1103">
        <v>89</v>
      </c>
      <c r="E1103" t="s">
        <v>1132</v>
      </c>
      <c r="F1103">
        <v>5419</v>
      </c>
      <c r="G1103" t="s">
        <v>18</v>
      </c>
      <c r="H1103">
        <v>27</v>
      </c>
      <c r="I1103" t="s">
        <v>19</v>
      </c>
      <c r="J1103">
        <v>2013</v>
      </c>
      <c r="K1103">
        <v>2013</v>
      </c>
      <c r="L1103" t="s">
        <v>20</v>
      </c>
      <c r="M1103">
        <v>29387</v>
      </c>
      <c r="N1103">
        <v>1996</v>
      </c>
    </row>
    <row r="1104" spans="1:14" x14ac:dyDescent="0.35">
      <c r="A1104" t="s">
        <v>1159</v>
      </c>
      <c r="B1104" t="s">
        <v>15</v>
      </c>
      <c r="C1104" t="s">
        <v>16</v>
      </c>
      <c r="D1104">
        <v>89</v>
      </c>
      <c r="E1104" t="s">
        <v>1132</v>
      </c>
      <c r="F1104">
        <v>5419</v>
      </c>
      <c r="G1104" t="s">
        <v>18</v>
      </c>
      <c r="H1104">
        <v>27</v>
      </c>
      <c r="I1104" t="s">
        <v>19</v>
      </c>
      <c r="J1104">
        <v>2014</v>
      </c>
      <c r="K1104">
        <v>2014</v>
      </c>
      <c r="L1104" t="s">
        <v>20</v>
      </c>
      <c r="M1104">
        <v>30061</v>
      </c>
      <c r="N1104">
        <v>1996</v>
      </c>
    </row>
    <row r="1105" spans="1:14" x14ac:dyDescent="0.35">
      <c r="A1105" t="s">
        <v>1160</v>
      </c>
      <c r="B1105" t="s">
        <v>15</v>
      </c>
      <c r="C1105" t="s">
        <v>16</v>
      </c>
      <c r="D1105">
        <v>89</v>
      </c>
      <c r="E1105" t="s">
        <v>1132</v>
      </c>
      <c r="F1105">
        <v>5419</v>
      </c>
      <c r="G1105" t="s">
        <v>18</v>
      </c>
      <c r="H1105">
        <v>27</v>
      </c>
      <c r="I1105" t="s">
        <v>19</v>
      </c>
      <c r="J1105">
        <v>2015</v>
      </c>
      <c r="K1105">
        <v>2015</v>
      </c>
      <c r="L1105" t="s">
        <v>20</v>
      </c>
      <c r="M1105">
        <v>29356</v>
      </c>
      <c r="N1105">
        <v>1996</v>
      </c>
    </row>
    <row r="1106" spans="1:14" x14ac:dyDescent="0.35">
      <c r="A1106" t="s">
        <v>1161</v>
      </c>
      <c r="B1106" t="s">
        <v>15</v>
      </c>
      <c r="C1106" t="s">
        <v>16</v>
      </c>
      <c r="D1106">
        <v>89</v>
      </c>
      <c r="E1106" t="s">
        <v>1132</v>
      </c>
      <c r="F1106">
        <v>5419</v>
      </c>
      <c r="G1106" t="s">
        <v>18</v>
      </c>
      <c r="H1106">
        <v>27</v>
      </c>
      <c r="I1106" t="s">
        <v>19</v>
      </c>
      <c r="J1106">
        <v>2016</v>
      </c>
      <c r="K1106">
        <v>2016</v>
      </c>
      <c r="L1106" t="s">
        <v>20</v>
      </c>
      <c r="M1106">
        <v>29807</v>
      </c>
      <c r="N1106">
        <v>1996</v>
      </c>
    </row>
    <row r="1107" spans="1:14" x14ac:dyDescent="0.35">
      <c r="A1107" t="s">
        <v>1162</v>
      </c>
      <c r="B1107" t="s">
        <v>15</v>
      </c>
      <c r="C1107" t="s">
        <v>16</v>
      </c>
      <c r="D1107">
        <v>90</v>
      </c>
      <c r="E1107" t="s">
        <v>1163</v>
      </c>
      <c r="F1107">
        <v>5419</v>
      </c>
      <c r="G1107" t="s">
        <v>18</v>
      </c>
      <c r="H1107">
        <v>27</v>
      </c>
      <c r="I1107" t="s">
        <v>19</v>
      </c>
      <c r="J1107">
        <v>1985</v>
      </c>
      <c r="K1107">
        <v>1985</v>
      </c>
      <c r="L1107" t="s">
        <v>20</v>
      </c>
      <c r="M1107">
        <v>17090</v>
      </c>
      <c r="N1107">
        <v>1651</v>
      </c>
    </row>
    <row r="1108" spans="1:14" x14ac:dyDescent="0.35">
      <c r="A1108" t="s">
        <v>1164</v>
      </c>
      <c r="B1108" t="s">
        <v>15</v>
      </c>
      <c r="C1108" t="s">
        <v>16</v>
      </c>
      <c r="D1108">
        <v>90</v>
      </c>
      <c r="E1108" t="s">
        <v>1163</v>
      </c>
      <c r="F1108">
        <v>5419</v>
      </c>
      <c r="G1108" t="s">
        <v>18</v>
      </c>
      <c r="H1108">
        <v>27</v>
      </c>
      <c r="I1108" t="s">
        <v>19</v>
      </c>
      <c r="J1108">
        <v>1986</v>
      </c>
      <c r="K1108">
        <v>1986</v>
      </c>
      <c r="L1108" t="s">
        <v>20</v>
      </c>
      <c r="M1108">
        <v>17094</v>
      </c>
      <c r="N1108">
        <v>1651</v>
      </c>
    </row>
    <row r="1109" spans="1:14" x14ac:dyDescent="0.35">
      <c r="A1109" t="s">
        <v>1165</v>
      </c>
      <c r="B1109" t="s">
        <v>15</v>
      </c>
      <c r="C1109" t="s">
        <v>16</v>
      </c>
      <c r="D1109">
        <v>90</v>
      </c>
      <c r="E1109" t="s">
        <v>1163</v>
      </c>
      <c r="F1109">
        <v>5419</v>
      </c>
      <c r="G1109" t="s">
        <v>18</v>
      </c>
      <c r="H1109">
        <v>27</v>
      </c>
      <c r="I1109" t="s">
        <v>19</v>
      </c>
      <c r="J1109">
        <v>1987</v>
      </c>
      <c r="K1109">
        <v>1987</v>
      </c>
      <c r="L1109" t="s">
        <v>20</v>
      </c>
      <c r="M1109">
        <v>17097</v>
      </c>
      <c r="N1109">
        <v>1651</v>
      </c>
    </row>
    <row r="1110" spans="1:14" x14ac:dyDescent="0.35">
      <c r="A1110" t="s">
        <v>1166</v>
      </c>
      <c r="B1110" t="s">
        <v>15</v>
      </c>
      <c r="C1110" t="s">
        <v>16</v>
      </c>
      <c r="D1110">
        <v>90</v>
      </c>
      <c r="E1110" t="s">
        <v>1163</v>
      </c>
      <c r="F1110">
        <v>5419</v>
      </c>
      <c r="G1110" t="s">
        <v>18</v>
      </c>
      <c r="H1110">
        <v>27</v>
      </c>
      <c r="I1110" t="s">
        <v>19</v>
      </c>
      <c r="J1110">
        <v>1989</v>
      </c>
      <c r="K1110">
        <v>1989</v>
      </c>
      <c r="L1110" t="s">
        <v>20</v>
      </c>
      <c r="M1110">
        <v>17103</v>
      </c>
      <c r="N1110">
        <v>1651</v>
      </c>
    </row>
    <row r="1111" spans="1:14" x14ac:dyDescent="0.35">
      <c r="A1111" t="s">
        <v>1167</v>
      </c>
      <c r="B1111" t="s">
        <v>15</v>
      </c>
      <c r="C1111" t="s">
        <v>16</v>
      </c>
      <c r="D1111">
        <v>90</v>
      </c>
      <c r="E1111" t="s">
        <v>1163</v>
      </c>
      <c r="F1111">
        <v>5419</v>
      </c>
      <c r="G1111" t="s">
        <v>18</v>
      </c>
      <c r="H1111">
        <v>27</v>
      </c>
      <c r="I1111" t="s">
        <v>19</v>
      </c>
      <c r="J1111">
        <v>1990</v>
      </c>
      <c r="K1111">
        <v>1990</v>
      </c>
      <c r="L1111" t="s">
        <v>20</v>
      </c>
      <c r="M1111">
        <v>17106</v>
      </c>
      <c r="N1111">
        <v>1651</v>
      </c>
    </row>
    <row r="1112" spans="1:14" x14ac:dyDescent="0.35">
      <c r="A1112" t="s">
        <v>1168</v>
      </c>
      <c r="B1112" t="s">
        <v>15</v>
      </c>
      <c r="C1112" t="s">
        <v>16</v>
      </c>
      <c r="D1112">
        <v>90</v>
      </c>
      <c r="E1112" t="s">
        <v>1163</v>
      </c>
      <c r="F1112">
        <v>5419</v>
      </c>
      <c r="G1112" t="s">
        <v>18</v>
      </c>
      <c r="H1112">
        <v>27</v>
      </c>
      <c r="I1112" t="s">
        <v>19</v>
      </c>
      <c r="J1112">
        <v>1991</v>
      </c>
      <c r="K1112">
        <v>1991</v>
      </c>
      <c r="L1112" t="s">
        <v>20</v>
      </c>
      <c r="M1112">
        <v>17110</v>
      </c>
      <c r="N1112">
        <v>1651</v>
      </c>
    </row>
    <row r="1113" spans="1:14" x14ac:dyDescent="0.35">
      <c r="A1113" t="s">
        <v>1169</v>
      </c>
      <c r="B1113" t="s">
        <v>15</v>
      </c>
      <c r="C1113" t="s">
        <v>16</v>
      </c>
      <c r="D1113">
        <v>90</v>
      </c>
      <c r="E1113" t="s">
        <v>1163</v>
      </c>
      <c r="F1113">
        <v>5419</v>
      </c>
      <c r="G1113" t="s">
        <v>18</v>
      </c>
      <c r="H1113">
        <v>27</v>
      </c>
      <c r="I1113" t="s">
        <v>19</v>
      </c>
      <c r="J1113">
        <v>1992</v>
      </c>
      <c r="K1113">
        <v>1992</v>
      </c>
      <c r="L1113" t="s">
        <v>20</v>
      </c>
      <c r="M1113">
        <v>17113</v>
      </c>
      <c r="N1113">
        <v>1651</v>
      </c>
    </row>
    <row r="1114" spans="1:14" x14ac:dyDescent="0.35">
      <c r="A1114" t="s">
        <v>1170</v>
      </c>
      <c r="B1114" t="s">
        <v>15</v>
      </c>
      <c r="C1114" t="s">
        <v>16</v>
      </c>
      <c r="D1114">
        <v>90</v>
      </c>
      <c r="E1114" t="s">
        <v>1163</v>
      </c>
      <c r="F1114">
        <v>5419</v>
      </c>
      <c r="G1114" t="s">
        <v>18</v>
      </c>
      <c r="H1114">
        <v>27</v>
      </c>
      <c r="I1114" t="s">
        <v>19</v>
      </c>
      <c r="J1114">
        <v>1993</v>
      </c>
      <c r="K1114">
        <v>1993</v>
      </c>
      <c r="L1114" t="s">
        <v>20</v>
      </c>
      <c r="M1114">
        <v>17116</v>
      </c>
      <c r="N1114">
        <v>1651</v>
      </c>
    </row>
    <row r="1115" spans="1:14" x14ac:dyDescent="0.35">
      <c r="A1115" t="s">
        <v>1171</v>
      </c>
      <c r="B1115" t="s">
        <v>15</v>
      </c>
      <c r="C1115" t="s">
        <v>16</v>
      </c>
      <c r="D1115">
        <v>90</v>
      </c>
      <c r="E1115" t="s">
        <v>1163</v>
      </c>
      <c r="F1115">
        <v>5419</v>
      </c>
      <c r="G1115" t="s">
        <v>18</v>
      </c>
      <c r="H1115">
        <v>27</v>
      </c>
      <c r="I1115" t="s">
        <v>19</v>
      </c>
      <c r="J1115">
        <v>1994</v>
      </c>
      <c r="K1115">
        <v>1994</v>
      </c>
      <c r="L1115" t="s">
        <v>20</v>
      </c>
      <c r="M1115">
        <v>17119</v>
      </c>
      <c r="N1115">
        <v>1651</v>
      </c>
    </row>
    <row r="1116" spans="1:14" x14ac:dyDescent="0.35">
      <c r="A1116" t="s">
        <v>1172</v>
      </c>
      <c r="B1116" t="s">
        <v>15</v>
      </c>
      <c r="C1116" t="s">
        <v>16</v>
      </c>
      <c r="D1116">
        <v>90</v>
      </c>
      <c r="E1116" t="s">
        <v>1163</v>
      </c>
      <c r="F1116">
        <v>5419</v>
      </c>
      <c r="G1116" t="s">
        <v>18</v>
      </c>
      <c r="H1116">
        <v>27</v>
      </c>
      <c r="I1116" t="s">
        <v>19</v>
      </c>
      <c r="J1116">
        <v>1995</v>
      </c>
      <c r="K1116">
        <v>1995</v>
      </c>
      <c r="L1116" t="s">
        <v>20</v>
      </c>
      <c r="M1116">
        <v>17122</v>
      </c>
      <c r="N1116">
        <v>1651</v>
      </c>
    </row>
    <row r="1117" spans="1:14" x14ac:dyDescent="0.35">
      <c r="A1117" t="s">
        <v>1173</v>
      </c>
      <c r="B1117" t="s">
        <v>15</v>
      </c>
      <c r="C1117" t="s">
        <v>16</v>
      </c>
      <c r="D1117">
        <v>90</v>
      </c>
      <c r="E1117" t="s">
        <v>1163</v>
      </c>
      <c r="F1117">
        <v>5419</v>
      </c>
      <c r="G1117" t="s">
        <v>18</v>
      </c>
      <c r="H1117">
        <v>27</v>
      </c>
      <c r="I1117" t="s">
        <v>19</v>
      </c>
      <c r="J1117">
        <v>1996</v>
      </c>
      <c r="K1117">
        <v>1996</v>
      </c>
      <c r="L1117" t="s">
        <v>20</v>
      </c>
      <c r="M1117">
        <v>17126</v>
      </c>
      <c r="N1117">
        <v>1651</v>
      </c>
    </row>
    <row r="1118" spans="1:14" x14ac:dyDescent="0.35">
      <c r="A1118" t="s">
        <v>1174</v>
      </c>
      <c r="B1118" t="s">
        <v>15</v>
      </c>
      <c r="C1118" t="s">
        <v>16</v>
      </c>
      <c r="D1118">
        <v>90</v>
      </c>
      <c r="E1118" t="s">
        <v>1163</v>
      </c>
      <c r="F1118">
        <v>5419</v>
      </c>
      <c r="G1118" t="s">
        <v>18</v>
      </c>
      <c r="H1118">
        <v>27</v>
      </c>
      <c r="I1118" t="s">
        <v>19</v>
      </c>
      <c r="J1118">
        <v>1997</v>
      </c>
      <c r="K1118">
        <v>1997</v>
      </c>
      <c r="L1118" t="s">
        <v>20</v>
      </c>
      <c r="M1118">
        <v>17129</v>
      </c>
      <c r="N1118">
        <v>1651</v>
      </c>
    </row>
    <row r="1119" spans="1:14" x14ac:dyDescent="0.35">
      <c r="A1119" t="s">
        <v>1175</v>
      </c>
      <c r="B1119" t="s">
        <v>15</v>
      </c>
      <c r="C1119" t="s">
        <v>16</v>
      </c>
      <c r="D1119">
        <v>90</v>
      </c>
      <c r="E1119" t="s">
        <v>1163</v>
      </c>
      <c r="F1119">
        <v>5419</v>
      </c>
      <c r="G1119" t="s">
        <v>18</v>
      </c>
      <c r="H1119">
        <v>27</v>
      </c>
      <c r="I1119" t="s">
        <v>19</v>
      </c>
      <c r="J1119">
        <v>1998</v>
      </c>
      <c r="K1119">
        <v>1998</v>
      </c>
      <c r="L1119" t="s">
        <v>20</v>
      </c>
      <c r="M1119">
        <v>17132</v>
      </c>
      <c r="N1119">
        <v>1651</v>
      </c>
    </row>
    <row r="1120" spans="1:14" x14ac:dyDescent="0.35">
      <c r="A1120" t="s">
        <v>1176</v>
      </c>
      <c r="B1120" t="s">
        <v>15</v>
      </c>
      <c r="C1120" t="s">
        <v>16</v>
      </c>
      <c r="D1120">
        <v>90</v>
      </c>
      <c r="E1120" t="s">
        <v>1163</v>
      </c>
      <c r="F1120">
        <v>5419</v>
      </c>
      <c r="G1120" t="s">
        <v>18</v>
      </c>
      <c r="H1120">
        <v>27</v>
      </c>
      <c r="I1120" t="s">
        <v>19</v>
      </c>
      <c r="J1120">
        <v>1999</v>
      </c>
      <c r="K1120">
        <v>1999</v>
      </c>
      <c r="L1120" t="s">
        <v>20</v>
      </c>
      <c r="M1120">
        <v>17135</v>
      </c>
      <c r="N1120">
        <v>1651</v>
      </c>
    </row>
    <row r="1121" spans="1:14" x14ac:dyDescent="0.35">
      <c r="A1121" t="s">
        <v>1177</v>
      </c>
      <c r="B1121" t="s">
        <v>15</v>
      </c>
      <c r="C1121" t="s">
        <v>16</v>
      </c>
      <c r="D1121">
        <v>90</v>
      </c>
      <c r="E1121" t="s">
        <v>1163</v>
      </c>
      <c r="F1121">
        <v>5419</v>
      </c>
      <c r="G1121" t="s">
        <v>18</v>
      </c>
      <c r="H1121">
        <v>27</v>
      </c>
      <c r="I1121" t="s">
        <v>19</v>
      </c>
      <c r="J1121">
        <v>2000</v>
      </c>
      <c r="K1121">
        <v>2000</v>
      </c>
      <c r="L1121" t="s">
        <v>20</v>
      </c>
      <c r="M1121">
        <v>17139</v>
      </c>
      <c r="N1121">
        <v>1651</v>
      </c>
    </row>
    <row r="1122" spans="1:14" x14ac:dyDescent="0.35">
      <c r="A1122" t="s">
        <v>1178</v>
      </c>
      <c r="B1122" t="s">
        <v>15</v>
      </c>
      <c r="C1122" t="s">
        <v>16</v>
      </c>
      <c r="D1122">
        <v>90</v>
      </c>
      <c r="E1122" t="s">
        <v>1163</v>
      </c>
      <c r="F1122">
        <v>5419</v>
      </c>
      <c r="G1122" t="s">
        <v>18</v>
      </c>
      <c r="H1122">
        <v>27</v>
      </c>
      <c r="I1122" t="s">
        <v>19</v>
      </c>
      <c r="J1122">
        <v>2001</v>
      </c>
      <c r="K1122">
        <v>2001</v>
      </c>
      <c r="L1122" t="s">
        <v>20</v>
      </c>
      <c r="M1122">
        <v>17194</v>
      </c>
      <c r="N1122">
        <v>1651</v>
      </c>
    </row>
    <row r="1123" spans="1:14" x14ac:dyDescent="0.35">
      <c r="A1123" t="s">
        <v>1179</v>
      </c>
      <c r="B1123" t="s">
        <v>15</v>
      </c>
      <c r="C1123" t="s">
        <v>16</v>
      </c>
      <c r="D1123">
        <v>90</v>
      </c>
      <c r="E1123" t="s">
        <v>1163</v>
      </c>
      <c r="F1123">
        <v>5419</v>
      </c>
      <c r="G1123" t="s">
        <v>18</v>
      </c>
      <c r="H1123">
        <v>27</v>
      </c>
      <c r="I1123" t="s">
        <v>19</v>
      </c>
      <c r="J1123">
        <v>2002</v>
      </c>
      <c r="K1123">
        <v>2002</v>
      </c>
      <c r="L1123" t="s">
        <v>20</v>
      </c>
      <c r="M1123">
        <v>17289</v>
      </c>
      <c r="N1123">
        <v>1651</v>
      </c>
    </row>
    <row r="1124" spans="1:14" x14ac:dyDescent="0.35">
      <c r="A1124" t="s">
        <v>1180</v>
      </c>
      <c r="B1124" t="s">
        <v>15</v>
      </c>
      <c r="C1124" t="s">
        <v>16</v>
      </c>
      <c r="D1124">
        <v>90</v>
      </c>
      <c r="E1124" t="s">
        <v>1163</v>
      </c>
      <c r="F1124">
        <v>5419</v>
      </c>
      <c r="G1124" t="s">
        <v>18</v>
      </c>
      <c r="H1124">
        <v>27</v>
      </c>
      <c r="I1124" t="s">
        <v>19</v>
      </c>
      <c r="J1124">
        <v>2004</v>
      </c>
      <c r="K1124">
        <v>2004</v>
      </c>
      <c r="L1124" t="s">
        <v>20</v>
      </c>
      <c r="M1124">
        <v>17479</v>
      </c>
      <c r="N1124">
        <v>1651</v>
      </c>
    </row>
    <row r="1125" spans="1:14" x14ac:dyDescent="0.35">
      <c r="A1125" t="s">
        <v>1181</v>
      </c>
      <c r="B1125" t="s">
        <v>15</v>
      </c>
      <c r="C1125" t="s">
        <v>16</v>
      </c>
      <c r="D1125">
        <v>90</v>
      </c>
      <c r="E1125" t="s">
        <v>1163</v>
      </c>
      <c r="F1125">
        <v>5419</v>
      </c>
      <c r="G1125" t="s">
        <v>18</v>
      </c>
      <c r="H1125">
        <v>27</v>
      </c>
      <c r="I1125" t="s">
        <v>19</v>
      </c>
      <c r="J1125">
        <v>2005</v>
      </c>
      <c r="K1125">
        <v>2005</v>
      </c>
      <c r="L1125" t="s">
        <v>20</v>
      </c>
      <c r="M1125">
        <v>17575</v>
      </c>
      <c r="N1125">
        <v>1651</v>
      </c>
    </row>
    <row r="1126" spans="1:14" x14ac:dyDescent="0.35">
      <c r="A1126" t="s">
        <v>1182</v>
      </c>
      <c r="B1126" t="s">
        <v>15</v>
      </c>
      <c r="C1126" t="s">
        <v>16</v>
      </c>
      <c r="D1126">
        <v>90</v>
      </c>
      <c r="E1126" t="s">
        <v>1163</v>
      </c>
      <c r="F1126">
        <v>5419</v>
      </c>
      <c r="G1126" t="s">
        <v>18</v>
      </c>
      <c r="H1126">
        <v>27</v>
      </c>
      <c r="I1126" t="s">
        <v>19</v>
      </c>
      <c r="J1126">
        <v>2006</v>
      </c>
      <c r="K1126">
        <v>2006</v>
      </c>
      <c r="L1126" t="s">
        <v>20</v>
      </c>
      <c r="M1126">
        <v>17672</v>
      </c>
      <c r="N1126">
        <v>1651</v>
      </c>
    </row>
    <row r="1127" spans="1:14" x14ac:dyDescent="0.35">
      <c r="A1127" t="s">
        <v>1183</v>
      </c>
      <c r="B1127" t="s">
        <v>15</v>
      </c>
      <c r="C1127" t="s">
        <v>16</v>
      </c>
      <c r="D1127">
        <v>90</v>
      </c>
      <c r="E1127" t="s">
        <v>1163</v>
      </c>
      <c r="F1127">
        <v>5419</v>
      </c>
      <c r="G1127" t="s">
        <v>18</v>
      </c>
      <c r="H1127">
        <v>27</v>
      </c>
      <c r="I1127" t="s">
        <v>19</v>
      </c>
      <c r="J1127">
        <v>2007</v>
      </c>
      <c r="K1127">
        <v>2007</v>
      </c>
      <c r="L1127" t="s">
        <v>20</v>
      </c>
      <c r="M1127">
        <v>17769</v>
      </c>
      <c r="N1127">
        <v>1651</v>
      </c>
    </row>
    <row r="1128" spans="1:14" x14ac:dyDescent="0.35">
      <c r="A1128" t="s">
        <v>1184</v>
      </c>
      <c r="B1128" t="s">
        <v>15</v>
      </c>
      <c r="C1128" t="s">
        <v>16</v>
      </c>
      <c r="D1128">
        <v>90</v>
      </c>
      <c r="E1128" t="s">
        <v>1163</v>
      </c>
      <c r="F1128">
        <v>5419</v>
      </c>
      <c r="G1128" t="s">
        <v>18</v>
      </c>
      <c r="H1128">
        <v>27</v>
      </c>
      <c r="I1128" t="s">
        <v>19</v>
      </c>
      <c r="J1128">
        <v>2008</v>
      </c>
      <c r="K1128">
        <v>2008</v>
      </c>
      <c r="L1128" t="s">
        <v>20</v>
      </c>
      <c r="M1128">
        <v>19308</v>
      </c>
      <c r="N1128">
        <v>1651</v>
      </c>
    </row>
    <row r="1129" spans="1:14" x14ac:dyDescent="0.35">
      <c r="A1129" t="s">
        <v>1185</v>
      </c>
      <c r="B1129" t="s">
        <v>15</v>
      </c>
      <c r="C1129" t="s">
        <v>16</v>
      </c>
      <c r="D1129">
        <v>90</v>
      </c>
      <c r="E1129" t="s">
        <v>1163</v>
      </c>
      <c r="F1129">
        <v>5419</v>
      </c>
      <c r="G1129" t="s">
        <v>18</v>
      </c>
      <c r="H1129">
        <v>27</v>
      </c>
      <c r="I1129" t="s">
        <v>19</v>
      </c>
      <c r="J1129">
        <v>2009</v>
      </c>
      <c r="K1129">
        <v>2009</v>
      </c>
      <c r="L1129" t="s">
        <v>20</v>
      </c>
      <c r="M1129">
        <v>16705</v>
      </c>
      <c r="N1129">
        <v>1651</v>
      </c>
    </row>
    <row r="1130" spans="1:14" x14ac:dyDescent="0.35">
      <c r="A1130" t="s">
        <v>1186</v>
      </c>
      <c r="B1130" t="s">
        <v>15</v>
      </c>
      <c r="C1130" t="s">
        <v>16</v>
      </c>
      <c r="D1130">
        <v>90</v>
      </c>
      <c r="E1130" t="s">
        <v>1163</v>
      </c>
      <c r="F1130">
        <v>5419</v>
      </c>
      <c r="G1130" t="s">
        <v>18</v>
      </c>
      <c r="H1130">
        <v>27</v>
      </c>
      <c r="I1130" t="s">
        <v>19</v>
      </c>
      <c r="J1130">
        <v>2010</v>
      </c>
      <c r="K1130">
        <v>2010</v>
      </c>
      <c r="L1130" t="s">
        <v>20</v>
      </c>
      <c r="M1130">
        <v>11008</v>
      </c>
      <c r="N1130">
        <v>1651</v>
      </c>
    </row>
    <row r="1131" spans="1:14" x14ac:dyDescent="0.35">
      <c r="A1131" t="s">
        <v>1187</v>
      </c>
      <c r="B1131" t="s">
        <v>15</v>
      </c>
      <c r="C1131" t="s">
        <v>16</v>
      </c>
      <c r="D1131">
        <v>90</v>
      </c>
      <c r="E1131" t="s">
        <v>1163</v>
      </c>
      <c r="F1131">
        <v>5419</v>
      </c>
      <c r="G1131" t="s">
        <v>18</v>
      </c>
      <c r="H1131">
        <v>27</v>
      </c>
      <c r="I1131" t="s">
        <v>19</v>
      </c>
      <c r="J1131">
        <v>2011</v>
      </c>
      <c r="K1131">
        <v>2011</v>
      </c>
      <c r="L1131" t="s">
        <v>20</v>
      </c>
      <c r="M1131">
        <v>11567</v>
      </c>
      <c r="N1131">
        <v>1651</v>
      </c>
    </row>
    <row r="1132" spans="1:14" x14ac:dyDescent="0.35">
      <c r="A1132" t="s">
        <v>1188</v>
      </c>
      <c r="B1132" t="s">
        <v>15</v>
      </c>
      <c r="C1132" t="s">
        <v>16</v>
      </c>
      <c r="D1132">
        <v>90</v>
      </c>
      <c r="E1132" t="s">
        <v>1163</v>
      </c>
      <c r="F1132">
        <v>5419</v>
      </c>
      <c r="G1132" t="s">
        <v>18</v>
      </c>
      <c r="H1132">
        <v>27</v>
      </c>
      <c r="I1132" t="s">
        <v>19</v>
      </c>
      <c r="J1132">
        <v>2012</v>
      </c>
      <c r="K1132">
        <v>2012</v>
      </c>
      <c r="L1132" t="s">
        <v>20</v>
      </c>
      <c r="M1132">
        <v>12000</v>
      </c>
      <c r="N1132">
        <v>1651</v>
      </c>
    </row>
    <row r="1133" spans="1:14" x14ac:dyDescent="0.35">
      <c r="A1133" t="s">
        <v>1189</v>
      </c>
      <c r="B1133" t="s">
        <v>15</v>
      </c>
      <c r="C1133" t="s">
        <v>16</v>
      </c>
      <c r="D1133">
        <v>90</v>
      </c>
      <c r="E1133" t="s">
        <v>1163</v>
      </c>
      <c r="F1133">
        <v>5419</v>
      </c>
      <c r="G1133" t="s">
        <v>18</v>
      </c>
      <c r="H1133">
        <v>27</v>
      </c>
      <c r="I1133" t="s">
        <v>19</v>
      </c>
      <c r="J1133">
        <v>2013</v>
      </c>
      <c r="K1133">
        <v>2013</v>
      </c>
      <c r="L1133" t="s">
        <v>20</v>
      </c>
      <c r="M1133">
        <v>12500</v>
      </c>
      <c r="N1133">
        <v>1651</v>
      </c>
    </row>
    <row r="1134" spans="1:14" x14ac:dyDescent="0.35">
      <c r="A1134" t="s">
        <v>1190</v>
      </c>
      <c r="B1134" t="s">
        <v>15</v>
      </c>
      <c r="C1134" t="s">
        <v>16</v>
      </c>
      <c r="D1134">
        <v>90</v>
      </c>
      <c r="E1134" t="s">
        <v>1163</v>
      </c>
      <c r="F1134">
        <v>5419</v>
      </c>
      <c r="G1134" t="s">
        <v>18</v>
      </c>
      <c r="H1134">
        <v>27</v>
      </c>
      <c r="I1134" t="s">
        <v>19</v>
      </c>
      <c r="J1134">
        <v>2014</v>
      </c>
      <c r="K1134">
        <v>2014</v>
      </c>
      <c r="L1134" t="s">
        <v>20</v>
      </c>
      <c r="M1134">
        <v>13016</v>
      </c>
      <c r="N1134">
        <v>1651</v>
      </c>
    </row>
    <row r="1135" spans="1:14" x14ac:dyDescent="0.35">
      <c r="A1135" t="s">
        <v>1191</v>
      </c>
      <c r="B1135" t="s">
        <v>15</v>
      </c>
      <c r="C1135" t="s">
        <v>16</v>
      </c>
      <c r="D1135">
        <v>90</v>
      </c>
      <c r="E1135" t="s">
        <v>1163</v>
      </c>
      <c r="F1135">
        <v>5419</v>
      </c>
      <c r="G1135" t="s">
        <v>18</v>
      </c>
      <c r="H1135">
        <v>27</v>
      </c>
      <c r="I1135" t="s">
        <v>19</v>
      </c>
      <c r="J1135">
        <v>2015</v>
      </c>
      <c r="K1135">
        <v>2015</v>
      </c>
      <c r="L1135" t="s">
        <v>20</v>
      </c>
      <c r="M1135">
        <v>12193</v>
      </c>
      <c r="N1135">
        <v>1651</v>
      </c>
    </row>
    <row r="1136" spans="1:14" x14ac:dyDescent="0.35">
      <c r="A1136" t="s">
        <v>1192</v>
      </c>
      <c r="B1136" t="s">
        <v>15</v>
      </c>
      <c r="C1136" t="s">
        <v>16</v>
      </c>
      <c r="D1136">
        <v>90</v>
      </c>
      <c r="E1136" t="s">
        <v>1163</v>
      </c>
      <c r="F1136">
        <v>5419</v>
      </c>
      <c r="G1136" t="s">
        <v>18</v>
      </c>
      <c r="H1136">
        <v>27</v>
      </c>
      <c r="I1136" t="s">
        <v>19</v>
      </c>
      <c r="J1136">
        <v>2016</v>
      </c>
      <c r="K1136">
        <v>2016</v>
      </c>
      <c r="L1136" t="s">
        <v>20</v>
      </c>
      <c r="M1136">
        <v>11769</v>
      </c>
      <c r="N1136">
        <v>1651</v>
      </c>
    </row>
    <row r="1137" spans="1:14" x14ac:dyDescent="0.35">
      <c r="A1137" t="s">
        <v>1193</v>
      </c>
      <c r="B1137" t="s">
        <v>15</v>
      </c>
      <c r="C1137" t="s">
        <v>16</v>
      </c>
      <c r="D1137">
        <v>175</v>
      </c>
      <c r="E1137" t="s">
        <v>1194</v>
      </c>
      <c r="F1137">
        <v>5419</v>
      </c>
      <c r="G1137" t="s">
        <v>18</v>
      </c>
      <c r="H1137">
        <v>27</v>
      </c>
      <c r="I1137" t="s">
        <v>19</v>
      </c>
      <c r="J1137">
        <v>1985</v>
      </c>
      <c r="K1137">
        <v>1985</v>
      </c>
      <c r="L1137" t="s">
        <v>20</v>
      </c>
      <c r="M1137">
        <v>17500</v>
      </c>
      <c r="N1137">
        <v>1577</v>
      </c>
    </row>
    <row r="1138" spans="1:14" x14ac:dyDescent="0.35">
      <c r="A1138" t="s">
        <v>1195</v>
      </c>
      <c r="B1138" t="s">
        <v>15</v>
      </c>
      <c r="C1138" t="s">
        <v>16</v>
      </c>
      <c r="D1138">
        <v>175</v>
      </c>
      <c r="E1138" t="s">
        <v>1194</v>
      </c>
      <c r="F1138">
        <v>5419</v>
      </c>
      <c r="G1138" t="s">
        <v>18</v>
      </c>
      <c r="H1138">
        <v>27</v>
      </c>
      <c r="I1138" t="s">
        <v>19</v>
      </c>
      <c r="J1138">
        <v>1986</v>
      </c>
      <c r="K1138">
        <v>1986</v>
      </c>
      <c r="L1138" t="s">
        <v>20</v>
      </c>
      <c r="M1138">
        <v>20000</v>
      </c>
      <c r="N1138">
        <v>1577</v>
      </c>
    </row>
    <row r="1139" spans="1:14" x14ac:dyDescent="0.35">
      <c r="A1139" t="s">
        <v>1196</v>
      </c>
      <c r="B1139" t="s">
        <v>15</v>
      </c>
      <c r="C1139" t="s">
        <v>16</v>
      </c>
      <c r="D1139">
        <v>175</v>
      </c>
      <c r="E1139" t="s">
        <v>1194</v>
      </c>
      <c r="F1139">
        <v>5419</v>
      </c>
      <c r="G1139" t="s">
        <v>18</v>
      </c>
      <c r="H1139">
        <v>27</v>
      </c>
      <c r="I1139" t="s">
        <v>19</v>
      </c>
      <c r="J1139">
        <v>1987</v>
      </c>
      <c r="K1139">
        <v>1987</v>
      </c>
      <c r="L1139" t="s">
        <v>20</v>
      </c>
      <c r="M1139">
        <v>21000</v>
      </c>
      <c r="N1139">
        <v>1577</v>
      </c>
    </row>
    <row r="1140" spans="1:14" x14ac:dyDescent="0.35">
      <c r="A1140" t="s">
        <v>1197</v>
      </c>
      <c r="B1140" t="s">
        <v>15</v>
      </c>
      <c r="C1140" t="s">
        <v>16</v>
      </c>
      <c r="D1140">
        <v>175</v>
      </c>
      <c r="E1140" t="s">
        <v>1194</v>
      </c>
      <c r="F1140">
        <v>5419</v>
      </c>
      <c r="G1140" t="s">
        <v>18</v>
      </c>
      <c r="H1140">
        <v>27</v>
      </c>
      <c r="I1140" t="s">
        <v>19</v>
      </c>
      <c r="J1140">
        <v>1989</v>
      </c>
      <c r="K1140">
        <v>1989</v>
      </c>
      <c r="L1140" t="s">
        <v>20</v>
      </c>
      <c r="M1140">
        <v>20176</v>
      </c>
      <c r="N1140">
        <v>1577</v>
      </c>
    </row>
    <row r="1141" spans="1:14" x14ac:dyDescent="0.35">
      <c r="A1141" t="s">
        <v>1198</v>
      </c>
      <c r="B1141" t="s">
        <v>15</v>
      </c>
      <c r="C1141" t="s">
        <v>16</v>
      </c>
      <c r="D1141">
        <v>175</v>
      </c>
      <c r="E1141" t="s">
        <v>1194</v>
      </c>
      <c r="F1141">
        <v>5419</v>
      </c>
      <c r="G1141" t="s">
        <v>18</v>
      </c>
      <c r="H1141">
        <v>27</v>
      </c>
      <c r="I1141" t="s">
        <v>19</v>
      </c>
      <c r="J1141">
        <v>1990</v>
      </c>
      <c r="K1141">
        <v>1990</v>
      </c>
      <c r="L1141" t="s">
        <v>20</v>
      </c>
      <c r="M1141">
        <v>20518</v>
      </c>
      <c r="N1141">
        <v>1577</v>
      </c>
    </row>
    <row r="1142" spans="1:14" x14ac:dyDescent="0.35">
      <c r="A1142" t="s">
        <v>1199</v>
      </c>
      <c r="B1142" t="s">
        <v>15</v>
      </c>
      <c r="C1142" t="s">
        <v>16</v>
      </c>
      <c r="D1142">
        <v>175</v>
      </c>
      <c r="E1142" t="s">
        <v>1194</v>
      </c>
      <c r="F1142">
        <v>5419</v>
      </c>
      <c r="G1142" t="s">
        <v>18</v>
      </c>
      <c r="H1142">
        <v>27</v>
      </c>
      <c r="I1142" t="s">
        <v>19</v>
      </c>
      <c r="J1142">
        <v>1991</v>
      </c>
      <c r="K1142">
        <v>1991</v>
      </c>
      <c r="L1142" t="s">
        <v>20</v>
      </c>
      <c r="M1142">
        <v>20064</v>
      </c>
      <c r="N1142">
        <v>1577</v>
      </c>
    </row>
    <row r="1143" spans="1:14" x14ac:dyDescent="0.35">
      <c r="A1143" t="s">
        <v>1200</v>
      </c>
      <c r="B1143" t="s">
        <v>15</v>
      </c>
      <c r="C1143" t="s">
        <v>16</v>
      </c>
      <c r="D1143">
        <v>175</v>
      </c>
      <c r="E1143" t="s">
        <v>1194</v>
      </c>
      <c r="F1143">
        <v>5419</v>
      </c>
      <c r="G1143" t="s">
        <v>18</v>
      </c>
      <c r="H1143">
        <v>27</v>
      </c>
      <c r="I1143" t="s">
        <v>19</v>
      </c>
      <c r="J1143">
        <v>1992</v>
      </c>
      <c r="K1143">
        <v>1992</v>
      </c>
      <c r="L1143" t="s">
        <v>20</v>
      </c>
      <c r="M1143">
        <v>19011</v>
      </c>
      <c r="N1143">
        <v>1577</v>
      </c>
    </row>
    <row r="1144" spans="1:14" x14ac:dyDescent="0.35">
      <c r="A1144" t="s">
        <v>1201</v>
      </c>
      <c r="B1144" t="s">
        <v>15</v>
      </c>
      <c r="C1144" t="s">
        <v>16</v>
      </c>
      <c r="D1144">
        <v>175</v>
      </c>
      <c r="E1144" t="s">
        <v>1194</v>
      </c>
      <c r="F1144">
        <v>5419</v>
      </c>
      <c r="G1144" t="s">
        <v>18</v>
      </c>
      <c r="H1144">
        <v>27</v>
      </c>
      <c r="I1144" t="s">
        <v>19</v>
      </c>
      <c r="J1144">
        <v>1993</v>
      </c>
      <c r="K1144">
        <v>1993</v>
      </c>
      <c r="L1144" t="s">
        <v>20</v>
      </c>
      <c r="M1144">
        <v>19738</v>
      </c>
      <c r="N1144">
        <v>1577</v>
      </c>
    </row>
    <row r="1145" spans="1:14" x14ac:dyDescent="0.35">
      <c r="A1145" t="s">
        <v>1202</v>
      </c>
      <c r="B1145" t="s">
        <v>15</v>
      </c>
      <c r="C1145" t="s">
        <v>16</v>
      </c>
      <c r="D1145">
        <v>175</v>
      </c>
      <c r="E1145" t="s">
        <v>1194</v>
      </c>
      <c r="F1145">
        <v>5419</v>
      </c>
      <c r="G1145" t="s">
        <v>18</v>
      </c>
      <c r="H1145">
        <v>27</v>
      </c>
      <c r="I1145" t="s">
        <v>19</v>
      </c>
      <c r="J1145">
        <v>1994</v>
      </c>
      <c r="K1145">
        <v>1994</v>
      </c>
      <c r="L1145" t="s">
        <v>20</v>
      </c>
      <c r="M1145">
        <v>20067</v>
      </c>
      <c r="N1145">
        <v>1577</v>
      </c>
    </row>
    <row r="1146" spans="1:14" x14ac:dyDescent="0.35">
      <c r="A1146" t="s">
        <v>1203</v>
      </c>
      <c r="B1146" t="s">
        <v>15</v>
      </c>
      <c r="C1146" t="s">
        <v>16</v>
      </c>
      <c r="D1146">
        <v>175</v>
      </c>
      <c r="E1146" t="s">
        <v>1194</v>
      </c>
      <c r="F1146">
        <v>5419</v>
      </c>
      <c r="G1146" t="s">
        <v>18</v>
      </c>
      <c r="H1146">
        <v>27</v>
      </c>
      <c r="I1146" t="s">
        <v>19</v>
      </c>
      <c r="J1146">
        <v>1995</v>
      </c>
      <c r="K1146">
        <v>1995</v>
      </c>
      <c r="L1146" t="s">
        <v>20</v>
      </c>
      <c r="M1146">
        <v>19070</v>
      </c>
      <c r="N1146">
        <v>1577</v>
      </c>
    </row>
    <row r="1147" spans="1:14" x14ac:dyDescent="0.35">
      <c r="A1147" t="s">
        <v>1204</v>
      </c>
      <c r="B1147" t="s">
        <v>15</v>
      </c>
      <c r="C1147" t="s">
        <v>16</v>
      </c>
      <c r="D1147">
        <v>175</v>
      </c>
      <c r="E1147" t="s">
        <v>1194</v>
      </c>
      <c r="F1147">
        <v>5419</v>
      </c>
      <c r="G1147" t="s">
        <v>18</v>
      </c>
      <c r="H1147">
        <v>27</v>
      </c>
      <c r="I1147" t="s">
        <v>19</v>
      </c>
      <c r="J1147">
        <v>1996</v>
      </c>
      <c r="K1147">
        <v>1996</v>
      </c>
      <c r="L1147" t="s">
        <v>20</v>
      </c>
      <c r="M1147">
        <v>18375</v>
      </c>
      <c r="N1147">
        <v>1577</v>
      </c>
    </row>
    <row r="1148" spans="1:14" x14ac:dyDescent="0.35">
      <c r="A1148" t="s">
        <v>1205</v>
      </c>
      <c r="B1148" t="s">
        <v>15</v>
      </c>
      <c r="C1148" t="s">
        <v>16</v>
      </c>
      <c r="D1148">
        <v>175</v>
      </c>
      <c r="E1148" t="s">
        <v>1194</v>
      </c>
      <c r="F1148">
        <v>5419</v>
      </c>
      <c r="G1148" t="s">
        <v>18</v>
      </c>
      <c r="H1148">
        <v>27</v>
      </c>
      <c r="I1148" t="s">
        <v>19</v>
      </c>
      <c r="J1148">
        <v>1997</v>
      </c>
      <c r="K1148">
        <v>1997</v>
      </c>
      <c r="L1148" t="s">
        <v>20</v>
      </c>
      <c r="M1148">
        <v>16657</v>
      </c>
      <c r="N1148">
        <v>1577</v>
      </c>
    </row>
    <row r="1149" spans="1:14" x14ac:dyDescent="0.35">
      <c r="A1149" t="s">
        <v>1206</v>
      </c>
      <c r="B1149" t="s">
        <v>15</v>
      </c>
      <c r="C1149" t="s">
        <v>16</v>
      </c>
      <c r="D1149">
        <v>175</v>
      </c>
      <c r="E1149" t="s">
        <v>1194</v>
      </c>
      <c r="F1149">
        <v>5419</v>
      </c>
      <c r="G1149" t="s">
        <v>18</v>
      </c>
      <c r="H1149">
        <v>27</v>
      </c>
      <c r="I1149" t="s">
        <v>19</v>
      </c>
      <c r="J1149">
        <v>1998</v>
      </c>
      <c r="K1149">
        <v>1998</v>
      </c>
      <c r="L1149" t="s">
        <v>20</v>
      </c>
      <c r="M1149">
        <v>14282</v>
      </c>
      <c r="N1149">
        <v>1577</v>
      </c>
    </row>
    <row r="1150" spans="1:14" x14ac:dyDescent="0.35">
      <c r="A1150" t="s">
        <v>1207</v>
      </c>
      <c r="B1150" t="s">
        <v>15</v>
      </c>
      <c r="C1150" t="s">
        <v>16</v>
      </c>
      <c r="D1150">
        <v>175</v>
      </c>
      <c r="E1150" t="s">
        <v>1194</v>
      </c>
      <c r="F1150">
        <v>5419</v>
      </c>
      <c r="G1150" t="s">
        <v>18</v>
      </c>
      <c r="H1150">
        <v>27</v>
      </c>
      <c r="I1150" t="s">
        <v>19</v>
      </c>
      <c r="J1150">
        <v>1999</v>
      </c>
      <c r="K1150">
        <v>1999</v>
      </c>
      <c r="L1150" t="s">
        <v>20</v>
      </c>
      <c r="M1150">
        <v>11809</v>
      </c>
      <c r="N1150">
        <v>1577</v>
      </c>
    </row>
    <row r="1151" spans="1:14" x14ac:dyDescent="0.35">
      <c r="A1151" t="s">
        <v>1208</v>
      </c>
      <c r="B1151" t="s">
        <v>15</v>
      </c>
      <c r="C1151" t="s">
        <v>16</v>
      </c>
      <c r="D1151">
        <v>175</v>
      </c>
      <c r="E1151" t="s">
        <v>1194</v>
      </c>
      <c r="F1151">
        <v>5419</v>
      </c>
      <c r="G1151" t="s">
        <v>18</v>
      </c>
      <c r="H1151">
        <v>27</v>
      </c>
      <c r="I1151" t="s">
        <v>19</v>
      </c>
      <c r="J1151">
        <v>2000</v>
      </c>
      <c r="K1151">
        <v>2000</v>
      </c>
      <c r="L1151" t="s">
        <v>20</v>
      </c>
      <c r="M1151">
        <v>14210</v>
      </c>
      <c r="N1151">
        <v>1577</v>
      </c>
    </row>
    <row r="1152" spans="1:14" x14ac:dyDescent="0.35">
      <c r="A1152" t="s">
        <v>1209</v>
      </c>
      <c r="B1152" t="s">
        <v>15</v>
      </c>
      <c r="C1152" t="s">
        <v>16</v>
      </c>
      <c r="D1152">
        <v>175</v>
      </c>
      <c r="E1152" t="s">
        <v>1194</v>
      </c>
      <c r="F1152">
        <v>5419</v>
      </c>
      <c r="G1152" t="s">
        <v>18</v>
      </c>
      <c r="H1152">
        <v>27</v>
      </c>
      <c r="I1152" t="s">
        <v>19</v>
      </c>
      <c r="J1152">
        <v>2001</v>
      </c>
      <c r="K1152">
        <v>2001</v>
      </c>
      <c r="L1152" t="s">
        <v>20</v>
      </c>
      <c r="M1152">
        <v>12341</v>
      </c>
      <c r="N1152">
        <v>1577</v>
      </c>
    </row>
    <row r="1153" spans="1:14" x14ac:dyDescent="0.35">
      <c r="A1153" t="s">
        <v>1210</v>
      </c>
      <c r="B1153" t="s">
        <v>15</v>
      </c>
      <c r="C1153" t="s">
        <v>16</v>
      </c>
      <c r="D1153">
        <v>175</v>
      </c>
      <c r="E1153" t="s">
        <v>1194</v>
      </c>
      <c r="F1153">
        <v>5419</v>
      </c>
      <c r="G1153" t="s">
        <v>18</v>
      </c>
      <c r="H1153">
        <v>27</v>
      </c>
      <c r="I1153" t="s">
        <v>19</v>
      </c>
      <c r="J1153">
        <v>2002</v>
      </c>
      <c r="K1153">
        <v>2002</v>
      </c>
      <c r="L1153" t="s">
        <v>20</v>
      </c>
      <c r="M1153">
        <v>12921</v>
      </c>
      <c r="N1153">
        <v>1577</v>
      </c>
    </row>
    <row r="1154" spans="1:14" x14ac:dyDescent="0.35">
      <c r="A1154" t="s">
        <v>1211</v>
      </c>
      <c r="B1154" t="s">
        <v>15</v>
      </c>
      <c r="C1154" t="s">
        <v>16</v>
      </c>
      <c r="D1154">
        <v>175</v>
      </c>
      <c r="E1154" t="s">
        <v>1194</v>
      </c>
      <c r="F1154">
        <v>5419</v>
      </c>
      <c r="G1154" t="s">
        <v>18</v>
      </c>
      <c r="H1154">
        <v>27</v>
      </c>
      <c r="I1154" t="s">
        <v>19</v>
      </c>
      <c r="J1154">
        <v>2004</v>
      </c>
      <c r="K1154">
        <v>2004</v>
      </c>
      <c r="L1154" t="s">
        <v>20</v>
      </c>
      <c r="M1154">
        <v>13722</v>
      </c>
      <c r="N1154">
        <v>1577</v>
      </c>
    </row>
    <row r="1155" spans="1:14" x14ac:dyDescent="0.35">
      <c r="A1155" t="s">
        <v>1212</v>
      </c>
      <c r="B1155" t="s">
        <v>15</v>
      </c>
      <c r="C1155" t="s">
        <v>16</v>
      </c>
      <c r="D1155">
        <v>175</v>
      </c>
      <c r="E1155" t="s">
        <v>1194</v>
      </c>
      <c r="F1155">
        <v>5419</v>
      </c>
      <c r="G1155" t="s">
        <v>18</v>
      </c>
      <c r="H1155">
        <v>27</v>
      </c>
      <c r="I1155" t="s">
        <v>19</v>
      </c>
      <c r="J1155">
        <v>2005</v>
      </c>
      <c r="K1155">
        <v>2005</v>
      </c>
      <c r="L1155" t="s">
        <v>20</v>
      </c>
      <c r="M1155">
        <v>15129</v>
      </c>
      <c r="N1155">
        <v>1577</v>
      </c>
    </row>
    <row r="1156" spans="1:14" x14ac:dyDescent="0.35">
      <c r="A1156" t="s">
        <v>1213</v>
      </c>
      <c r="B1156" t="s">
        <v>15</v>
      </c>
      <c r="C1156" t="s">
        <v>16</v>
      </c>
      <c r="D1156">
        <v>175</v>
      </c>
      <c r="E1156" t="s">
        <v>1194</v>
      </c>
      <c r="F1156">
        <v>5419</v>
      </c>
      <c r="G1156" t="s">
        <v>18</v>
      </c>
      <c r="H1156">
        <v>27</v>
      </c>
      <c r="I1156" t="s">
        <v>19</v>
      </c>
      <c r="J1156">
        <v>2006</v>
      </c>
      <c r="K1156">
        <v>2006</v>
      </c>
      <c r="L1156" t="s">
        <v>20</v>
      </c>
      <c r="M1156">
        <v>16308</v>
      </c>
      <c r="N1156">
        <v>1577</v>
      </c>
    </row>
    <row r="1157" spans="1:14" x14ac:dyDescent="0.35">
      <c r="A1157" t="s">
        <v>1214</v>
      </c>
      <c r="B1157" t="s">
        <v>15</v>
      </c>
      <c r="C1157" t="s">
        <v>16</v>
      </c>
      <c r="D1157">
        <v>175</v>
      </c>
      <c r="E1157" t="s">
        <v>1194</v>
      </c>
      <c r="F1157">
        <v>5419</v>
      </c>
      <c r="G1157" t="s">
        <v>18</v>
      </c>
      <c r="H1157">
        <v>27</v>
      </c>
      <c r="I1157" t="s">
        <v>19</v>
      </c>
      <c r="J1157">
        <v>2007</v>
      </c>
      <c r="K1157">
        <v>2007</v>
      </c>
      <c r="L1157" t="s">
        <v>20</v>
      </c>
      <c r="M1157">
        <v>18156</v>
      </c>
      <c r="N1157">
        <v>1577</v>
      </c>
    </row>
    <row r="1158" spans="1:14" x14ac:dyDescent="0.35">
      <c r="A1158" t="s">
        <v>1215</v>
      </c>
      <c r="B1158" t="s">
        <v>15</v>
      </c>
      <c r="C1158" t="s">
        <v>16</v>
      </c>
      <c r="D1158">
        <v>175</v>
      </c>
      <c r="E1158" t="s">
        <v>1194</v>
      </c>
      <c r="F1158">
        <v>5419</v>
      </c>
      <c r="G1158" t="s">
        <v>18</v>
      </c>
      <c r="H1158">
        <v>27</v>
      </c>
      <c r="I1158" t="s">
        <v>19</v>
      </c>
      <c r="J1158">
        <v>2008</v>
      </c>
      <c r="K1158">
        <v>2008</v>
      </c>
      <c r="L1158" t="s">
        <v>20</v>
      </c>
      <c r="M1158">
        <v>18098</v>
      </c>
      <c r="N1158">
        <v>1577</v>
      </c>
    </row>
    <row r="1159" spans="1:14" x14ac:dyDescent="0.35">
      <c r="A1159" t="s">
        <v>1216</v>
      </c>
      <c r="B1159" t="s">
        <v>15</v>
      </c>
      <c r="C1159" t="s">
        <v>16</v>
      </c>
      <c r="D1159">
        <v>175</v>
      </c>
      <c r="E1159" t="s">
        <v>1194</v>
      </c>
      <c r="F1159">
        <v>5419</v>
      </c>
      <c r="G1159" t="s">
        <v>18</v>
      </c>
      <c r="H1159">
        <v>27</v>
      </c>
      <c r="I1159" t="s">
        <v>19</v>
      </c>
      <c r="J1159">
        <v>2009</v>
      </c>
      <c r="K1159">
        <v>2009</v>
      </c>
      <c r="L1159" t="s">
        <v>20</v>
      </c>
      <c r="M1159">
        <v>20368</v>
      </c>
      <c r="N1159">
        <v>1577</v>
      </c>
    </row>
    <row r="1160" spans="1:14" x14ac:dyDescent="0.35">
      <c r="A1160" t="s">
        <v>1217</v>
      </c>
      <c r="B1160" t="s">
        <v>15</v>
      </c>
      <c r="C1160" t="s">
        <v>16</v>
      </c>
      <c r="D1160">
        <v>175</v>
      </c>
      <c r="E1160" t="s">
        <v>1194</v>
      </c>
      <c r="F1160">
        <v>5419</v>
      </c>
      <c r="G1160" t="s">
        <v>18</v>
      </c>
      <c r="H1160">
        <v>27</v>
      </c>
      <c r="I1160" t="s">
        <v>19</v>
      </c>
      <c r="J1160">
        <v>2010</v>
      </c>
      <c r="K1160">
        <v>2010</v>
      </c>
      <c r="L1160" t="s">
        <v>20</v>
      </c>
      <c r="M1160">
        <v>20818</v>
      </c>
      <c r="N1160">
        <v>1577</v>
      </c>
    </row>
    <row r="1161" spans="1:14" x14ac:dyDescent="0.35">
      <c r="A1161" t="s">
        <v>1218</v>
      </c>
      <c r="B1161" t="s">
        <v>15</v>
      </c>
      <c r="C1161" t="s">
        <v>16</v>
      </c>
      <c r="D1161">
        <v>175</v>
      </c>
      <c r="E1161" t="s">
        <v>1194</v>
      </c>
      <c r="F1161">
        <v>5419</v>
      </c>
      <c r="G1161" t="s">
        <v>18</v>
      </c>
      <c r="H1161">
        <v>27</v>
      </c>
      <c r="I1161" t="s">
        <v>19</v>
      </c>
      <c r="J1161">
        <v>2011</v>
      </c>
      <c r="K1161">
        <v>2011</v>
      </c>
      <c r="L1161" t="s">
        <v>20</v>
      </c>
      <c r="M1161">
        <v>18824</v>
      </c>
      <c r="N1161">
        <v>1577</v>
      </c>
    </row>
    <row r="1162" spans="1:14" x14ac:dyDescent="0.35">
      <c r="A1162" t="s">
        <v>1219</v>
      </c>
      <c r="B1162" t="s">
        <v>15</v>
      </c>
      <c r="C1162" t="s">
        <v>16</v>
      </c>
      <c r="D1162">
        <v>175</v>
      </c>
      <c r="E1162" t="s">
        <v>1194</v>
      </c>
      <c r="F1162">
        <v>5419</v>
      </c>
      <c r="G1162" t="s">
        <v>18</v>
      </c>
      <c r="H1162">
        <v>27</v>
      </c>
      <c r="I1162" t="s">
        <v>19</v>
      </c>
      <c r="J1162">
        <v>2012</v>
      </c>
      <c r="K1162">
        <v>2012</v>
      </c>
      <c r="L1162" t="s">
        <v>20</v>
      </c>
      <c r="M1162">
        <v>17345</v>
      </c>
      <c r="N1162">
        <v>1577</v>
      </c>
    </row>
    <row r="1163" spans="1:14" x14ac:dyDescent="0.35">
      <c r="A1163" t="s">
        <v>1220</v>
      </c>
      <c r="B1163" t="s">
        <v>15</v>
      </c>
      <c r="C1163" t="s">
        <v>16</v>
      </c>
      <c r="D1163">
        <v>175</v>
      </c>
      <c r="E1163" t="s">
        <v>1194</v>
      </c>
      <c r="F1163">
        <v>5419</v>
      </c>
      <c r="G1163" t="s">
        <v>18</v>
      </c>
      <c r="H1163">
        <v>27</v>
      </c>
      <c r="I1163" t="s">
        <v>19</v>
      </c>
      <c r="J1163">
        <v>2013</v>
      </c>
      <c r="K1163">
        <v>2013</v>
      </c>
      <c r="L1163" t="s">
        <v>20</v>
      </c>
      <c r="M1163">
        <v>15535</v>
      </c>
      <c r="N1163">
        <v>1577</v>
      </c>
    </row>
    <row r="1164" spans="1:14" x14ac:dyDescent="0.35">
      <c r="A1164" t="s">
        <v>1221</v>
      </c>
      <c r="B1164" t="s">
        <v>15</v>
      </c>
      <c r="C1164" t="s">
        <v>16</v>
      </c>
      <c r="D1164">
        <v>175</v>
      </c>
      <c r="E1164" t="s">
        <v>1194</v>
      </c>
      <c r="F1164">
        <v>5419</v>
      </c>
      <c r="G1164" t="s">
        <v>18</v>
      </c>
      <c r="H1164">
        <v>27</v>
      </c>
      <c r="I1164" t="s">
        <v>19</v>
      </c>
      <c r="J1164">
        <v>2014</v>
      </c>
      <c r="K1164">
        <v>2014</v>
      </c>
      <c r="L1164" t="s">
        <v>20</v>
      </c>
      <c r="M1164">
        <v>15647</v>
      </c>
      <c r="N1164">
        <v>1577</v>
      </c>
    </row>
    <row r="1165" spans="1:14" x14ac:dyDescent="0.35">
      <c r="A1165" t="s">
        <v>1222</v>
      </c>
      <c r="B1165" t="s">
        <v>15</v>
      </c>
      <c r="C1165" t="s">
        <v>16</v>
      </c>
      <c r="D1165">
        <v>175</v>
      </c>
      <c r="E1165" t="s">
        <v>1194</v>
      </c>
      <c r="F1165">
        <v>5419</v>
      </c>
      <c r="G1165" t="s">
        <v>18</v>
      </c>
      <c r="H1165">
        <v>27</v>
      </c>
      <c r="I1165" t="s">
        <v>19</v>
      </c>
      <c r="J1165">
        <v>2015</v>
      </c>
      <c r="K1165">
        <v>2015</v>
      </c>
      <c r="L1165" t="s">
        <v>20</v>
      </c>
      <c r="M1165">
        <v>15281</v>
      </c>
      <c r="N1165">
        <v>1577</v>
      </c>
    </row>
    <row r="1166" spans="1:14" x14ac:dyDescent="0.35">
      <c r="A1166" t="s">
        <v>1223</v>
      </c>
      <c r="B1166" t="s">
        <v>15</v>
      </c>
      <c r="C1166" t="s">
        <v>16</v>
      </c>
      <c r="D1166">
        <v>175</v>
      </c>
      <c r="E1166" t="s">
        <v>1194</v>
      </c>
      <c r="F1166">
        <v>5419</v>
      </c>
      <c r="G1166" t="s">
        <v>18</v>
      </c>
      <c r="H1166">
        <v>27</v>
      </c>
      <c r="I1166" t="s">
        <v>19</v>
      </c>
      <c r="J1166">
        <v>2016</v>
      </c>
      <c r="K1166">
        <v>2016</v>
      </c>
      <c r="L1166" t="s">
        <v>20</v>
      </c>
      <c r="M1166">
        <v>16255</v>
      </c>
      <c r="N1166">
        <v>1577</v>
      </c>
    </row>
    <row r="1167" spans="1:14" x14ac:dyDescent="0.35">
      <c r="A1167" t="s">
        <v>1224</v>
      </c>
      <c r="B1167" t="s">
        <v>15</v>
      </c>
      <c r="C1167" t="s">
        <v>16</v>
      </c>
      <c r="D1167">
        <v>91</v>
      </c>
      <c r="E1167" t="s">
        <v>1225</v>
      </c>
      <c r="F1167">
        <v>5419</v>
      </c>
      <c r="G1167" t="s">
        <v>18</v>
      </c>
      <c r="H1167">
        <v>27</v>
      </c>
      <c r="I1167" t="s">
        <v>19</v>
      </c>
      <c r="J1167">
        <v>1985</v>
      </c>
      <c r="K1167">
        <v>1985</v>
      </c>
      <c r="L1167" t="s">
        <v>20</v>
      </c>
      <c r="M1167">
        <v>32935</v>
      </c>
      <c r="N1167">
        <v>2387</v>
      </c>
    </row>
    <row r="1168" spans="1:14" x14ac:dyDescent="0.35">
      <c r="A1168" t="s">
        <v>1226</v>
      </c>
      <c r="B1168" t="s">
        <v>15</v>
      </c>
      <c r="C1168" t="s">
        <v>16</v>
      </c>
      <c r="D1168">
        <v>91</v>
      </c>
      <c r="E1168" t="s">
        <v>1225</v>
      </c>
      <c r="F1168">
        <v>5419</v>
      </c>
      <c r="G1168" t="s">
        <v>18</v>
      </c>
      <c r="H1168">
        <v>27</v>
      </c>
      <c r="I1168" t="s">
        <v>19</v>
      </c>
      <c r="J1168">
        <v>1986</v>
      </c>
      <c r="K1168">
        <v>1986</v>
      </c>
      <c r="L1168" t="s">
        <v>20</v>
      </c>
      <c r="M1168">
        <v>32825</v>
      </c>
      <c r="N1168">
        <v>2387</v>
      </c>
    </row>
    <row r="1169" spans="1:14" x14ac:dyDescent="0.35">
      <c r="A1169" t="s">
        <v>1227</v>
      </c>
      <c r="B1169" t="s">
        <v>15</v>
      </c>
      <c r="C1169" t="s">
        <v>16</v>
      </c>
      <c r="D1169">
        <v>91</v>
      </c>
      <c r="E1169" t="s">
        <v>1225</v>
      </c>
      <c r="F1169">
        <v>5419</v>
      </c>
      <c r="G1169" t="s">
        <v>18</v>
      </c>
      <c r="H1169">
        <v>27</v>
      </c>
      <c r="I1169" t="s">
        <v>19</v>
      </c>
      <c r="J1169">
        <v>1987</v>
      </c>
      <c r="K1169">
        <v>1987</v>
      </c>
      <c r="L1169" t="s">
        <v>20</v>
      </c>
      <c r="M1169">
        <v>32515</v>
      </c>
      <c r="N1169">
        <v>2387</v>
      </c>
    </row>
    <row r="1170" spans="1:14" x14ac:dyDescent="0.35">
      <c r="A1170" t="s">
        <v>1228</v>
      </c>
      <c r="B1170" t="s">
        <v>15</v>
      </c>
      <c r="C1170" t="s">
        <v>16</v>
      </c>
      <c r="D1170">
        <v>91</v>
      </c>
      <c r="E1170" t="s">
        <v>1225</v>
      </c>
      <c r="F1170">
        <v>5419</v>
      </c>
      <c r="G1170" t="s">
        <v>18</v>
      </c>
      <c r="H1170">
        <v>27</v>
      </c>
      <c r="I1170" t="s">
        <v>19</v>
      </c>
      <c r="J1170">
        <v>1989</v>
      </c>
      <c r="K1170">
        <v>1989</v>
      </c>
      <c r="L1170" t="s">
        <v>20</v>
      </c>
      <c r="M1170">
        <v>34014</v>
      </c>
      <c r="N1170">
        <v>2387</v>
      </c>
    </row>
    <row r="1171" spans="1:14" x14ac:dyDescent="0.35">
      <c r="A1171" t="s">
        <v>1229</v>
      </c>
      <c r="B1171" t="s">
        <v>15</v>
      </c>
      <c r="C1171" t="s">
        <v>16</v>
      </c>
      <c r="D1171">
        <v>91</v>
      </c>
      <c r="E1171" t="s">
        <v>1225</v>
      </c>
      <c r="F1171">
        <v>5419</v>
      </c>
      <c r="G1171" t="s">
        <v>18</v>
      </c>
      <c r="H1171">
        <v>27</v>
      </c>
      <c r="I1171" t="s">
        <v>19</v>
      </c>
      <c r="J1171">
        <v>1990</v>
      </c>
      <c r="K1171">
        <v>1990</v>
      </c>
      <c r="L1171" t="s">
        <v>20</v>
      </c>
      <c r="M1171">
        <v>30331</v>
      </c>
      <c r="N1171">
        <v>2387</v>
      </c>
    </row>
    <row r="1172" spans="1:14" x14ac:dyDescent="0.35">
      <c r="A1172" t="s">
        <v>1230</v>
      </c>
      <c r="B1172" t="s">
        <v>15</v>
      </c>
      <c r="C1172" t="s">
        <v>16</v>
      </c>
      <c r="D1172">
        <v>91</v>
      </c>
      <c r="E1172" t="s">
        <v>1225</v>
      </c>
      <c r="F1172">
        <v>5419</v>
      </c>
      <c r="G1172" t="s">
        <v>18</v>
      </c>
      <c r="H1172">
        <v>27</v>
      </c>
      <c r="I1172" t="s">
        <v>19</v>
      </c>
      <c r="J1172">
        <v>1991</v>
      </c>
      <c r="K1172">
        <v>1991</v>
      </c>
      <c r="L1172" t="s">
        <v>20</v>
      </c>
      <c r="M1172">
        <v>33427</v>
      </c>
      <c r="N1172">
        <v>2387</v>
      </c>
    </row>
    <row r="1173" spans="1:14" x14ac:dyDescent="0.35">
      <c r="A1173" t="s">
        <v>1231</v>
      </c>
      <c r="B1173" t="s">
        <v>15</v>
      </c>
      <c r="C1173" t="s">
        <v>16</v>
      </c>
      <c r="D1173">
        <v>91</v>
      </c>
      <c r="E1173" t="s">
        <v>1225</v>
      </c>
      <c r="F1173">
        <v>5419</v>
      </c>
      <c r="G1173" t="s">
        <v>18</v>
      </c>
      <c r="H1173">
        <v>27</v>
      </c>
      <c r="I1173" t="s">
        <v>19</v>
      </c>
      <c r="J1173">
        <v>1992</v>
      </c>
      <c r="K1173">
        <v>1992</v>
      </c>
      <c r="L1173" t="s">
        <v>20</v>
      </c>
      <c r="M1173">
        <v>35106</v>
      </c>
      <c r="N1173">
        <v>2387</v>
      </c>
    </row>
    <row r="1174" spans="1:14" x14ac:dyDescent="0.35">
      <c r="A1174" t="s">
        <v>1232</v>
      </c>
      <c r="B1174" t="s">
        <v>15</v>
      </c>
      <c r="C1174" t="s">
        <v>16</v>
      </c>
      <c r="D1174">
        <v>91</v>
      </c>
      <c r="E1174" t="s">
        <v>1225</v>
      </c>
      <c r="F1174">
        <v>5419</v>
      </c>
      <c r="G1174" t="s">
        <v>18</v>
      </c>
      <c r="H1174">
        <v>27</v>
      </c>
      <c r="I1174" t="s">
        <v>19</v>
      </c>
      <c r="J1174">
        <v>1993</v>
      </c>
      <c r="K1174">
        <v>1993</v>
      </c>
      <c r="L1174" t="s">
        <v>20</v>
      </c>
      <c r="M1174">
        <v>33171</v>
      </c>
      <c r="N1174">
        <v>2387</v>
      </c>
    </row>
    <row r="1175" spans="1:14" x14ac:dyDescent="0.35">
      <c r="A1175" t="s">
        <v>1233</v>
      </c>
      <c r="B1175" t="s">
        <v>15</v>
      </c>
      <c r="C1175" t="s">
        <v>16</v>
      </c>
      <c r="D1175">
        <v>91</v>
      </c>
      <c r="E1175" t="s">
        <v>1225</v>
      </c>
      <c r="F1175">
        <v>5419</v>
      </c>
      <c r="G1175" t="s">
        <v>18</v>
      </c>
      <c r="H1175">
        <v>27</v>
      </c>
      <c r="I1175" t="s">
        <v>19</v>
      </c>
      <c r="J1175">
        <v>1994</v>
      </c>
      <c r="K1175">
        <v>1994</v>
      </c>
      <c r="L1175" t="s">
        <v>20</v>
      </c>
      <c r="M1175">
        <v>37329</v>
      </c>
      <c r="N1175">
        <v>2387</v>
      </c>
    </row>
    <row r="1176" spans="1:14" x14ac:dyDescent="0.35">
      <c r="A1176" t="s">
        <v>1234</v>
      </c>
      <c r="B1176" t="s">
        <v>15</v>
      </c>
      <c r="C1176" t="s">
        <v>16</v>
      </c>
      <c r="D1176">
        <v>91</v>
      </c>
      <c r="E1176" t="s">
        <v>1225</v>
      </c>
      <c r="F1176">
        <v>5419</v>
      </c>
      <c r="G1176" t="s">
        <v>18</v>
      </c>
      <c r="H1176">
        <v>27</v>
      </c>
      <c r="I1176" t="s">
        <v>19</v>
      </c>
      <c r="J1176">
        <v>1995</v>
      </c>
      <c r="K1176">
        <v>1995</v>
      </c>
      <c r="L1176" t="s">
        <v>20</v>
      </c>
      <c r="M1176">
        <v>39542</v>
      </c>
      <c r="N1176">
        <v>2387</v>
      </c>
    </row>
    <row r="1177" spans="1:14" x14ac:dyDescent="0.35">
      <c r="A1177" t="s">
        <v>1235</v>
      </c>
      <c r="B1177" t="s">
        <v>15</v>
      </c>
      <c r="C1177" t="s">
        <v>16</v>
      </c>
      <c r="D1177">
        <v>91</v>
      </c>
      <c r="E1177" t="s">
        <v>1225</v>
      </c>
      <c r="F1177">
        <v>5419</v>
      </c>
      <c r="G1177" t="s">
        <v>18</v>
      </c>
      <c r="H1177">
        <v>27</v>
      </c>
      <c r="I1177" t="s">
        <v>19</v>
      </c>
      <c r="J1177">
        <v>1996</v>
      </c>
      <c r="K1177">
        <v>1996</v>
      </c>
      <c r="L1177" t="s">
        <v>20</v>
      </c>
      <c r="M1177">
        <v>40141</v>
      </c>
      <c r="N1177">
        <v>2387</v>
      </c>
    </row>
    <row r="1178" spans="1:14" x14ac:dyDescent="0.35">
      <c r="A1178" t="s">
        <v>1236</v>
      </c>
      <c r="B1178" t="s">
        <v>15</v>
      </c>
      <c r="C1178" t="s">
        <v>16</v>
      </c>
      <c r="D1178">
        <v>91</v>
      </c>
      <c r="E1178" t="s">
        <v>1225</v>
      </c>
      <c r="F1178">
        <v>5419</v>
      </c>
      <c r="G1178" t="s">
        <v>18</v>
      </c>
      <c r="H1178">
        <v>27</v>
      </c>
      <c r="I1178" t="s">
        <v>19</v>
      </c>
      <c r="J1178">
        <v>1997</v>
      </c>
      <c r="K1178">
        <v>1997</v>
      </c>
      <c r="L1178" t="s">
        <v>20</v>
      </c>
      <c r="M1178">
        <v>39809</v>
      </c>
      <c r="N1178">
        <v>2387</v>
      </c>
    </row>
    <row r="1179" spans="1:14" x14ac:dyDescent="0.35">
      <c r="A1179" t="s">
        <v>1237</v>
      </c>
      <c r="B1179" t="s">
        <v>15</v>
      </c>
      <c r="C1179" t="s">
        <v>16</v>
      </c>
      <c r="D1179">
        <v>91</v>
      </c>
      <c r="E1179" t="s">
        <v>1225</v>
      </c>
      <c r="F1179">
        <v>5419</v>
      </c>
      <c r="G1179" t="s">
        <v>18</v>
      </c>
      <c r="H1179">
        <v>27</v>
      </c>
      <c r="I1179" t="s">
        <v>19</v>
      </c>
      <c r="J1179">
        <v>1998</v>
      </c>
      <c r="K1179">
        <v>1998</v>
      </c>
      <c r="L1179" t="s">
        <v>20</v>
      </c>
      <c r="M1179">
        <v>40405</v>
      </c>
      <c r="N1179">
        <v>2387</v>
      </c>
    </row>
    <row r="1180" spans="1:14" x14ac:dyDescent="0.35">
      <c r="A1180" t="s">
        <v>1238</v>
      </c>
      <c r="B1180" t="s">
        <v>15</v>
      </c>
      <c r="C1180" t="s">
        <v>16</v>
      </c>
      <c r="D1180">
        <v>91</v>
      </c>
      <c r="E1180" t="s">
        <v>1225</v>
      </c>
      <c r="F1180">
        <v>5419</v>
      </c>
      <c r="G1180" t="s">
        <v>18</v>
      </c>
      <c r="H1180">
        <v>27</v>
      </c>
      <c r="I1180" t="s">
        <v>19</v>
      </c>
      <c r="J1180">
        <v>1999</v>
      </c>
      <c r="K1180">
        <v>1999</v>
      </c>
      <c r="L1180" t="s">
        <v>20</v>
      </c>
      <c r="M1180">
        <v>38246</v>
      </c>
      <c r="N1180">
        <v>2387</v>
      </c>
    </row>
    <row r="1181" spans="1:14" x14ac:dyDescent="0.35">
      <c r="A1181" t="s">
        <v>1239</v>
      </c>
      <c r="B1181" t="s">
        <v>15</v>
      </c>
      <c r="C1181" t="s">
        <v>16</v>
      </c>
      <c r="D1181">
        <v>91</v>
      </c>
      <c r="E1181" t="s">
        <v>1225</v>
      </c>
      <c r="F1181">
        <v>5419</v>
      </c>
      <c r="G1181" t="s">
        <v>18</v>
      </c>
      <c r="H1181">
        <v>27</v>
      </c>
      <c r="I1181" t="s">
        <v>19</v>
      </c>
      <c r="J1181">
        <v>2000</v>
      </c>
      <c r="K1181">
        <v>2000</v>
      </c>
      <c r="L1181" t="s">
        <v>20</v>
      </c>
      <c r="M1181">
        <v>38677</v>
      </c>
      <c r="N1181">
        <v>2387</v>
      </c>
    </row>
    <row r="1182" spans="1:14" x14ac:dyDescent="0.35">
      <c r="A1182" t="s">
        <v>1240</v>
      </c>
      <c r="B1182" t="s">
        <v>15</v>
      </c>
      <c r="C1182" t="s">
        <v>16</v>
      </c>
      <c r="D1182">
        <v>91</v>
      </c>
      <c r="E1182" t="s">
        <v>1225</v>
      </c>
      <c r="F1182">
        <v>5419</v>
      </c>
      <c r="G1182" t="s">
        <v>18</v>
      </c>
      <c r="H1182">
        <v>27</v>
      </c>
      <c r="I1182" t="s">
        <v>19</v>
      </c>
      <c r="J1182">
        <v>2001</v>
      </c>
      <c r="K1182">
        <v>2001</v>
      </c>
      <c r="L1182" t="s">
        <v>20</v>
      </c>
      <c r="M1182">
        <v>39823</v>
      </c>
      <c r="N1182">
        <v>2387</v>
      </c>
    </row>
    <row r="1183" spans="1:14" x14ac:dyDescent="0.35">
      <c r="A1183" t="s">
        <v>1241</v>
      </c>
      <c r="B1183" t="s">
        <v>15</v>
      </c>
      <c r="C1183" t="s">
        <v>16</v>
      </c>
      <c r="D1183">
        <v>91</v>
      </c>
      <c r="E1183" t="s">
        <v>1225</v>
      </c>
      <c r="F1183">
        <v>5419</v>
      </c>
      <c r="G1183" t="s">
        <v>18</v>
      </c>
      <c r="H1183">
        <v>27</v>
      </c>
      <c r="I1183" t="s">
        <v>19</v>
      </c>
      <c r="J1183">
        <v>2002</v>
      </c>
      <c r="K1183">
        <v>2002</v>
      </c>
      <c r="L1183" t="s">
        <v>20</v>
      </c>
      <c r="M1183">
        <v>41194</v>
      </c>
      <c r="N1183">
        <v>2387</v>
      </c>
    </row>
    <row r="1184" spans="1:14" x14ac:dyDescent="0.35">
      <c r="A1184" t="s">
        <v>1242</v>
      </c>
      <c r="B1184" t="s">
        <v>15</v>
      </c>
      <c r="C1184" t="s">
        <v>16</v>
      </c>
      <c r="D1184">
        <v>91</v>
      </c>
      <c r="E1184" t="s">
        <v>1225</v>
      </c>
      <c r="F1184">
        <v>5419</v>
      </c>
      <c r="G1184" t="s">
        <v>18</v>
      </c>
      <c r="H1184">
        <v>27</v>
      </c>
      <c r="I1184" t="s">
        <v>19</v>
      </c>
      <c r="J1184">
        <v>2004</v>
      </c>
      <c r="K1184">
        <v>2004</v>
      </c>
      <c r="L1184" t="s">
        <v>20</v>
      </c>
      <c r="M1184">
        <v>43294</v>
      </c>
      <c r="N1184">
        <v>2387</v>
      </c>
    </row>
    <row r="1185" spans="1:14" x14ac:dyDescent="0.35">
      <c r="A1185" t="s">
        <v>1243</v>
      </c>
      <c r="B1185" t="s">
        <v>15</v>
      </c>
      <c r="C1185" t="s">
        <v>16</v>
      </c>
      <c r="D1185">
        <v>91</v>
      </c>
      <c r="E1185" t="s">
        <v>1225</v>
      </c>
      <c r="F1185">
        <v>5419</v>
      </c>
      <c r="G1185" t="s">
        <v>18</v>
      </c>
      <c r="H1185">
        <v>27</v>
      </c>
      <c r="I1185" t="s">
        <v>19</v>
      </c>
      <c r="J1185">
        <v>2005</v>
      </c>
      <c r="K1185">
        <v>2005</v>
      </c>
      <c r="L1185" t="s">
        <v>20</v>
      </c>
      <c r="M1185">
        <v>39397</v>
      </c>
      <c r="N1185">
        <v>2387</v>
      </c>
    </row>
    <row r="1186" spans="1:14" x14ac:dyDescent="0.35">
      <c r="A1186" t="s">
        <v>1244</v>
      </c>
      <c r="B1186" t="s">
        <v>15</v>
      </c>
      <c r="C1186" t="s">
        <v>16</v>
      </c>
      <c r="D1186">
        <v>91</v>
      </c>
      <c r="E1186" t="s">
        <v>1225</v>
      </c>
      <c r="F1186">
        <v>5419</v>
      </c>
      <c r="G1186" t="s">
        <v>18</v>
      </c>
      <c r="H1186">
        <v>27</v>
      </c>
      <c r="I1186" t="s">
        <v>19</v>
      </c>
      <c r="J1186">
        <v>2006</v>
      </c>
      <c r="K1186">
        <v>2006</v>
      </c>
      <c r="L1186" t="s">
        <v>20</v>
      </c>
      <c r="M1186">
        <v>46265</v>
      </c>
      <c r="N1186">
        <v>2387</v>
      </c>
    </row>
    <row r="1187" spans="1:14" x14ac:dyDescent="0.35">
      <c r="A1187" t="s">
        <v>1245</v>
      </c>
      <c r="B1187" t="s">
        <v>15</v>
      </c>
      <c r="C1187" t="s">
        <v>16</v>
      </c>
      <c r="D1187">
        <v>91</v>
      </c>
      <c r="E1187" t="s">
        <v>1225</v>
      </c>
      <c r="F1187">
        <v>5419</v>
      </c>
      <c r="G1187" t="s">
        <v>18</v>
      </c>
      <c r="H1187">
        <v>27</v>
      </c>
      <c r="I1187" t="s">
        <v>19</v>
      </c>
      <c r="J1187">
        <v>2007</v>
      </c>
      <c r="K1187">
        <v>2007</v>
      </c>
      <c r="L1187" t="s">
        <v>20</v>
      </c>
      <c r="M1187">
        <v>43310</v>
      </c>
      <c r="N1187">
        <v>2387</v>
      </c>
    </row>
    <row r="1188" spans="1:14" x14ac:dyDescent="0.35">
      <c r="A1188" t="s">
        <v>1246</v>
      </c>
      <c r="B1188" t="s">
        <v>15</v>
      </c>
      <c r="C1188" t="s">
        <v>16</v>
      </c>
      <c r="D1188">
        <v>91</v>
      </c>
      <c r="E1188" t="s">
        <v>1225</v>
      </c>
      <c r="F1188">
        <v>5419</v>
      </c>
      <c r="G1188" t="s">
        <v>18</v>
      </c>
      <c r="H1188">
        <v>27</v>
      </c>
      <c r="I1188" t="s">
        <v>19</v>
      </c>
      <c r="J1188">
        <v>2008</v>
      </c>
      <c r="K1188">
        <v>2008</v>
      </c>
      <c r="L1188" t="s">
        <v>20</v>
      </c>
      <c r="M1188">
        <v>42324</v>
      </c>
      <c r="N1188">
        <v>2387</v>
      </c>
    </row>
    <row r="1189" spans="1:14" x14ac:dyDescent="0.35">
      <c r="A1189" t="s">
        <v>1247</v>
      </c>
      <c r="B1189" t="s">
        <v>15</v>
      </c>
      <c r="C1189" t="s">
        <v>16</v>
      </c>
      <c r="D1189">
        <v>91</v>
      </c>
      <c r="E1189" t="s">
        <v>1225</v>
      </c>
      <c r="F1189">
        <v>5419</v>
      </c>
      <c r="G1189" t="s">
        <v>18</v>
      </c>
      <c r="H1189">
        <v>27</v>
      </c>
      <c r="I1189" t="s">
        <v>19</v>
      </c>
      <c r="J1189">
        <v>2009</v>
      </c>
      <c r="K1189">
        <v>2009</v>
      </c>
      <c r="L1189" t="s">
        <v>20</v>
      </c>
      <c r="M1189">
        <v>44353</v>
      </c>
      <c r="N1189">
        <v>2387</v>
      </c>
    </row>
    <row r="1190" spans="1:14" x14ac:dyDescent="0.35">
      <c r="A1190" t="s">
        <v>1248</v>
      </c>
      <c r="B1190" t="s">
        <v>15</v>
      </c>
      <c r="C1190" t="s">
        <v>16</v>
      </c>
      <c r="D1190">
        <v>91</v>
      </c>
      <c r="E1190" t="s">
        <v>1225</v>
      </c>
      <c r="F1190">
        <v>5419</v>
      </c>
      <c r="G1190" t="s">
        <v>18</v>
      </c>
      <c r="H1190">
        <v>27</v>
      </c>
      <c r="I1190" t="s">
        <v>19</v>
      </c>
      <c r="J1190">
        <v>2010</v>
      </c>
      <c r="K1190">
        <v>2010</v>
      </c>
      <c r="L1190" t="s">
        <v>20</v>
      </c>
      <c r="M1190">
        <v>42328</v>
      </c>
      <c r="N1190">
        <v>2387</v>
      </c>
    </row>
    <row r="1191" spans="1:14" x14ac:dyDescent="0.35">
      <c r="A1191" t="s">
        <v>1249</v>
      </c>
      <c r="B1191" t="s">
        <v>15</v>
      </c>
      <c r="C1191" t="s">
        <v>16</v>
      </c>
      <c r="D1191">
        <v>91</v>
      </c>
      <c r="E1191" t="s">
        <v>1225</v>
      </c>
      <c r="F1191">
        <v>5419</v>
      </c>
      <c r="G1191" t="s">
        <v>18</v>
      </c>
      <c r="H1191">
        <v>27</v>
      </c>
      <c r="I1191" t="s">
        <v>19</v>
      </c>
      <c r="J1191">
        <v>2011</v>
      </c>
      <c r="K1191">
        <v>2011</v>
      </c>
      <c r="L1191" t="s">
        <v>20</v>
      </c>
      <c r="M1191">
        <v>44102</v>
      </c>
      <c r="N1191">
        <v>2387</v>
      </c>
    </row>
    <row r="1192" spans="1:14" x14ac:dyDescent="0.35">
      <c r="A1192" t="s">
        <v>1250</v>
      </c>
      <c r="B1192" t="s">
        <v>15</v>
      </c>
      <c r="C1192" t="s">
        <v>16</v>
      </c>
      <c r="D1192">
        <v>91</v>
      </c>
      <c r="E1192" t="s">
        <v>1225</v>
      </c>
      <c r="F1192">
        <v>5419</v>
      </c>
      <c r="G1192" t="s">
        <v>18</v>
      </c>
      <c r="H1192">
        <v>27</v>
      </c>
      <c r="I1192" t="s">
        <v>19</v>
      </c>
      <c r="J1192">
        <v>2012</v>
      </c>
      <c r="K1192">
        <v>2012</v>
      </c>
      <c r="L1192" t="s">
        <v>20</v>
      </c>
      <c r="M1192">
        <v>45280</v>
      </c>
      <c r="N1192">
        <v>2387</v>
      </c>
    </row>
    <row r="1193" spans="1:14" x14ac:dyDescent="0.35">
      <c r="A1193" t="s">
        <v>1251</v>
      </c>
      <c r="B1193" t="s">
        <v>15</v>
      </c>
      <c r="C1193" t="s">
        <v>16</v>
      </c>
      <c r="D1193">
        <v>91</v>
      </c>
      <c r="E1193" t="s">
        <v>1225</v>
      </c>
      <c r="F1193">
        <v>5419</v>
      </c>
      <c r="G1193" t="s">
        <v>18</v>
      </c>
      <c r="H1193">
        <v>27</v>
      </c>
      <c r="I1193" t="s">
        <v>19</v>
      </c>
      <c r="J1193">
        <v>2013</v>
      </c>
      <c r="K1193">
        <v>2013</v>
      </c>
      <c r="L1193" t="s">
        <v>20</v>
      </c>
      <c r="M1193">
        <v>49996</v>
      </c>
      <c r="N1193">
        <v>2387</v>
      </c>
    </row>
    <row r="1194" spans="1:14" x14ac:dyDescent="0.35">
      <c r="A1194" t="s">
        <v>1252</v>
      </c>
      <c r="B1194" t="s">
        <v>15</v>
      </c>
      <c r="C1194" t="s">
        <v>16</v>
      </c>
      <c r="D1194">
        <v>91</v>
      </c>
      <c r="E1194" t="s">
        <v>1225</v>
      </c>
      <c r="F1194">
        <v>5419</v>
      </c>
      <c r="G1194" t="s">
        <v>18</v>
      </c>
      <c r="H1194">
        <v>27</v>
      </c>
      <c r="I1194" t="s">
        <v>19</v>
      </c>
      <c r="J1194">
        <v>2014</v>
      </c>
      <c r="K1194">
        <v>2014</v>
      </c>
      <c r="L1194" t="s">
        <v>20</v>
      </c>
      <c r="M1194">
        <v>34265</v>
      </c>
      <c r="N1194">
        <v>2387</v>
      </c>
    </row>
    <row r="1195" spans="1:14" x14ac:dyDescent="0.35">
      <c r="A1195" t="s">
        <v>1253</v>
      </c>
      <c r="B1195" t="s">
        <v>15</v>
      </c>
      <c r="C1195" t="s">
        <v>16</v>
      </c>
      <c r="D1195">
        <v>91</v>
      </c>
      <c r="E1195" t="s">
        <v>1225</v>
      </c>
      <c r="F1195">
        <v>5419</v>
      </c>
      <c r="G1195" t="s">
        <v>18</v>
      </c>
      <c r="H1195">
        <v>27</v>
      </c>
      <c r="I1195" t="s">
        <v>19</v>
      </c>
      <c r="J1195">
        <v>2015</v>
      </c>
      <c r="K1195">
        <v>2015</v>
      </c>
      <c r="L1195" t="s">
        <v>20</v>
      </c>
      <c r="M1195">
        <v>36010</v>
      </c>
      <c r="N1195">
        <v>2387</v>
      </c>
    </row>
    <row r="1196" spans="1:14" x14ac:dyDescent="0.35">
      <c r="A1196" t="s">
        <v>1254</v>
      </c>
      <c r="B1196" t="s">
        <v>15</v>
      </c>
      <c r="C1196" t="s">
        <v>16</v>
      </c>
      <c r="D1196">
        <v>91</v>
      </c>
      <c r="E1196" t="s">
        <v>1225</v>
      </c>
      <c r="F1196">
        <v>5419</v>
      </c>
      <c r="G1196" t="s">
        <v>18</v>
      </c>
      <c r="H1196">
        <v>27</v>
      </c>
      <c r="I1196" t="s">
        <v>19</v>
      </c>
      <c r="J1196">
        <v>2016</v>
      </c>
      <c r="K1196">
        <v>2016</v>
      </c>
      <c r="L1196" t="s">
        <v>20</v>
      </c>
      <c r="M1196">
        <v>35572</v>
      </c>
      <c r="N1196">
        <v>2387</v>
      </c>
    </row>
    <row r="1197" spans="1:14" x14ac:dyDescent="0.35">
      <c r="A1197" t="s">
        <v>1255</v>
      </c>
      <c r="B1197" t="s">
        <v>15</v>
      </c>
      <c r="C1197" t="s">
        <v>16</v>
      </c>
      <c r="D1197">
        <v>93</v>
      </c>
      <c r="E1197" t="s">
        <v>1256</v>
      </c>
      <c r="F1197">
        <v>5419</v>
      </c>
      <c r="G1197" t="s">
        <v>18</v>
      </c>
      <c r="H1197">
        <v>27</v>
      </c>
      <c r="I1197" t="s">
        <v>19</v>
      </c>
      <c r="J1197">
        <v>1985</v>
      </c>
      <c r="K1197">
        <v>1985</v>
      </c>
      <c r="L1197" t="s">
        <v>20</v>
      </c>
      <c r="M1197">
        <v>23490</v>
      </c>
      <c r="N1197">
        <v>1440</v>
      </c>
    </row>
    <row r="1198" spans="1:14" x14ac:dyDescent="0.35">
      <c r="A1198" t="s">
        <v>1257</v>
      </c>
      <c r="B1198" t="s">
        <v>15</v>
      </c>
      <c r="C1198" t="s">
        <v>16</v>
      </c>
      <c r="D1198">
        <v>93</v>
      </c>
      <c r="E1198" t="s">
        <v>1256</v>
      </c>
      <c r="F1198">
        <v>5419</v>
      </c>
      <c r="G1198" t="s">
        <v>18</v>
      </c>
      <c r="H1198">
        <v>27</v>
      </c>
      <c r="I1198" t="s">
        <v>19</v>
      </c>
      <c r="J1198">
        <v>1986</v>
      </c>
      <c r="K1198">
        <v>1986</v>
      </c>
      <c r="L1198" t="s">
        <v>20</v>
      </c>
      <c r="M1198">
        <v>24566</v>
      </c>
      <c r="N1198">
        <v>1440</v>
      </c>
    </row>
    <row r="1199" spans="1:14" x14ac:dyDescent="0.35">
      <c r="A1199" t="s">
        <v>1258</v>
      </c>
      <c r="B1199" t="s">
        <v>15</v>
      </c>
      <c r="C1199" t="s">
        <v>16</v>
      </c>
      <c r="D1199">
        <v>93</v>
      </c>
      <c r="E1199" t="s">
        <v>1256</v>
      </c>
      <c r="F1199">
        <v>5419</v>
      </c>
      <c r="G1199" t="s">
        <v>18</v>
      </c>
      <c r="H1199">
        <v>27</v>
      </c>
      <c r="I1199" t="s">
        <v>19</v>
      </c>
      <c r="J1199">
        <v>1987</v>
      </c>
      <c r="K1199">
        <v>1987</v>
      </c>
      <c r="L1199" t="s">
        <v>20</v>
      </c>
      <c r="M1199">
        <v>24166</v>
      </c>
      <c r="N1199">
        <v>1440</v>
      </c>
    </row>
    <row r="1200" spans="1:14" x14ac:dyDescent="0.35">
      <c r="A1200" t="s">
        <v>1259</v>
      </c>
      <c r="B1200" t="s">
        <v>15</v>
      </c>
      <c r="C1200" t="s">
        <v>16</v>
      </c>
      <c r="D1200">
        <v>93</v>
      </c>
      <c r="E1200" t="s">
        <v>1256</v>
      </c>
      <c r="F1200">
        <v>5419</v>
      </c>
      <c r="G1200" t="s">
        <v>18</v>
      </c>
      <c r="H1200">
        <v>27</v>
      </c>
      <c r="I1200" t="s">
        <v>19</v>
      </c>
      <c r="J1200">
        <v>1989</v>
      </c>
      <c r="K1200">
        <v>1989</v>
      </c>
      <c r="L1200" t="s">
        <v>20</v>
      </c>
      <c r="M1200">
        <v>22125</v>
      </c>
      <c r="N1200">
        <v>1440</v>
      </c>
    </row>
    <row r="1201" spans="1:14" x14ac:dyDescent="0.35">
      <c r="A1201" t="s">
        <v>1260</v>
      </c>
      <c r="B1201" t="s">
        <v>15</v>
      </c>
      <c r="C1201" t="s">
        <v>16</v>
      </c>
      <c r="D1201">
        <v>93</v>
      </c>
      <c r="E1201" t="s">
        <v>1256</v>
      </c>
      <c r="F1201">
        <v>5419</v>
      </c>
      <c r="G1201" t="s">
        <v>18</v>
      </c>
      <c r="H1201">
        <v>27</v>
      </c>
      <c r="I1201" t="s">
        <v>19</v>
      </c>
      <c r="J1201">
        <v>1990</v>
      </c>
      <c r="K1201">
        <v>1990</v>
      </c>
      <c r="L1201" t="s">
        <v>20</v>
      </c>
      <c r="M1201">
        <v>21122</v>
      </c>
      <c r="N1201">
        <v>1440</v>
      </c>
    </row>
    <row r="1202" spans="1:14" x14ac:dyDescent="0.35">
      <c r="A1202" t="s">
        <v>1261</v>
      </c>
      <c r="B1202" t="s">
        <v>15</v>
      </c>
      <c r="C1202" t="s">
        <v>16</v>
      </c>
      <c r="D1202">
        <v>93</v>
      </c>
      <c r="E1202" t="s">
        <v>1256</v>
      </c>
      <c r="F1202">
        <v>5419</v>
      </c>
      <c r="G1202" t="s">
        <v>18</v>
      </c>
      <c r="H1202">
        <v>27</v>
      </c>
      <c r="I1202" t="s">
        <v>19</v>
      </c>
      <c r="J1202">
        <v>1991</v>
      </c>
      <c r="K1202">
        <v>1991</v>
      </c>
      <c r="L1202" t="s">
        <v>20</v>
      </c>
      <c r="M1202">
        <v>20000</v>
      </c>
      <c r="N1202">
        <v>1440</v>
      </c>
    </row>
    <row r="1203" spans="1:14" x14ac:dyDescent="0.35">
      <c r="A1203" t="s">
        <v>1262</v>
      </c>
      <c r="B1203" t="s">
        <v>15</v>
      </c>
      <c r="C1203" t="s">
        <v>16</v>
      </c>
      <c r="D1203">
        <v>93</v>
      </c>
      <c r="E1203" t="s">
        <v>1256</v>
      </c>
      <c r="F1203">
        <v>5419</v>
      </c>
      <c r="G1203" t="s">
        <v>18</v>
      </c>
      <c r="H1203">
        <v>27</v>
      </c>
      <c r="I1203" t="s">
        <v>19</v>
      </c>
      <c r="J1203">
        <v>1992</v>
      </c>
      <c r="K1203">
        <v>1992</v>
      </c>
      <c r="L1203" t="s">
        <v>20</v>
      </c>
      <c r="M1203">
        <v>21586</v>
      </c>
      <c r="N1203">
        <v>1440</v>
      </c>
    </row>
    <row r="1204" spans="1:14" x14ac:dyDescent="0.35">
      <c r="A1204" t="s">
        <v>1263</v>
      </c>
      <c r="B1204" t="s">
        <v>15</v>
      </c>
      <c r="C1204" t="s">
        <v>16</v>
      </c>
      <c r="D1204">
        <v>93</v>
      </c>
      <c r="E1204" t="s">
        <v>1256</v>
      </c>
      <c r="F1204">
        <v>5419</v>
      </c>
      <c r="G1204" t="s">
        <v>18</v>
      </c>
      <c r="H1204">
        <v>27</v>
      </c>
      <c r="I1204" t="s">
        <v>19</v>
      </c>
      <c r="J1204">
        <v>1993</v>
      </c>
      <c r="K1204">
        <v>1993</v>
      </c>
      <c r="L1204" t="s">
        <v>20</v>
      </c>
      <c r="M1204">
        <v>20000</v>
      </c>
      <c r="N1204">
        <v>1440</v>
      </c>
    </row>
    <row r="1205" spans="1:14" x14ac:dyDescent="0.35">
      <c r="A1205" t="s">
        <v>1264</v>
      </c>
      <c r="B1205" t="s">
        <v>15</v>
      </c>
      <c r="C1205" t="s">
        <v>16</v>
      </c>
      <c r="D1205">
        <v>93</v>
      </c>
      <c r="E1205" t="s">
        <v>1256</v>
      </c>
      <c r="F1205">
        <v>5419</v>
      </c>
      <c r="G1205" t="s">
        <v>18</v>
      </c>
      <c r="H1205">
        <v>27</v>
      </c>
      <c r="I1205" t="s">
        <v>19</v>
      </c>
      <c r="J1205">
        <v>1994</v>
      </c>
      <c r="K1205">
        <v>1994</v>
      </c>
      <c r="L1205" t="s">
        <v>20</v>
      </c>
      <c r="M1205">
        <v>19811</v>
      </c>
      <c r="N1205">
        <v>1440</v>
      </c>
    </row>
    <row r="1206" spans="1:14" x14ac:dyDescent="0.35">
      <c r="A1206" t="s">
        <v>1265</v>
      </c>
      <c r="B1206" t="s">
        <v>15</v>
      </c>
      <c r="C1206" t="s">
        <v>16</v>
      </c>
      <c r="D1206">
        <v>93</v>
      </c>
      <c r="E1206" t="s">
        <v>1256</v>
      </c>
      <c r="F1206">
        <v>5419</v>
      </c>
      <c r="G1206" t="s">
        <v>18</v>
      </c>
      <c r="H1206">
        <v>27</v>
      </c>
      <c r="I1206" t="s">
        <v>19</v>
      </c>
      <c r="J1206">
        <v>1995</v>
      </c>
      <c r="K1206">
        <v>1995</v>
      </c>
      <c r="L1206" t="s">
        <v>20</v>
      </c>
      <c r="M1206">
        <v>20000</v>
      </c>
      <c r="N1206">
        <v>1440</v>
      </c>
    </row>
    <row r="1207" spans="1:14" x14ac:dyDescent="0.35">
      <c r="A1207" t="s">
        <v>1266</v>
      </c>
      <c r="B1207" t="s">
        <v>15</v>
      </c>
      <c r="C1207" t="s">
        <v>16</v>
      </c>
      <c r="D1207">
        <v>93</v>
      </c>
      <c r="E1207" t="s">
        <v>1256</v>
      </c>
      <c r="F1207">
        <v>5419</v>
      </c>
      <c r="G1207" t="s">
        <v>18</v>
      </c>
      <c r="H1207">
        <v>27</v>
      </c>
      <c r="I1207" t="s">
        <v>19</v>
      </c>
      <c r="J1207">
        <v>1996</v>
      </c>
      <c r="K1207">
        <v>1996</v>
      </c>
      <c r="L1207" t="s">
        <v>20</v>
      </c>
      <c r="M1207">
        <v>24896</v>
      </c>
      <c r="N1207">
        <v>1440</v>
      </c>
    </row>
    <row r="1208" spans="1:14" x14ac:dyDescent="0.35">
      <c r="A1208" t="s">
        <v>1267</v>
      </c>
      <c r="B1208" t="s">
        <v>15</v>
      </c>
      <c r="C1208" t="s">
        <v>16</v>
      </c>
      <c r="D1208">
        <v>93</v>
      </c>
      <c r="E1208" t="s">
        <v>1256</v>
      </c>
      <c r="F1208">
        <v>5419</v>
      </c>
      <c r="G1208" t="s">
        <v>18</v>
      </c>
      <c r="H1208">
        <v>27</v>
      </c>
      <c r="I1208" t="s">
        <v>19</v>
      </c>
      <c r="J1208">
        <v>1997</v>
      </c>
      <c r="K1208">
        <v>1997</v>
      </c>
      <c r="L1208" t="s">
        <v>20</v>
      </c>
      <c r="M1208">
        <v>22857</v>
      </c>
      <c r="N1208">
        <v>1440</v>
      </c>
    </row>
    <row r="1209" spans="1:14" x14ac:dyDescent="0.35">
      <c r="A1209" t="s">
        <v>1268</v>
      </c>
      <c r="B1209" t="s">
        <v>15</v>
      </c>
      <c r="C1209" t="s">
        <v>16</v>
      </c>
      <c r="D1209">
        <v>93</v>
      </c>
      <c r="E1209" t="s">
        <v>1256</v>
      </c>
      <c r="F1209">
        <v>5419</v>
      </c>
      <c r="G1209" t="s">
        <v>18</v>
      </c>
      <c r="H1209">
        <v>27</v>
      </c>
      <c r="I1209" t="s">
        <v>19</v>
      </c>
      <c r="J1209">
        <v>1998</v>
      </c>
      <c r="K1209">
        <v>1998</v>
      </c>
      <c r="L1209" t="s">
        <v>20</v>
      </c>
      <c r="M1209">
        <v>19800</v>
      </c>
      <c r="N1209">
        <v>1440</v>
      </c>
    </row>
    <row r="1210" spans="1:14" x14ac:dyDescent="0.35">
      <c r="A1210" t="s">
        <v>1269</v>
      </c>
      <c r="B1210" t="s">
        <v>15</v>
      </c>
      <c r="C1210" t="s">
        <v>16</v>
      </c>
      <c r="D1210">
        <v>93</v>
      </c>
      <c r="E1210" t="s">
        <v>1256</v>
      </c>
      <c r="F1210">
        <v>5419</v>
      </c>
      <c r="G1210" t="s">
        <v>18</v>
      </c>
      <c r="H1210">
        <v>27</v>
      </c>
      <c r="I1210" t="s">
        <v>19</v>
      </c>
      <c r="J1210">
        <v>1999</v>
      </c>
      <c r="K1210">
        <v>1999</v>
      </c>
      <c r="L1210" t="s">
        <v>20</v>
      </c>
      <c r="M1210">
        <v>20833</v>
      </c>
      <c r="N1210">
        <v>1440</v>
      </c>
    </row>
    <row r="1211" spans="1:14" x14ac:dyDescent="0.35">
      <c r="A1211" t="s">
        <v>1270</v>
      </c>
      <c r="B1211" t="s">
        <v>15</v>
      </c>
      <c r="C1211" t="s">
        <v>16</v>
      </c>
      <c r="D1211">
        <v>93</v>
      </c>
      <c r="E1211" t="s">
        <v>1256</v>
      </c>
      <c r="F1211">
        <v>5419</v>
      </c>
      <c r="G1211" t="s">
        <v>18</v>
      </c>
      <c r="H1211">
        <v>27</v>
      </c>
      <c r="I1211" t="s">
        <v>19</v>
      </c>
      <c r="J1211">
        <v>2000</v>
      </c>
      <c r="K1211">
        <v>2000</v>
      </c>
      <c r="L1211" t="s">
        <v>20</v>
      </c>
      <c r="M1211">
        <v>25000</v>
      </c>
      <c r="N1211">
        <v>1440</v>
      </c>
    </row>
    <row r="1212" spans="1:14" x14ac:dyDescent="0.35">
      <c r="A1212" t="s">
        <v>1271</v>
      </c>
      <c r="B1212" t="s">
        <v>15</v>
      </c>
      <c r="C1212" t="s">
        <v>16</v>
      </c>
      <c r="D1212">
        <v>93</v>
      </c>
      <c r="E1212" t="s">
        <v>1256</v>
      </c>
      <c r="F1212">
        <v>5419</v>
      </c>
      <c r="G1212" t="s">
        <v>18</v>
      </c>
      <c r="H1212">
        <v>27</v>
      </c>
      <c r="I1212" t="s">
        <v>19</v>
      </c>
      <c r="J1212">
        <v>2001</v>
      </c>
      <c r="K1212">
        <v>2001</v>
      </c>
      <c r="L1212" t="s">
        <v>20</v>
      </c>
      <c r="M1212">
        <v>20117</v>
      </c>
      <c r="N1212">
        <v>1440</v>
      </c>
    </row>
    <row r="1213" spans="1:14" x14ac:dyDescent="0.35">
      <c r="A1213" t="s">
        <v>1272</v>
      </c>
      <c r="B1213" t="s">
        <v>15</v>
      </c>
      <c r="C1213" t="s">
        <v>16</v>
      </c>
      <c r="D1213">
        <v>93</v>
      </c>
      <c r="E1213" t="s">
        <v>1256</v>
      </c>
      <c r="F1213">
        <v>5419</v>
      </c>
      <c r="G1213" t="s">
        <v>18</v>
      </c>
      <c r="H1213">
        <v>27</v>
      </c>
      <c r="I1213" t="s">
        <v>19</v>
      </c>
      <c r="J1213">
        <v>2002</v>
      </c>
      <c r="K1213">
        <v>2002</v>
      </c>
      <c r="L1213" t="s">
        <v>20</v>
      </c>
      <c r="M1213">
        <v>20000</v>
      </c>
      <c r="N1213">
        <v>1440</v>
      </c>
    </row>
    <row r="1214" spans="1:14" x14ac:dyDescent="0.35">
      <c r="A1214" t="s">
        <v>1273</v>
      </c>
      <c r="B1214" t="s">
        <v>15</v>
      </c>
      <c r="C1214" t="s">
        <v>16</v>
      </c>
      <c r="D1214">
        <v>93</v>
      </c>
      <c r="E1214" t="s">
        <v>1256</v>
      </c>
      <c r="F1214">
        <v>5419</v>
      </c>
      <c r="G1214" t="s">
        <v>18</v>
      </c>
      <c r="H1214">
        <v>27</v>
      </c>
      <c r="I1214" t="s">
        <v>19</v>
      </c>
      <c r="J1214">
        <v>2004</v>
      </c>
      <c r="K1214">
        <v>2004</v>
      </c>
      <c r="L1214" t="s">
        <v>20</v>
      </c>
      <c r="M1214">
        <v>20508</v>
      </c>
      <c r="N1214">
        <v>1440</v>
      </c>
    </row>
    <row r="1215" spans="1:14" x14ac:dyDescent="0.35">
      <c r="A1215" t="s">
        <v>1274</v>
      </c>
      <c r="B1215" t="s">
        <v>15</v>
      </c>
      <c r="C1215" t="s">
        <v>16</v>
      </c>
      <c r="D1215">
        <v>93</v>
      </c>
      <c r="E1215" t="s">
        <v>1256</v>
      </c>
      <c r="F1215">
        <v>5419</v>
      </c>
      <c r="G1215" t="s">
        <v>18</v>
      </c>
      <c r="H1215">
        <v>27</v>
      </c>
      <c r="I1215" t="s">
        <v>19</v>
      </c>
      <c r="J1215">
        <v>2005</v>
      </c>
      <c r="K1215">
        <v>2005</v>
      </c>
      <c r="L1215" t="s">
        <v>20</v>
      </c>
      <c r="M1215">
        <v>20270</v>
      </c>
      <c r="N1215">
        <v>1440</v>
      </c>
    </row>
    <row r="1216" spans="1:14" x14ac:dyDescent="0.35">
      <c r="A1216" t="s">
        <v>1275</v>
      </c>
      <c r="B1216" t="s">
        <v>15</v>
      </c>
      <c r="C1216" t="s">
        <v>16</v>
      </c>
      <c r="D1216">
        <v>93</v>
      </c>
      <c r="E1216" t="s">
        <v>1256</v>
      </c>
      <c r="F1216">
        <v>5419</v>
      </c>
      <c r="G1216" t="s">
        <v>18</v>
      </c>
      <c r="H1216">
        <v>27</v>
      </c>
      <c r="I1216" t="s">
        <v>19</v>
      </c>
      <c r="J1216">
        <v>2006</v>
      </c>
      <c r="K1216">
        <v>2006</v>
      </c>
      <c r="L1216" t="s">
        <v>20</v>
      </c>
      <c r="M1216">
        <v>20755</v>
      </c>
      <c r="N1216">
        <v>1440</v>
      </c>
    </row>
    <row r="1217" spans="1:14" x14ac:dyDescent="0.35">
      <c r="A1217" t="s">
        <v>1276</v>
      </c>
      <c r="B1217" t="s">
        <v>15</v>
      </c>
      <c r="C1217" t="s">
        <v>16</v>
      </c>
      <c r="D1217">
        <v>93</v>
      </c>
      <c r="E1217" t="s">
        <v>1256</v>
      </c>
      <c r="F1217">
        <v>5419</v>
      </c>
      <c r="G1217" t="s">
        <v>18</v>
      </c>
      <c r="H1217">
        <v>27</v>
      </c>
      <c r="I1217" t="s">
        <v>19</v>
      </c>
      <c r="J1217">
        <v>2007</v>
      </c>
      <c r="K1217">
        <v>2007</v>
      </c>
      <c r="L1217" t="s">
        <v>20</v>
      </c>
      <c r="M1217">
        <v>22491</v>
      </c>
      <c r="N1217">
        <v>1440</v>
      </c>
    </row>
    <row r="1218" spans="1:14" x14ac:dyDescent="0.35">
      <c r="A1218" t="s">
        <v>1277</v>
      </c>
      <c r="B1218" t="s">
        <v>15</v>
      </c>
      <c r="C1218" t="s">
        <v>16</v>
      </c>
      <c r="D1218">
        <v>93</v>
      </c>
      <c r="E1218" t="s">
        <v>1256</v>
      </c>
      <c r="F1218">
        <v>5419</v>
      </c>
      <c r="G1218" t="s">
        <v>18</v>
      </c>
      <c r="H1218">
        <v>27</v>
      </c>
      <c r="I1218" t="s">
        <v>19</v>
      </c>
      <c r="J1218">
        <v>2008</v>
      </c>
      <c r="K1218">
        <v>2008</v>
      </c>
      <c r="L1218" t="s">
        <v>20</v>
      </c>
      <c r="M1218">
        <v>20755</v>
      </c>
      <c r="N1218">
        <v>1440</v>
      </c>
    </row>
    <row r="1219" spans="1:14" x14ac:dyDescent="0.35">
      <c r="A1219" t="s">
        <v>1278</v>
      </c>
      <c r="B1219" t="s">
        <v>15</v>
      </c>
      <c r="C1219" t="s">
        <v>16</v>
      </c>
      <c r="D1219">
        <v>93</v>
      </c>
      <c r="E1219" t="s">
        <v>1256</v>
      </c>
      <c r="F1219">
        <v>5419</v>
      </c>
      <c r="G1219" t="s">
        <v>18</v>
      </c>
      <c r="H1219">
        <v>27</v>
      </c>
      <c r="I1219" t="s">
        <v>19</v>
      </c>
      <c r="J1219">
        <v>2009</v>
      </c>
      <c r="K1219">
        <v>2009</v>
      </c>
      <c r="L1219" t="s">
        <v>20</v>
      </c>
      <c r="M1219">
        <v>22313</v>
      </c>
      <c r="N1219">
        <v>1440</v>
      </c>
    </row>
    <row r="1220" spans="1:14" x14ac:dyDescent="0.35">
      <c r="A1220" t="s">
        <v>1279</v>
      </c>
      <c r="B1220" t="s">
        <v>15</v>
      </c>
      <c r="C1220" t="s">
        <v>16</v>
      </c>
      <c r="D1220">
        <v>93</v>
      </c>
      <c r="E1220" t="s">
        <v>1256</v>
      </c>
      <c r="F1220">
        <v>5419</v>
      </c>
      <c r="G1220" t="s">
        <v>18</v>
      </c>
      <c r="H1220">
        <v>27</v>
      </c>
      <c r="I1220" t="s">
        <v>19</v>
      </c>
      <c r="J1220">
        <v>2010</v>
      </c>
      <c r="K1220">
        <v>2010</v>
      </c>
      <c r="L1220" t="s">
        <v>20</v>
      </c>
      <c r="M1220">
        <v>23321</v>
      </c>
      <c r="N1220">
        <v>1440</v>
      </c>
    </row>
    <row r="1221" spans="1:14" x14ac:dyDescent="0.35">
      <c r="A1221" t="s">
        <v>1280</v>
      </c>
      <c r="B1221" t="s">
        <v>15</v>
      </c>
      <c r="C1221" t="s">
        <v>16</v>
      </c>
      <c r="D1221">
        <v>93</v>
      </c>
      <c r="E1221" t="s">
        <v>1256</v>
      </c>
      <c r="F1221">
        <v>5419</v>
      </c>
      <c r="G1221" t="s">
        <v>18</v>
      </c>
      <c r="H1221">
        <v>27</v>
      </c>
      <c r="I1221" t="s">
        <v>19</v>
      </c>
      <c r="J1221">
        <v>2011</v>
      </c>
      <c r="K1221">
        <v>2011</v>
      </c>
      <c r="L1221" t="s">
        <v>20</v>
      </c>
      <c r="M1221">
        <v>24043</v>
      </c>
      <c r="N1221">
        <v>1440</v>
      </c>
    </row>
    <row r="1222" spans="1:14" x14ac:dyDescent="0.35">
      <c r="A1222" t="s">
        <v>1281</v>
      </c>
      <c r="B1222" t="s">
        <v>15</v>
      </c>
      <c r="C1222" t="s">
        <v>16</v>
      </c>
      <c r="D1222">
        <v>93</v>
      </c>
      <c r="E1222" t="s">
        <v>1256</v>
      </c>
      <c r="F1222">
        <v>5419</v>
      </c>
      <c r="G1222" t="s">
        <v>18</v>
      </c>
      <c r="H1222">
        <v>27</v>
      </c>
      <c r="I1222" t="s">
        <v>19</v>
      </c>
      <c r="J1222">
        <v>2012</v>
      </c>
      <c r="K1222">
        <v>2012</v>
      </c>
      <c r="L1222" t="s">
        <v>20</v>
      </c>
      <c r="M1222">
        <v>24722</v>
      </c>
      <c r="N1222">
        <v>1440</v>
      </c>
    </row>
    <row r="1223" spans="1:14" x14ac:dyDescent="0.35">
      <c r="A1223" t="s">
        <v>1282</v>
      </c>
      <c r="B1223" t="s">
        <v>15</v>
      </c>
      <c r="C1223" t="s">
        <v>16</v>
      </c>
      <c r="D1223">
        <v>93</v>
      </c>
      <c r="E1223" t="s">
        <v>1256</v>
      </c>
      <c r="F1223">
        <v>5419</v>
      </c>
      <c r="G1223" t="s">
        <v>18</v>
      </c>
      <c r="H1223">
        <v>27</v>
      </c>
      <c r="I1223" t="s">
        <v>19</v>
      </c>
      <c r="J1223">
        <v>2013</v>
      </c>
      <c r="K1223">
        <v>2013</v>
      </c>
      <c r="L1223" t="s">
        <v>20</v>
      </c>
      <c r="M1223">
        <v>28789</v>
      </c>
      <c r="N1223">
        <v>1440</v>
      </c>
    </row>
    <row r="1224" spans="1:14" x14ac:dyDescent="0.35">
      <c r="A1224" t="s">
        <v>1283</v>
      </c>
      <c r="B1224" t="s">
        <v>15</v>
      </c>
      <c r="C1224" t="s">
        <v>16</v>
      </c>
      <c r="D1224">
        <v>93</v>
      </c>
      <c r="E1224" t="s">
        <v>1256</v>
      </c>
      <c r="F1224">
        <v>5419</v>
      </c>
      <c r="G1224" t="s">
        <v>18</v>
      </c>
      <c r="H1224">
        <v>27</v>
      </c>
      <c r="I1224" t="s">
        <v>19</v>
      </c>
      <c r="J1224">
        <v>2014</v>
      </c>
      <c r="K1224">
        <v>2014</v>
      </c>
      <c r="L1224" t="s">
        <v>20</v>
      </c>
      <c r="M1224">
        <v>25821</v>
      </c>
      <c r="N1224">
        <v>1440</v>
      </c>
    </row>
    <row r="1225" spans="1:14" x14ac:dyDescent="0.35">
      <c r="A1225" t="s">
        <v>1284</v>
      </c>
      <c r="B1225" t="s">
        <v>15</v>
      </c>
      <c r="C1225" t="s">
        <v>16</v>
      </c>
      <c r="D1225">
        <v>93</v>
      </c>
      <c r="E1225" t="s">
        <v>1256</v>
      </c>
      <c r="F1225">
        <v>5419</v>
      </c>
      <c r="G1225" t="s">
        <v>18</v>
      </c>
      <c r="H1225">
        <v>27</v>
      </c>
      <c r="I1225" t="s">
        <v>19</v>
      </c>
      <c r="J1225">
        <v>2015</v>
      </c>
      <c r="K1225">
        <v>2015</v>
      </c>
      <c r="L1225" t="s">
        <v>20</v>
      </c>
      <c r="M1225">
        <v>24690</v>
      </c>
      <c r="N1225">
        <v>1440</v>
      </c>
    </row>
    <row r="1226" spans="1:14" x14ac:dyDescent="0.35">
      <c r="A1226" t="s">
        <v>1285</v>
      </c>
      <c r="B1226" t="s">
        <v>15</v>
      </c>
      <c r="C1226" t="s">
        <v>16</v>
      </c>
      <c r="D1226">
        <v>93</v>
      </c>
      <c r="E1226" t="s">
        <v>1256</v>
      </c>
      <c r="F1226">
        <v>5419</v>
      </c>
      <c r="G1226" t="s">
        <v>18</v>
      </c>
      <c r="H1226">
        <v>27</v>
      </c>
      <c r="I1226" t="s">
        <v>19</v>
      </c>
      <c r="J1226">
        <v>2016</v>
      </c>
      <c r="K1226">
        <v>2016</v>
      </c>
      <c r="L1226" t="s">
        <v>20</v>
      </c>
      <c r="M1226">
        <v>25240</v>
      </c>
      <c r="N1226">
        <v>1440</v>
      </c>
    </row>
    <row r="1227" spans="1:14" x14ac:dyDescent="0.35">
      <c r="A1227" t="s">
        <v>1286</v>
      </c>
      <c r="B1227" t="s">
        <v>15</v>
      </c>
      <c r="C1227" t="s">
        <v>16</v>
      </c>
      <c r="D1227">
        <v>95</v>
      </c>
      <c r="E1227" t="s">
        <v>1287</v>
      </c>
      <c r="F1227">
        <v>5419</v>
      </c>
      <c r="G1227" t="s">
        <v>18</v>
      </c>
      <c r="H1227">
        <v>27</v>
      </c>
      <c r="I1227" t="s">
        <v>19</v>
      </c>
      <c r="J1227">
        <v>1985</v>
      </c>
      <c r="K1227">
        <v>1985</v>
      </c>
      <c r="L1227" t="s">
        <v>20</v>
      </c>
      <c r="M1227">
        <v>25983</v>
      </c>
      <c r="N1227">
        <v>1976</v>
      </c>
    </row>
    <row r="1228" spans="1:14" x14ac:dyDescent="0.35">
      <c r="A1228" t="s">
        <v>1288</v>
      </c>
      <c r="B1228" t="s">
        <v>15</v>
      </c>
      <c r="C1228" t="s">
        <v>16</v>
      </c>
      <c r="D1228">
        <v>95</v>
      </c>
      <c r="E1228" t="s">
        <v>1287</v>
      </c>
      <c r="F1228">
        <v>5419</v>
      </c>
      <c r="G1228" t="s">
        <v>18</v>
      </c>
      <c r="H1228">
        <v>27</v>
      </c>
      <c r="I1228" t="s">
        <v>19</v>
      </c>
      <c r="J1228">
        <v>1986</v>
      </c>
      <c r="K1228">
        <v>1986</v>
      </c>
      <c r="L1228" t="s">
        <v>20</v>
      </c>
      <c r="M1228">
        <v>24971</v>
      </c>
      <c r="N1228">
        <v>1976</v>
      </c>
    </row>
    <row r="1229" spans="1:14" x14ac:dyDescent="0.35">
      <c r="A1229" t="s">
        <v>1289</v>
      </c>
      <c r="B1229" t="s">
        <v>15</v>
      </c>
      <c r="C1229" t="s">
        <v>16</v>
      </c>
      <c r="D1229">
        <v>95</v>
      </c>
      <c r="E1229" t="s">
        <v>1287</v>
      </c>
      <c r="F1229">
        <v>5419</v>
      </c>
      <c r="G1229" t="s">
        <v>18</v>
      </c>
      <c r="H1229">
        <v>27</v>
      </c>
      <c r="I1229" t="s">
        <v>19</v>
      </c>
      <c r="J1229">
        <v>1987</v>
      </c>
      <c r="K1229">
        <v>1987</v>
      </c>
      <c r="L1229" t="s">
        <v>20</v>
      </c>
      <c r="M1229">
        <v>28557</v>
      </c>
      <c r="N1229">
        <v>1976</v>
      </c>
    </row>
    <row r="1230" spans="1:14" x14ac:dyDescent="0.35">
      <c r="A1230" t="s">
        <v>1290</v>
      </c>
      <c r="B1230" t="s">
        <v>15</v>
      </c>
      <c r="C1230" t="s">
        <v>16</v>
      </c>
      <c r="D1230">
        <v>95</v>
      </c>
      <c r="E1230" t="s">
        <v>1287</v>
      </c>
      <c r="F1230">
        <v>5419</v>
      </c>
      <c r="G1230" t="s">
        <v>18</v>
      </c>
      <c r="H1230">
        <v>27</v>
      </c>
      <c r="I1230" t="s">
        <v>19</v>
      </c>
      <c r="J1230">
        <v>1989</v>
      </c>
      <c r="K1230">
        <v>1989</v>
      </c>
      <c r="L1230" t="s">
        <v>20</v>
      </c>
      <c r="M1230">
        <v>27542</v>
      </c>
      <c r="N1230">
        <v>1976</v>
      </c>
    </row>
    <row r="1231" spans="1:14" x14ac:dyDescent="0.35">
      <c r="A1231" t="s">
        <v>1291</v>
      </c>
      <c r="B1231" t="s">
        <v>15</v>
      </c>
      <c r="C1231" t="s">
        <v>16</v>
      </c>
      <c r="D1231">
        <v>95</v>
      </c>
      <c r="E1231" t="s">
        <v>1287</v>
      </c>
      <c r="F1231">
        <v>5419</v>
      </c>
      <c r="G1231" t="s">
        <v>18</v>
      </c>
      <c r="H1231">
        <v>27</v>
      </c>
      <c r="I1231" t="s">
        <v>19</v>
      </c>
      <c r="J1231">
        <v>1990</v>
      </c>
      <c r="K1231">
        <v>1990</v>
      </c>
      <c r="L1231" t="s">
        <v>20</v>
      </c>
      <c r="M1231">
        <v>25026</v>
      </c>
      <c r="N1231">
        <v>1976</v>
      </c>
    </row>
    <row r="1232" spans="1:14" x14ac:dyDescent="0.35">
      <c r="A1232" t="s">
        <v>1292</v>
      </c>
      <c r="B1232" t="s">
        <v>15</v>
      </c>
      <c r="C1232" t="s">
        <v>16</v>
      </c>
      <c r="D1232">
        <v>95</v>
      </c>
      <c r="E1232" t="s">
        <v>1287</v>
      </c>
      <c r="F1232">
        <v>5419</v>
      </c>
      <c r="G1232" t="s">
        <v>18</v>
      </c>
      <c r="H1232">
        <v>27</v>
      </c>
      <c r="I1232" t="s">
        <v>19</v>
      </c>
      <c r="J1232">
        <v>1991</v>
      </c>
      <c r="K1232">
        <v>1991</v>
      </c>
      <c r="L1232" t="s">
        <v>20</v>
      </c>
      <c r="M1232">
        <v>25924</v>
      </c>
      <c r="N1232">
        <v>1976</v>
      </c>
    </row>
    <row r="1233" spans="1:14" x14ac:dyDescent="0.35">
      <c r="A1233" t="s">
        <v>1293</v>
      </c>
      <c r="B1233" t="s">
        <v>15</v>
      </c>
      <c r="C1233" t="s">
        <v>16</v>
      </c>
      <c r="D1233">
        <v>95</v>
      </c>
      <c r="E1233" t="s">
        <v>1287</v>
      </c>
      <c r="F1233">
        <v>5419</v>
      </c>
      <c r="G1233" t="s">
        <v>18</v>
      </c>
      <c r="H1233">
        <v>27</v>
      </c>
      <c r="I1233" t="s">
        <v>19</v>
      </c>
      <c r="J1233">
        <v>1992</v>
      </c>
      <c r="K1233">
        <v>1992</v>
      </c>
      <c r="L1233" t="s">
        <v>20</v>
      </c>
      <c r="M1233">
        <v>26931</v>
      </c>
      <c r="N1233">
        <v>1976</v>
      </c>
    </row>
    <row r="1234" spans="1:14" x14ac:dyDescent="0.35">
      <c r="A1234" t="s">
        <v>1294</v>
      </c>
      <c r="B1234" t="s">
        <v>15</v>
      </c>
      <c r="C1234" t="s">
        <v>16</v>
      </c>
      <c r="D1234">
        <v>95</v>
      </c>
      <c r="E1234" t="s">
        <v>1287</v>
      </c>
      <c r="F1234">
        <v>5419</v>
      </c>
      <c r="G1234" t="s">
        <v>18</v>
      </c>
      <c r="H1234">
        <v>27</v>
      </c>
      <c r="I1234" t="s">
        <v>19</v>
      </c>
      <c r="J1234">
        <v>1993</v>
      </c>
      <c r="K1234">
        <v>1993</v>
      </c>
      <c r="L1234" t="s">
        <v>20</v>
      </c>
      <c r="M1234">
        <v>26536</v>
      </c>
      <c r="N1234">
        <v>1976</v>
      </c>
    </row>
    <row r="1235" spans="1:14" x14ac:dyDescent="0.35">
      <c r="A1235" t="s">
        <v>1295</v>
      </c>
      <c r="B1235" t="s">
        <v>15</v>
      </c>
      <c r="C1235" t="s">
        <v>16</v>
      </c>
      <c r="D1235">
        <v>95</v>
      </c>
      <c r="E1235" t="s">
        <v>1287</v>
      </c>
      <c r="F1235">
        <v>5419</v>
      </c>
      <c r="G1235" t="s">
        <v>18</v>
      </c>
      <c r="H1235">
        <v>27</v>
      </c>
      <c r="I1235" t="s">
        <v>19</v>
      </c>
      <c r="J1235">
        <v>1994</v>
      </c>
      <c r="K1235">
        <v>1994</v>
      </c>
      <c r="L1235" t="s">
        <v>20</v>
      </c>
      <c r="M1235">
        <v>24906</v>
      </c>
      <c r="N1235">
        <v>1976</v>
      </c>
    </row>
    <row r="1236" spans="1:14" x14ac:dyDescent="0.35">
      <c r="A1236" t="s">
        <v>1296</v>
      </c>
      <c r="B1236" t="s">
        <v>15</v>
      </c>
      <c r="C1236" t="s">
        <v>16</v>
      </c>
      <c r="D1236">
        <v>95</v>
      </c>
      <c r="E1236" t="s">
        <v>1287</v>
      </c>
      <c r="F1236">
        <v>5419</v>
      </c>
      <c r="G1236" t="s">
        <v>18</v>
      </c>
      <c r="H1236">
        <v>27</v>
      </c>
      <c r="I1236" t="s">
        <v>19</v>
      </c>
      <c r="J1236">
        <v>1995</v>
      </c>
      <c r="K1236">
        <v>1995</v>
      </c>
      <c r="L1236" t="s">
        <v>20</v>
      </c>
      <c r="M1236">
        <v>26103</v>
      </c>
      <c r="N1236">
        <v>1976</v>
      </c>
    </row>
    <row r="1237" spans="1:14" x14ac:dyDescent="0.35">
      <c r="A1237" t="s">
        <v>1297</v>
      </c>
      <c r="B1237" t="s">
        <v>15</v>
      </c>
      <c r="C1237" t="s">
        <v>16</v>
      </c>
      <c r="D1237">
        <v>95</v>
      </c>
      <c r="E1237" t="s">
        <v>1287</v>
      </c>
      <c r="F1237">
        <v>5419</v>
      </c>
      <c r="G1237" t="s">
        <v>18</v>
      </c>
      <c r="H1237">
        <v>27</v>
      </c>
      <c r="I1237" t="s">
        <v>19</v>
      </c>
      <c r="J1237">
        <v>1996</v>
      </c>
      <c r="K1237">
        <v>1996</v>
      </c>
      <c r="L1237" t="s">
        <v>20</v>
      </c>
      <c r="M1237">
        <v>26768</v>
      </c>
      <c r="N1237">
        <v>1976</v>
      </c>
    </row>
    <row r="1238" spans="1:14" x14ac:dyDescent="0.35">
      <c r="A1238" t="s">
        <v>1298</v>
      </c>
      <c r="B1238" t="s">
        <v>15</v>
      </c>
      <c r="C1238" t="s">
        <v>16</v>
      </c>
      <c r="D1238">
        <v>95</v>
      </c>
      <c r="E1238" t="s">
        <v>1287</v>
      </c>
      <c r="F1238">
        <v>5419</v>
      </c>
      <c r="G1238" t="s">
        <v>18</v>
      </c>
      <c r="H1238">
        <v>27</v>
      </c>
      <c r="I1238" t="s">
        <v>19</v>
      </c>
      <c r="J1238">
        <v>1997</v>
      </c>
      <c r="K1238">
        <v>1997</v>
      </c>
      <c r="L1238" t="s">
        <v>20</v>
      </c>
      <c r="M1238">
        <v>31028</v>
      </c>
      <c r="N1238">
        <v>1976</v>
      </c>
    </row>
    <row r="1239" spans="1:14" x14ac:dyDescent="0.35">
      <c r="A1239" t="s">
        <v>1299</v>
      </c>
      <c r="B1239" t="s">
        <v>15</v>
      </c>
      <c r="C1239" t="s">
        <v>16</v>
      </c>
      <c r="D1239">
        <v>95</v>
      </c>
      <c r="E1239" t="s">
        <v>1287</v>
      </c>
      <c r="F1239">
        <v>5419</v>
      </c>
      <c r="G1239" t="s">
        <v>18</v>
      </c>
      <c r="H1239">
        <v>27</v>
      </c>
      <c r="I1239" t="s">
        <v>19</v>
      </c>
      <c r="J1239">
        <v>1998</v>
      </c>
      <c r="K1239">
        <v>1998</v>
      </c>
      <c r="L1239" t="s">
        <v>20</v>
      </c>
      <c r="M1239">
        <v>25468</v>
      </c>
      <c r="N1239">
        <v>1976</v>
      </c>
    </row>
    <row r="1240" spans="1:14" x14ac:dyDescent="0.35">
      <c r="A1240" t="s">
        <v>1300</v>
      </c>
      <c r="B1240" t="s">
        <v>15</v>
      </c>
      <c r="C1240" t="s">
        <v>16</v>
      </c>
      <c r="D1240">
        <v>95</v>
      </c>
      <c r="E1240" t="s">
        <v>1287</v>
      </c>
      <c r="F1240">
        <v>5419</v>
      </c>
      <c r="G1240" t="s">
        <v>18</v>
      </c>
      <c r="H1240">
        <v>27</v>
      </c>
      <c r="I1240" t="s">
        <v>19</v>
      </c>
      <c r="J1240">
        <v>1999</v>
      </c>
      <c r="K1240">
        <v>1999</v>
      </c>
      <c r="L1240" t="s">
        <v>20</v>
      </c>
      <c r="M1240">
        <v>21850</v>
      </c>
      <c r="N1240">
        <v>1976</v>
      </c>
    </row>
    <row r="1241" spans="1:14" x14ac:dyDescent="0.35">
      <c r="A1241" t="s">
        <v>1301</v>
      </c>
      <c r="B1241" t="s">
        <v>15</v>
      </c>
      <c r="C1241" t="s">
        <v>16</v>
      </c>
      <c r="D1241">
        <v>95</v>
      </c>
      <c r="E1241" t="s">
        <v>1287</v>
      </c>
      <c r="F1241">
        <v>5419</v>
      </c>
      <c r="G1241" t="s">
        <v>18</v>
      </c>
      <c r="H1241">
        <v>27</v>
      </c>
      <c r="I1241" t="s">
        <v>19</v>
      </c>
      <c r="J1241">
        <v>2000</v>
      </c>
      <c r="K1241">
        <v>2000</v>
      </c>
      <c r="L1241" t="s">
        <v>20</v>
      </c>
      <c r="M1241">
        <v>22923</v>
      </c>
      <c r="N1241">
        <v>1976</v>
      </c>
    </row>
    <row r="1242" spans="1:14" x14ac:dyDescent="0.35">
      <c r="A1242" t="s">
        <v>1302</v>
      </c>
      <c r="B1242" t="s">
        <v>15</v>
      </c>
      <c r="C1242" t="s">
        <v>16</v>
      </c>
      <c r="D1242">
        <v>95</v>
      </c>
      <c r="E1242" t="s">
        <v>1287</v>
      </c>
      <c r="F1242">
        <v>5419</v>
      </c>
      <c r="G1242" t="s">
        <v>18</v>
      </c>
      <c r="H1242">
        <v>27</v>
      </c>
      <c r="I1242" t="s">
        <v>19</v>
      </c>
      <c r="J1242">
        <v>2001</v>
      </c>
      <c r="K1242">
        <v>2001</v>
      </c>
      <c r="L1242" t="s">
        <v>20</v>
      </c>
      <c r="M1242">
        <v>34989</v>
      </c>
      <c r="N1242">
        <v>1976</v>
      </c>
    </row>
    <row r="1243" spans="1:14" x14ac:dyDescent="0.35">
      <c r="A1243" t="s">
        <v>1303</v>
      </c>
      <c r="B1243" t="s">
        <v>15</v>
      </c>
      <c r="C1243" t="s">
        <v>16</v>
      </c>
      <c r="D1243">
        <v>95</v>
      </c>
      <c r="E1243" t="s">
        <v>1287</v>
      </c>
      <c r="F1243">
        <v>5419</v>
      </c>
      <c r="G1243" t="s">
        <v>18</v>
      </c>
      <c r="H1243">
        <v>27</v>
      </c>
      <c r="I1243" t="s">
        <v>19</v>
      </c>
      <c r="J1243">
        <v>2002</v>
      </c>
      <c r="K1243">
        <v>2002</v>
      </c>
      <c r="L1243" t="s">
        <v>20</v>
      </c>
      <c r="M1243">
        <v>23573</v>
      </c>
      <c r="N1243">
        <v>1976</v>
      </c>
    </row>
    <row r="1244" spans="1:14" x14ac:dyDescent="0.35">
      <c r="A1244" t="s">
        <v>1304</v>
      </c>
      <c r="B1244" t="s">
        <v>15</v>
      </c>
      <c r="C1244" t="s">
        <v>16</v>
      </c>
      <c r="D1244">
        <v>95</v>
      </c>
      <c r="E1244" t="s">
        <v>1287</v>
      </c>
      <c r="F1244">
        <v>5419</v>
      </c>
      <c r="G1244" t="s">
        <v>18</v>
      </c>
      <c r="H1244">
        <v>27</v>
      </c>
      <c r="I1244" t="s">
        <v>19</v>
      </c>
      <c r="J1244">
        <v>2004</v>
      </c>
      <c r="K1244">
        <v>2004</v>
      </c>
      <c r="L1244" t="s">
        <v>20</v>
      </c>
      <c r="M1244">
        <v>41050</v>
      </c>
      <c r="N1244">
        <v>1976</v>
      </c>
    </row>
    <row r="1245" spans="1:14" x14ac:dyDescent="0.35">
      <c r="A1245" t="s">
        <v>1305</v>
      </c>
      <c r="B1245" t="s">
        <v>15</v>
      </c>
      <c r="C1245" t="s">
        <v>16</v>
      </c>
      <c r="D1245">
        <v>95</v>
      </c>
      <c r="E1245" t="s">
        <v>1287</v>
      </c>
      <c r="F1245">
        <v>5419</v>
      </c>
      <c r="G1245" t="s">
        <v>18</v>
      </c>
      <c r="H1245">
        <v>27</v>
      </c>
      <c r="I1245" t="s">
        <v>19</v>
      </c>
      <c r="J1245">
        <v>2005</v>
      </c>
      <c r="K1245">
        <v>2005</v>
      </c>
      <c r="L1245" t="s">
        <v>20</v>
      </c>
      <c r="M1245">
        <v>37417</v>
      </c>
      <c r="N1245">
        <v>1976</v>
      </c>
    </row>
    <row r="1246" spans="1:14" x14ac:dyDescent="0.35">
      <c r="A1246" t="s">
        <v>1306</v>
      </c>
      <c r="B1246" t="s">
        <v>15</v>
      </c>
      <c r="C1246" t="s">
        <v>16</v>
      </c>
      <c r="D1246">
        <v>95</v>
      </c>
      <c r="E1246" t="s">
        <v>1287</v>
      </c>
      <c r="F1246">
        <v>5419</v>
      </c>
      <c r="G1246" t="s">
        <v>18</v>
      </c>
      <c r="H1246">
        <v>27</v>
      </c>
      <c r="I1246" t="s">
        <v>19</v>
      </c>
      <c r="J1246">
        <v>2006</v>
      </c>
      <c r="K1246">
        <v>2006</v>
      </c>
      <c r="L1246" t="s">
        <v>20</v>
      </c>
      <c r="M1246">
        <v>49229</v>
      </c>
      <c r="N1246">
        <v>1976</v>
      </c>
    </row>
    <row r="1247" spans="1:14" x14ac:dyDescent="0.35">
      <c r="A1247" t="s">
        <v>1307</v>
      </c>
      <c r="B1247" t="s">
        <v>15</v>
      </c>
      <c r="C1247" t="s">
        <v>16</v>
      </c>
      <c r="D1247">
        <v>95</v>
      </c>
      <c r="E1247" t="s">
        <v>1287</v>
      </c>
      <c r="F1247">
        <v>5419</v>
      </c>
      <c r="G1247" t="s">
        <v>18</v>
      </c>
      <c r="H1247">
        <v>27</v>
      </c>
      <c r="I1247" t="s">
        <v>19</v>
      </c>
      <c r="J1247">
        <v>2007</v>
      </c>
      <c r="K1247">
        <v>2007</v>
      </c>
      <c r="L1247" t="s">
        <v>20</v>
      </c>
      <c r="M1247">
        <v>50483</v>
      </c>
      <c r="N1247">
        <v>1976</v>
      </c>
    </row>
    <row r="1248" spans="1:14" x14ac:dyDescent="0.35">
      <c r="A1248" t="s">
        <v>1308</v>
      </c>
      <c r="B1248" t="s">
        <v>15</v>
      </c>
      <c r="C1248" t="s">
        <v>16</v>
      </c>
      <c r="D1248">
        <v>95</v>
      </c>
      <c r="E1248" t="s">
        <v>1287</v>
      </c>
      <c r="F1248">
        <v>5419</v>
      </c>
      <c r="G1248" t="s">
        <v>18</v>
      </c>
      <c r="H1248">
        <v>27</v>
      </c>
      <c r="I1248" t="s">
        <v>19</v>
      </c>
      <c r="J1248">
        <v>2008</v>
      </c>
      <c r="K1248">
        <v>2008</v>
      </c>
      <c r="L1248" t="s">
        <v>20</v>
      </c>
      <c r="M1248">
        <v>51911</v>
      </c>
      <c r="N1248">
        <v>1976</v>
      </c>
    </row>
    <row r="1249" spans="1:14" x14ac:dyDescent="0.35">
      <c r="A1249" t="s">
        <v>1309</v>
      </c>
      <c r="B1249" t="s">
        <v>15</v>
      </c>
      <c r="C1249" t="s">
        <v>16</v>
      </c>
      <c r="D1249">
        <v>95</v>
      </c>
      <c r="E1249" t="s">
        <v>1287</v>
      </c>
      <c r="F1249">
        <v>5419</v>
      </c>
      <c r="G1249" t="s">
        <v>18</v>
      </c>
      <c r="H1249">
        <v>27</v>
      </c>
      <c r="I1249" t="s">
        <v>19</v>
      </c>
      <c r="J1249">
        <v>2009</v>
      </c>
      <c r="K1249">
        <v>2009</v>
      </c>
      <c r="L1249" t="s">
        <v>20</v>
      </c>
      <c r="M1249">
        <v>49376</v>
      </c>
      <c r="N1249">
        <v>1976</v>
      </c>
    </row>
    <row r="1250" spans="1:14" x14ac:dyDescent="0.35">
      <c r="A1250" t="s">
        <v>1310</v>
      </c>
      <c r="B1250" t="s">
        <v>15</v>
      </c>
      <c r="C1250" t="s">
        <v>16</v>
      </c>
      <c r="D1250">
        <v>95</v>
      </c>
      <c r="E1250" t="s">
        <v>1287</v>
      </c>
      <c r="F1250">
        <v>5419</v>
      </c>
      <c r="G1250" t="s">
        <v>18</v>
      </c>
      <c r="H1250">
        <v>27</v>
      </c>
      <c r="I1250" t="s">
        <v>19</v>
      </c>
      <c r="J1250">
        <v>2010</v>
      </c>
      <c r="K1250">
        <v>2010</v>
      </c>
      <c r="L1250" t="s">
        <v>20</v>
      </c>
      <c r="M1250">
        <v>57287</v>
      </c>
      <c r="N1250">
        <v>1976</v>
      </c>
    </row>
    <row r="1251" spans="1:14" x14ac:dyDescent="0.35">
      <c r="A1251" t="s">
        <v>1311</v>
      </c>
      <c r="B1251" t="s">
        <v>15</v>
      </c>
      <c r="C1251" t="s">
        <v>16</v>
      </c>
      <c r="D1251">
        <v>95</v>
      </c>
      <c r="E1251" t="s">
        <v>1287</v>
      </c>
      <c r="F1251">
        <v>5419</v>
      </c>
      <c r="G1251" t="s">
        <v>18</v>
      </c>
      <c r="H1251">
        <v>27</v>
      </c>
      <c r="I1251" t="s">
        <v>19</v>
      </c>
      <c r="J1251">
        <v>2011</v>
      </c>
      <c r="K1251">
        <v>2011</v>
      </c>
      <c r="L1251" t="s">
        <v>20</v>
      </c>
      <c r="M1251">
        <v>57761</v>
      </c>
      <c r="N1251">
        <v>1976</v>
      </c>
    </row>
    <row r="1252" spans="1:14" x14ac:dyDescent="0.35">
      <c r="A1252" t="s">
        <v>1312</v>
      </c>
      <c r="B1252" t="s">
        <v>15</v>
      </c>
      <c r="C1252" t="s">
        <v>16</v>
      </c>
      <c r="D1252">
        <v>95</v>
      </c>
      <c r="E1252" t="s">
        <v>1287</v>
      </c>
      <c r="F1252">
        <v>5419</v>
      </c>
      <c r="G1252" t="s">
        <v>18</v>
      </c>
      <c r="H1252">
        <v>27</v>
      </c>
      <c r="I1252" t="s">
        <v>19</v>
      </c>
      <c r="J1252">
        <v>2012</v>
      </c>
      <c r="K1252">
        <v>2012</v>
      </c>
      <c r="L1252" t="s">
        <v>20</v>
      </c>
      <c r="M1252">
        <v>59734</v>
      </c>
      <c r="N1252">
        <v>1976</v>
      </c>
    </row>
    <row r="1253" spans="1:14" x14ac:dyDescent="0.35">
      <c r="A1253" t="s">
        <v>1313</v>
      </c>
      <c r="B1253" t="s">
        <v>15</v>
      </c>
      <c r="C1253" t="s">
        <v>16</v>
      </c>
      <c r="D1253">
        <v>95</v>
      </c>
      <c r="E1253" t="s">
        <v>1287</v>
      </c>
      <c r="F1253">
        <v>5419</v>
      </c>
      <c r="G1253" t="s">
        <v>18</v>
      </c>
      <c r="H1253">
        <v>27</v>
      </c>
      <c r="I1253" t="s">
        <v>19</v>
      </c>
      <c r="J1253">
        <v>2013</v>
      </c>
      <c r="K1253">
        <v>2013</v>
      </c>
      <c r="L1253" t="s">
        <v>20</v>
      </c>
      <c r="M1253">
        <v>61214</v>
      </c>
      <c r="N1253">
        <v>1976</v>
      </c>
    </row>
    <row r="1254" spans="1:14" x14ac:dyDescent="0.35">
      <c r="A1254" t="s">
        <v>1314</v>
      </c>
      <c r="B1254" t="s">
        <v>15</v>
      </c>
      <c r="C1254" t="s">
        <v>16</v>
      </c>
      <c r="D1254">
        <v>95</v>
      </c>
      <c r="E1254" t="s">
        <v>1287</v>
      </c>
      <c r="F1254">
        <v>5419</v>
      </c>
      <c r="G1254" t="s">
        <v>18</v>
      </c>
      <c r="H1254">
        <v>27</v>
      </c>
      <c r="I1254" t="s">
        <v>19</v>
      </c>
      <c r="J1254">
        <v>2014</v>
      </c>
      <c r="K1254">
        <v>2014</v>
      </c>
      <c r="L1254" t="s">
        <v>20</v>
      </c>
      <c r="M1254">
        <v>64530</v>
      </c>
      <c r="N1254">
        <v>1976</v>
      </c>
    </row>
    <row r="1255" spans="1:14" x14ac:dyDescent="0.35">
      <c r="A1255" t="s">
        <v>1315</v>
      </c>
      <c r="B1255" t="s">
        <v>15</v>
      </c>
      <c r="C1255" t="s">
        <v>16</v>
      </c>
      <c r="D1255">
        <v>95</v>
      </c>
      <c r="E1255" t="s">
        <v>1287</v>
      </c>
      <c r="F1255">
        <v>5419</v>
      </c>
      <c r="G1255" t="s">
        <v>18</v>
      </c>
      <c r="H1255">
        <v>27</v>
      </c>
      <c r="I1255" t="s">
        <v>19</v>
      </c>
      <c r="J1255">
        <v>2015</v>
      </c>
      <c r="K1255">
        <v>2015</v>
      </c>
      <c r="L1255" t="s">
        <v>20</v>
      </c>
      <c r="M1255">
        <v>67386</v>
      </c>
      <c r="N1255">
        <v>1976</v>
      </c>
    </row>
    <row r="1256" spans="1:14" x14ac:dyDescent="0.35">
      <c r="A1256" t="s">
        <v>1316</v>
      </c>
      <c r="B1256" t="s">
        <v>15</v>
      </c>
      <c r="C1256" t="s">
        <v>16</v>
      </c>
      <c r="D1256">
        <v>95</v>
      </c>
      <c r="E1256" t="s">
        <v>1287</v>
      </c>
      <c r="F1256">
        <v>5419</v>
      </c>
      <c r="G1256" t="s">
        <v>18</v>
      </c>
      <c r="H1256">
        <v>27</v>
      </c>
      <c r="I1256" t="s">
        <v>19</v>
      </c>
      <c r="J1256">
        <v>2016</v>
      </c>
      <c r="K1256">
        <v>2016</v>
      </c>
      <c r="L1256" t="s">
        <v>20</v>
      </c>
      <c r="M1256">
        <v>69716</v>
      </c>
      <c r="N1256">
        <v>1976</v>
      </c>
    </row>
    <row r="1257" spans="1:14" x14ac:dyDescent="0.35">
      <c r="A1257" t="s">
        <v>1317</v>
      </c>
      <c r="B1257" t="s">
        <v>15</v>
      </c>
      <c r="C1257" t="s">
        <v>16</v>
      </c>
      <c r="D1257">
        <v>97</v>
      </c>
      <c r="E1257" t="s">
        <v>1318</v>
      </c>
      <c r="F1257">
        <v>5419</v>
      </c>
      <c r="G1257" t="s">
        <v>18</v>
      </c>
      <c r="H1257">
        <v>27</v>
      </c>
      <c r="I1257" t="s">
        <v>19</v>
      </c>
      <c r="J1257">
        <v>1985</v>
      </c>
      <c r="K1257">
        <v>1985</v>
      </c>
      <c r="L1257" t="s">
        <v>20</v>
      </c>
      <c r="M1257">
        <v>33871</v>
      </c>
      <c r="N1257">
        <v>589</v>
      </c>
    </row>
    <row r="1258" spans="1:14" x14ac:dyDescent="0.35">
      <c r="A1258" t="s">
        <v>1319</v>
      </c>
      <c r="B1258" t="s">
        <v>15</v>
      </c>
      <c r="C1258" t="s">
        <v>16</v>
      </c>
      <c r="D1258">
        <v>97</v>
      </c>
      <c r="E1258" t="s">
        <v>1318</v>
      </c>
      <c r="F1258">
        <v>5419</v>
      </c>
      <c r="G1258" t="s">
        <v>18</v>
      </c>
      <c r="H1258">
        <v>27</v>
      </c>
      <c r="I1258" t="s">
        <v>19</v>
      </c>
      <c r="J1258">
        <v>1986</v>
      </c>
      <c r="K1258">
        <v>1986</v>
      </c>
      <c r="L1258" t="s">
        <v>20</v>
      </c>
      <c r="M1258">
        <v>39930</v>
      </c>
      <c r="N1258">
        <v>589</v>
      </c>
    </row>
    <row r="1259" spans="1:14" x14ac:dyDescent="0.35">
      <c r="A1259" t="s">
        <v>1320</v>
      </c>
      <c r="B1259" t="s">
        <v>15</v>
      </c>
      <c r="C1259" t="s">
        <v>16</v>
      </c>
      <c r="D1259">
        <v>97</v>
      </c>
      <c r="E1259" t="s">
        <v>1318</v>
      </c>
      <c r="F1259">
        <v>5419</v>
      </c>
      <c r="G1259" t="s">
        <v>18</v>
      </c>
      <c r="H1259">
        <v>27</v>
      </c>
      <c r="I1259" t="s">
        <v>19</v>
      </c>
      <c r="J1259">
        <v>1987</v>
      </c>
      <c r="K1259">
        <v>1987</v>
      </c>
      <c r="L1259" t="s">
        <v>20</v>
      </c>
      <c r="M1259">
        <v>30073</v>
      </c>
      <c r="N1259">
        <v>589</v>
      </c>
    </row>
    <row r="1260" spans="1:14" x14ac:dyDescent="0.35">
      <c r="A1260" t="s">
        <v>1321</v>
      </c>
      <c r="B1260" t="s">
        <v>15</v>
      </c>
      <c r="C1260" t="s">
        <v>16</v>
      </c>
      <c r="D1260">
        <v>97</v>
      </c>
      <c r="E1260" t="s">
        <v>1318</v>
      </c>
      <c r="F1260">
        <v>5419</v>
      </c>
      <c r="G1260" t="s">
        <v>18</v>
      </c>
      <c r="H1260">
        <v>27</v>
      </c>
      <c r="I1260" t="s">
        <v>19</v>
      </c>
      <c r="J1260">
        <v>1989</v>
      </c>
      <c r="K1260">
        <v>1989</v>
      </c>
      <c r="L1260" t="s">
        <v>20</v>
      </c>
      <c r="M1260">
        <v>23713</v>
      </c>
      <c r="N1260">
        <v>589</v>
      </c>
    </row>
    <row r="1261" spans="1:14" x14ac:dyDescent="0.35">
      <c r="A1261" t="s">
        <v>1322</v>
      </c>
      <c r="B1261" t="s">
        <v>15</v>
      </c>
      <c r="C1261" t="s">
        <v>16</v>
      </c>
      <c r="D1261">
        <v>97</v>
      </c>
      <c r="E1261" t="s">
        <v>1318</v>
      </c>
      <c r="F1261">
        <v>5419</v>
      </c>
      <c r="G1261" t="s">
        <v>18</v>
      </c>
      <c r="H1261">
        <v>27</v>
      </c>
      <c r="I1261" t="s">
        <v>19</v>
      </c>
      <c r="J1261">
        <v>1990</v>
      </c>
      <c r="K1261">
        <v>1990</v>
      </c>
      <c r="L1261" t="s">
        <v>20</v>
      </c>
      <c r="M1261">
        <v>33520</v>
      </c>
      <c r="N1261">
        <v>589</v>
      </c>
    </row>
    <row r="1262" spans="1:14" x14ac:dyDescent="0.35">
      <c r="A1262" t="s">
        <v>1323</v>
      </c>
      <c r="B1262" t="s">
        <v>15</v>
      </c>
      <c r="C1262" t="s">
        <v>16</v>
      </c>
      <c r="D1262">
        <v>97</v>
      </c>
      <c r="E1262" t="s">
        <v>1318</v>
      </c>
      <c r="F1262">
        <v>5419</v>
      </c>
      <c r="G1262" t="s">
        <v>18</v>
      </c>
      <c r="H1262">
        <v>27</v>
      </c>
      <c r="I1262" t="s">
        <v>19</v>
      </c>
      <c r="J1262">
        <v>1991</v>
      </c>
      <c r="K1262">
        <v>1991</v>
      </c>
      <c r="L1262" t="s">
        <v>20</v>
      </c>
      <c r="M1262">
        <v>23696</v>
      </c>
      <c r="N1262">
        <v>589</v>
      </c>
    </row>
    <row r="1263" spans="1:14" x14ac:dyDescent="0.35">
      <c r="A1263" t="s">
        <v>1324</v>
      </c>
      <c r="B1263" t="s">
        <v>15</v>
      </c>
      <c r="C1263" t="s">
        <v>16</v>
      </c>
      <c r="D1263">
        <v>97</v>
      </c>
      <c r="E1263" t="s">
        <v>1318</v>
      </c>
      <c r="F1263">
        <v>5419</v>
      </c>
      <c r="G1263" t="s">
        <v>18</v>
      </c>
      <c r="H1263">
        <v>27</v>
      </c>
      <c r="I1263" t="s">
        <v>19</v>
      </c>
      <c r="J1263">
        <v>1992</v>
      </c>
      <c r="K1263">
        <v>1992</v>
      </c>
      <c r="L1263" t="s">
        <v>20</v>
      </c>
      <c r="M1263">
        <v>30702</v>
      </c>
      <c r="N1263">
        <v>589</v>
      </c>
    </row>
    <row r="1264" spans="1:14" x14ac:dyDescent="0.35">
      <c r="A1264" t="s">
        <v>1325</v>
      </c>
      <c r="B1264" t="s">
        <v>15</v>
      </c>
      <c r="C1264" t="s">
        <v>16</v>
      </c>
      <c r="D1264">
        <v>97</v>
      </c>
      <c r="E1264" t="s">
        <v>1318</v>
      </c>
      <c r="F1264">
        <v>5419</v>
      </c>
      <c r="G1264" t="s">
        <v>18</v>
      </c>
      <c r="H1264">
        <v>27</v>
      </c>
      <c r="I1264" t="s">
        <v>19</v>
      </c>
      <c r="J1264">
        <v>1993</v>
      </c>
      <c r="K1264">
        <v>1993</v>
      </c>
      <c r="L1264" t="s">
        <v>20</v>
      </c>
      <c r="M1264">
        <v>26519</v>
      </c>
      <c r="N1264">
        <v>589</v>
      </c>
    </row>
    <row r="1265" spans="1:14" x14ac:dyDescent="0.35">
      <c r="A1265" t="s">
        <v>1326</v>
      </c>
      <c r="B1265" t="s">
        <v>15</v>
      </c>
      <c r="C1265" t="s">
        <v>16</v>
      </c>
      <c r="D1265">
        <v>97</v>
      </c>
      <c r="E1265" t="s">
        <v>1318</v>
      </c>
      <c r="F1265">
        <v>5419</v>
      </c>
      <c r="G1265" t="s">
        <v>18</v>
      </c>
      <c r="H1265">
        <v>27</v>
      </c>
      <c r="I1265" t="s">
        <v>19</v>
      </c>
      <c r="J1265">
        <v>1994</v>
      </c>
      <c r="K1265">
        <v>1994</v>
      </c>
      <c r="L1265" t="s">
        <v>20</v>
      </c>
      <c r="M1265">
        <v>31308</v>
      </c>
      <c r="N1265">
        <v>589</v>
      </c>
    </row>
    <row r="1266" spans="1:14" x14ac:dyDescent="0.35">
      <c r="A1266" t="s">
        <v>1327</v>
      </c>
      <c r="B1266" t="s">
        <v>15</v>
      </c>
      <c r="C1266" t="s">
        <v>16</v>
      </c>
      <c r="D1266">
        <v>97</v>
      </c>
      <c r="E1266" t="s">
        <v>1318</v>
      </c>
      <c r="F1266">
        <v>5419</v>
      </c>
      <c r="G1266" t="s">
        <v>18</v>
      </c>
      <c r="H1266">
        <v>27</v>
      </c>
      <c r="I1266" t="s">
        <v>19</v>
      </c>
      <c r="J1266">
        <v>1995</v>
      </c>
      <c r="K1266">
        <v>1995</v>
      </c>
      <c r="L1266" t="s">
        <v>20</v>
      </c>
      <c r="M1266">
        <v>31606</v>
      </c>
      <c r="N1266">
        <v>589</v>
      </c>
    </row>
    <row r="1267" spans="1:14" x14ac:dyDescent="0.35">
      <c r="A1267" t="s">
        <v>1328</v>
      </c>
      <c r="B1267" t="s">
        <v>15</v>
      </c>
      <c r="C1267" t="s">
        <v>16</v>
      </c>
      <c r="D1267">
        <v>97</v>
      </c>
      <c r="E1267" t="s">
        <v>1318</v>
      </c>
      <c r="F1267">
        <v>5419</v>
      </c>
      <c r="G1267" t="s">
        <v>18</v>
      </c>
      <c r="H1267">
        <v>27</v>
      </c>
      <c r="I1267" t="s">
        <v>19</v>
      </c>
      <c r="J1267">
        <v>1996</v>
      </c>
      <c r="K1267">
        <v>1996</v>
      </c>
      <c r="L1267" t="s">
        <v>20</v>
      </c>
      <c r="M1267">
        <v>22508</v>
      </c>
      <c r="N1267">
        <v>589</v>
      </c>
    </row>
    <row r="1268" spans="1:14" x14ac:dyDescent="0.35">
      <c r="A1268" t="s">
        <v>1329</v>
      </c>
      <c r="B1268" t="s">
        <v>15</v>
      </c>
      <c r="C1268" t="s">
        <v>16</v>
      </c>
      <c r="D1268">
        <v>97</v>
      </c>
      <c r="E1268" t="s">
        <v>1318</v>
      </c>
      <c r="F1268">
        <v>5419</v>
      </c>
      <c r="G1268" t="s">
        <v>18</v>
      </c>
      <c r="H1268">
        <v>27</v>
      </c>
      <c r="I1268" t="s">
        <v>19</v>
      </c>
      <c r="J1268">
        <v>1997</v>
      </c>
      <c r="K1268">
        <v>1997</v>
      </c>
      <c r="L1268" t="s">
        <v>20</v>
      </c>
      <c r="M1268">
        <v>33286</v>
      </c>
      <c r="N1268">
        <v>589</v>
      </c>
    </row>
    <row r="1269" spans="1:14" x14ac:dyDescent="0.35">
      <c r="A1269" t="s">
        <v>1330</v>
      </c>
      <c r="B1269" t="s">
        <v>15</v>
      </c>
      <c r="C1269" t="s">
        <v>16</v>
      </c>
      <c r="D1269">
        <v>97</v>
      </c>
      <c r="E1269" t="s">
        <v>1318</v>
      </c>
      <c r="F1269">
        <v>5419</v>
      </c>
      <c r="G1269" t="s">
        <v>18</v>
      </c>
      <c r="H1269">
        <v>27</v>
      </c>
      <c r="I1269" t="s">
        <v>19</v>
      </c>
      <c r="J1269">
        <v>1998</v>
      </c>
      <c r="K1269">
        <v>1998</v>
      </c>
      <c r="L1269" t="s">
        <v>20</v>
      </c>
      <c r="M1269">
        <v>27031</v>
      </c>
      <c r="N1269">
        <v>589</v>
      </c>
    </row>
    <row r="1270" spans="1:14" x14ac:dyDescent="0.35">
      <c r="A1270" t="s">
        <v>1331</v>
      </c>
      <c r="B1270" t="s">
        <v>15</v>
      </c>
      <c r="C1270" t="s">
        <v>16</v>
      </c>
      <c r="D1270">
        <v>97</v>
      </c>
      <c r="E1270" t="s">
        <v>1318</v>
      </c>
      <c r="F1270">
        <v>5419</v>
      </c>
      <c r="G1270" t="s">
        <v>18</v>
      </c>
      <c r="H1270">
        <v>27</v>
      </c>
      <c r="I1270" t="s">
        <v>19</v>
      </c>
      <c r="J1270">
        <v>1999</v>
      </c>
      <c r="K1270">
        <v>1999</v>
      </c>
      <c r="L1270" t="s">
        <v>20</v>
      </c>
      <c r="M1270">
        <v>33158</v>
      </c>
      <c r="N1270">
        <v>589</v>
      </c>
    </row>
    <row r="1271" spans="1:14" x14ac:dyDescent="0.35">
      <c r="A1271" t="s">
        <v>1332</v>
      </c>
      <c r="B1271" t="s">
        <v>15</v>
      </c>
      <c r="C1271" t="s">
        <v>16</v>
      </c>
      <c r="D1271">
        <v>97</v>
      </c>
      <c r="E1271" t="s">
        <v>1318</v>
      </c>
      <c r="F1271">
        <v>5419</v>
      </c>
      <c r="G1271" t="s">
        <v>18</v>
      </c>
      <c r="H1271">
        <v>27</v>
      </c>
      <c r="I1271" t="s">
        <v>19</v>
      </c>
      <c r="J1271">
        <v>2000</v>
      </c>
      <c r="K1271">
        <v>2000</v>
      </c>
      <c r="L1271" t="s">
        <v>20</v>
      </c>
      <c r="M1271">
        <v>34932</v>
      </c>
      <c r="N1271">
        <v>589</v>
      </c>
    </row>
    <row r="1272" spans="1:14" x14ac:dyDescent="0.35">
      <c r="A1272" t="s">
        <v>1333</v>
      </c>
      <c r="B1272" t="s">
        <v>15</v>
      </c>
      <c r="C1272" t="s">
        <v>16</v>
      </c>
      <c r="D1272">
        <v>97</v>
      </c>
      <c r="E1272" t="s">
        <v>1318</v>
      </c>
      <c r="F1272">
        <v>5419</v>
      </c>
      <c r="G1272" t="s">
        <v>18</v>
      </c>
      <c r="H1272">
        <v>27</v>
      </c>
      <c r="I1272" t="s">
        <v>19</v>
      </c>
      <c r="J1272">
        <v>2001</v>
      </c>
      <c r="K1272">
        <v>2001</v>
      </c>
      <c r="L1272" t="s">
        <v>20</v>
      </c>
      <c r="M1272">
        <v>32950</v>
      </c>
      <c r="N1272">
        <v>589</v>
      </c>
    </row>
    <row r="1273" spans="1:14" x14ac:dyDescent="0.35">
      <c r="A1273" t="s">
        <v>1334</v>
      </c>
      <c r="B1273" t="s">
        <v>15</v>
      </c>
      <c r="C1273" t="s">
        <v>16</v>
      </c>
      <c r="D1273">
        <v>97</v>
      </c>
      <c r="E1273" t="s">
        <v>1318</v>
      </c>
      <c r="F1273">
        <v>5419</v>
      </c>
      <c r="G1273" t="s">
        <v>18</v>
      </c>
      <c r="H1273">
        <v>27</v>
      </c>
      <c r="I1273" t="s">
        <v>19</v>
      </c>
      <c r="J1273">
        <v>2002</v>
      </c>
      <c r="K1273">
        <v>2002</v>
      </c>
      <c r="L1273" t="s">
        <v>20</v>
      </c>
      <c r="M1273">
        <v>46448</v>
      </c>
      <c r="N1273">
        <v>589</v>
      </c>
    </row>
    <row r="1274" spans="1:14" x14ac:dyDescent="0.35">
      <c r="A1274" t="s">
        <v>1335</v>
      </c>
      <c r="B1274" t="s">
        <v>15</v>
      </c>
      <c r="C1274" t="s">
        <v>16</v>
      </c>
      <c r="D1274">
        <v>97</v>
      </c>
      <c r="E1274" t="s">
        <v>1318</v>
      </c>
      <c r="F1274">
        <v>5419</v>
      </c>
      <c r="G1274" t="s">
        <v>18</v>
      </c>
      <c r="H1274">
        <v>27</v>
      </c>
      <c r="I1274" t="s">
        <v>19</v>
      </c>
      <c r="J1274">
        <v>2004</v>
      </c>
      <c r="K1274">
        <v>2004</v>
      </c>
      <c r="L1274" t="s">
        <v>20</v>
      </c>
      <c r="M1274">
        <v>34097</v>
      </c>
      <c r="N1274">
        <v>589</v>
      </c>
    </row>
    <row r="1275" spans="1:14" x14ac:dyDescent="0.35">
      <c r="A1275" t="s">
        <v>1336</v>
      </c>
      <c r="B1275" t="s">
        <v>15</v>
      </c>
      <c r="C1275" t="s">
        <v>16</v>
      </c>
      <c r="D1275">
        <v>97</v>
      </c>
      <c r="E1275" t="s">
        <v>1318</v>
      </c>
      <c r="F1275">
        <v>5419</v>
      </c>
      <c r="G1275" t="s">
        <v>18</v>
      </c>
      <c r="H1275">
        <v>27</v>
      </c>
      <c r="I1275" t="s">
        <v>19</v>
      </c>
      <c r="J1275">
        <v>2005</v>
      </c>
      <c r="K1275">
        <v>2005</v>
      </c>
      <c r="L1275" t="s">
        <v>20</v>
      </c>
      <c r="M1275">
        <v>35426</v>
      </c>
      <c r="N1275">
        <v>589</v>
      </c>
    </row>
    <row r="1276" spans="1:14" x14ac:dyDescent="0.35">
      <c r="A1276" t="s">
        <v>1337</v>
      </c>
      <c r="B1276" t="s">
        <v>15</v>
      </c>
      <c r="C1276" t="s">
        <v>16</v>
      </c>
      <c r="D1276">
        <v>97</v>
      </c>
      <c r="E1276" t="s">
        <v>1318</v>
      </c>
      <c r="F1276">
        <v>5419</v>
      </c>
      <c r="G1276" t="s">
        <v>18</v>
      </c>
      <c r="H1276">
        <v>27</v>
      </c>
      <c r="I1276" t="s">
        <v>19</v>
      </c>
      <c r="J1276">
        <v>2006</v>
      </c>
      <c r="K1276">
        <v>2006</v>
      </c>
      <c r="L1276" t="s">
        <v>20</v>
      </c>
      <c r="M1276">
        <v>32342</v>
      </c>
      <c r="N1276">
        <v>589</v>
      </c>
    </row>
    <row r="1277" spans="1:14" x14ac:dyDescent="0.35">
      <c r="A1277" t="s">
        <v>1338</v>
      </c>
      <c r="B1277" t="s">
        <v>15</v>
      </c>
      <c r="C1277" t="s">
        <v>16</v>
      </c>
      <c r="D1277">
        <v>97</v>
      </c>
      <c r="E1277" t="s">
        <v>1318</v>
      </c>
      <c r="F1277">
        <v>5419</v>
      </c>
      <c r="G1277" t="s">
        <v>18</v>
      </c>
      <c r="H1277">
        <v>27</v>
      </c>
      <c r="I1277" t="s">
        <v>19</v>
      </c>
      <c r="J1277">
        <v>2007</v>
      </c>
      <c r="K1277">
        <v>2007</v>
      </c>
      <c r="L1277" t="s">
        <v>20</v>
      </c>
      <c r="M1277">
        <v>37891</v>
      </c>
      <c r="N1277">
        <v>589</v>
      </c>
    </row>
    <row r="1278" spans="1:14" x14ac:dyDescent="0.35">
      <c r="A1278" t="s">
        <v>1339</v>
      </c>
      <c r="B1278" t="s">
        <v>15</v>
      </c>
      <c r="C1278" t="s">
        <v>16</v>
      </c>
      <c r="D1278">
        <v>97</v>
      </c>
      <c r="E1278" t="s">
        <v>1318</v>
      </c>
      <c r="F1278">
        <v>5419</v>
      </c>
      <c r="G1278" t="s">
        <v>18</v>
      </c>
      <c r="H1278">
        <v>27</v>
      </c>
      <c r="I1278" t="s">
        <v>19</v>
      </c>
      <c r="J1278">
        <v>2008</v>
      </c>
      <c r="K1278">
        <v>2008</v>
      </c>
      <c r="L1278" t="s">
        <v>20</v>
      </c>
      <c r="M1278">
        <v>39404</v>
      </c>
      <c r="N1278">
        <v>589</v>
      </c>
    </row>
    <row r="1279" spans="1:14" x14ac:dyDescent="0.35">
      <c r="A1279" t="s">
        <v>1340</v>
      </c>
      <c r="B1279" t="s">
        <v>15</v>
      </c>
      <c r="C1279" t="s">
        <v>16</v>
      </c>
      <c r="D1279">
        <v>97</v>
      </c>
      <c r="E1279" t="s">
        <v>1318</v>
      </c>
      <c r="F1279">
        <v>5419</v>
      </c>
      <c r="G1279" t="s">
        <v>18</v>
      </c>
      <c r="H1279">
        <v>27</v>
      </c>
      <c r="I1279" t="s">
        <v>19</v>
      </c>
      <c r="J1279">
        <v>2009</v>
      </c>
      <c r="K1279">
        <v>2009</v>
      </c>
      <c r="L1279" t="s">
        <v>20</v>
      </c>
      <c r="M1279">
        <v>43223</v>
      </c>
      <c r="N1279">
        <v>589</v>
      </c>
    </row>
    <row r="1280" spans="1:14" x14ac:dyDescent="0.35">
      <c r="A1280" t="s">
        <v>1341</v>
      </c>
      <c r="B1280" t="s">
        <v>15</v>
      </c>
      <c r="C1280" t="s">
        <v>16</v>
      </c>
      <c r="D1280">
        <v>97</v>
      </c>
      <c r="E1280" t="s">
        <v>1318</v>
      </c>
      <c r="F1280">
        <v>5419</v>
      </c>
      <c r="G1280" t="s">
        <v>18</v>
      </c>
      <c r="H1280">
        <v>27</v>
      </c>
      <c r="I1280" t="s">
        <v>19</v>
      </c>
      <c r="J1280">
        <v>2010</v>
      </c>
      <c r="K1280">
        <v>2010</v>
      </c>
      <c r="L1280" t="s">
        <v>20</v>
      </c>
      <c r="M1280">
        <v>29465</v>
      </c>
      <c r="N1280">
        <v>589</v>
      </c>
    </row>
    <row r="1281" spans="1:14" x14ac:dyDescent="0.35">
      <c r="A1281" t="s">
        <v>1342</v>
      </c>
      <c r="B1281" t="s">
        <v>15</v>
      </c>
      <c r="C1281" t="s">
        <v>16</v>
      </c>
      <c r="D1281">
        <v>97</v>
      </c>
      <c r="E1281" t="s">
        <v>1318</v>
      </c>
      <c r="F1281">
        <v>5419</v>
      </c>
      <c r="G1281" t="s">
        <v>18</v>
      </c>
      <c r="H1281">
        <v>27</v>
      </c>
      <c r="I1281" t="s">
        <v>19</v>
      </c>
      <c r="J1281">
        <v>2011</v>
      </c>
      <c r="K1281">
        <v>2011</v>
      </c>
      <c r="L1281" t="s">
        <v>20</v>
      </c>
      <c r="M1281">
        <v>32411</v>
      </c>
      <c r="N1281">
        <v>589</v>
      </c>
    </row>
    <row r="1282" spans="1:14" x14ac:dyDescent="0.35">
      <c r="A1282" t="s">
        <v>1343</v>
      </c>
      <c r="B1282" t="s">
        <v>15</v>
      </c>
      <c r="C1282" t="s">
        <v>16</v>
      </c>
      <c r="D1282">
        <v>97</v>
      </c>
      <c r="E1282" t="s">
        <v>1318</v>
      </c>
      <c r="F1282">
        <v>5419</v>
      </c>
      <c r="G1282" t="s">
        <v>18</v>
      </c>
      <c r="H1282">
        <v>27</v>
      </c>
      <c r="I1282" t="s">
        <v>19</v>
      </c>
      <c r="J1282">
        <v>2012</v>
      </c>
      <c r="K1282">
        <v>2012</v>
      </c>
      <c r="L1282" t="s">
        <v>20</v>
      </c>
      <c r="M1282">
        <v>38074</v>
      </c>
      <c r="N1282">
        <v>589</v>
      </c>
    </row>
    <row r="1283" spans="1:14" x14ac:dyDescent="0.35">
      <c r="A1283" t="s">
        <v>1344</v>
      </c>
      <c r="B1283" t="s">
        <v>15</v>
      </c>
      <c r="C1283" t="s">
        <v>16</v>
      </c>
      <c r="D1283">
        <v>97</v>
      </c>
      <c r="E1283" t="s">
        <v>1318</v>
      </c>
      <c r="F1283">
        <v>5419</v>
      </c>
      <c r="G1283" t="s">
        <v>18</v>
      </c>
      <c r="H1283">
        <v>27</v>
      </c>
      <c r="I1283" t="s">
        <v>19</v>
      </c>
      <c r="J1283">
        <v>2013</v>
      </c>
      <c r="K1283">
        <v>2013</v>
      </c>
      <c r="L1283" t="s">
        <v>20</v>
      </c>
      <c r="M1283">
        <v>32727</v>
      </c>
      <c r="N1283">
        <v>589</v>
      </c>
    </row>
    <row r="1284" spans="1:14" x14ac:dyDescent="0.35">
      <c r="A1284" t="s">
        <v>1345</v>
      </c>
      <c r="B1284" t="s">
        <v>15</v>
      </c>
      <c r="C1284" t="s">
        <v>16</v>
      </c>
      <c r="D1284">
        <v>97</v>
      </c>
      <c r="E1284" t="s">
        <v>1318</v>
      </c>
      <c r="F1284">
        <v>5419</v>
      </c>
      <c r="G1284" t="s">
        <v>18</v>
      </c>
      <c r="H1284">
        <v>27</v>
      </c>
      <c r="I1284" t="s">
        <v>19</v>
      </c>
      <c r="J1284">
        <v>2014</v>
      </c>
      <c r="K1284">
        <v>2014</v>
      </c>
      <c r="L1284" t="s">
        <v>20</v>
      </c>
      <c r="M1284">
        <v>32958</v>
      </c>
      <c r="N1284">
        <v>589</v>
      </c>
    </row>
    <row r="1285" spans="1:14" x14ac:dyDescent="0.35">
      <c r="A1285" t="s">
        <v>1346</v>
      </c>
      <c r="B1285" t="s">
        <v>15</v>
      </c>
      <c r="C1285" t="s">
        <v>16</v>
      </c>
      <c r="D1285">
        <v>97</v>
      </c>
      <c r="E1285" t="s">
        <v>1318</v>
      </c>
      <c r="F1285">
        <v>5419</v>
      </c>
      <c r="G1285" t="s">
        <v>18</v>
      </c>
      <c r="H1285">
        <v>27</v>
      </c>
      <c r="I1285" t="s">
        <v>19</v>
      </c>
      <c r="J1285">
        <v>2015</v>
      </c>
      <c r="K1285">
        <v>2015</v>
      </c>
      <c r="L1285" t="s">
        <v>20</v>
      </c>
      <c r="M1285">
        <v>33578</v>
      </c>
      <c r="N1285">
        <v>589</v>
      </c>
    </row>
    <row r="1286" spans="1:14" x14ac:dyDescent="0.35">
      <c r="A1286" t="s">
        <v>1347</v>
      </c>
      <c r="B1286" t="s">
        <v>15</v>
      </c>
      <c r="C1286" t="s">
        <v>16</v>
      </c>
      <c r="D1286">
        <v>97</v>
      </c>
      <c r="E1286" t="s">
        <v>1318</v>
      </c>
      <c r="F1286">
        <v>5419</v>
      </c>
      <c r="G1286" t="s">
        <v>18</v>
      </c>
      <c r="H1286">
        <v>27</v>
      </c>
      <c r="I1286" t="s">
        <v>19</v>
      </c>
      <c r="J1286">
        <v>2016</v>
      </c>
      <c r="K1286">
        <v>2016</v>
      </c>
      <c r="L1286" t="s">
        <v>20</v>
      </c>
      <c r="M1286">
        <v>34518</v>
      </c>
      <c r="N1286">
        <v>589</v>
      </c>
    </row>
    <row r="1287" spans="1:14" x14ac:dyDescent="0.35">
      <c r="A1287" t="s">
        <v>1348</v>
      </c>
      <c r="B1287" t="s">
        <v>15</v>
      </c>
      <c r="C1287" t="s">
        <v>16</v>
      </c>
      <c r="D1287">
        <v>100</v>
      </c>
      <c r="E1287" t="s">
        <v>1349</v>
      </c>
      <c r="F1287">
        <v>5419</v>
      </c>
      <c r="G1287" t="s">
        <v>18</v>
      </c>
      <c r="H1287">
        <v>27</v>
      </c>
      <c r="I1287" t="s">
        <v>19</v>
      </c>
      <c r="J1287">
        <v>1985</v>
      </c>
      <c r="K1287">
        <v>1985</v>
      </c>
      <c r="L1287" t="s">
        <v>20</v>
      </c>
      <c r="M1287">
        <v>23292</v>
      </c>
      <c r="N1287">
        <v>1940</v>
      </c>
    </row>
    <row r="1288" spans="1:14" x14ac:dyDescent="0.35">
      <c r="A1288" t="s">
        <v>1350</v>
      </c>
      <c r="B1288" t="s">
        <v>15</v>
      </c>
      <c r="C1288" t="s">
        <v>16</v>
      </c>
      <c r="D1288">
        <v>100</v>
      </c>
      <c r="E1288" t="s">
        <v>1349</v>
      </c>
      <c r="F1288">
        <v>5419</v>
      </c>
      <c r="G1288" t="s">
        <v>18</v>
      </c>
      <c r="H1288">
        <v>27</v>
      </c>
      <c r="I1288" t="s">
        <v>19</v>
      </c>
      <c r="J1288">
        <v>1986</v>
      </c>
      <c r="K1288">
        <v>1986</v>
      </c>
      <c r="L1288" t="s">
        <v>20</v>
      </c>
      <c r="M1288">
        <v>22052</v>
      </c>
      <c r="N1288">
        <v>1083</v>
      </c>
    </row>
    <row r="1289" spans="1:14" x14ac:dyDescent="0.35">
      <c r="A1289" t="s">
        <v>1351</v>
      </c>
      <c r="B1289" t="s">
        <v>15</v>
      </c>
      <c r="C1289" t="s">
        <v>16</v>
      </c>
      <c r="D1289">
        <v>100</v>
      </c>
      <c r="E1289" t="s">
        <v>1349</v>
      </c>
      <c r="F1289">
        <v>5419</v>
      </c>
      <c r="G1289" t="s">
        <v>18</v>
      </c>
      <c r="H1289">
        <v>27</v>
      </c>
      <c r="I1289" t="s">
        <v>19</v>
      </c>
      <c r="J1289">
        <v>1987</v>
      </c>
      <c r="K1289">
        <v>1987</v>
      </c>
      <c r="L1289" t="s">
        <v>20</v>
      </c>
      <c r="M1289">
        <v>21991</v>
      </c>
      <c r="N1289">
        <v>1083</v>
      </c>
    </row>
    <row r="1290" spans="1:14" x14ac:dyDescent="0.35">
      <c r="A1290" t="s">
        <v>1352</v>
      </c>
      <c r="B1290" t="s">
        <v>15</v>
      </c>
      <c r="C1290" t="s">
        <v>16</v>
      </c>
      <c r="D1290">
        <v>100</v>
      </c>
      <c r="E1290" t="s">
        <v>1349</v>
      </c>
      <c r="F1290">
        <v>5419</v>
      </c>
      <c r="G1290" t="s">
        <v>18</v>
      </c>
      <c r="H1290">
        <v>27</v>
      </c>
      <c r="I1290" t="s">
        <v>19</v>
      </c>
      <c r="J1290">
        <v>1989</v>
      </c>
      <c r="K1290">
        <v>1989</v>
      </c>
      <c r="L1290" t="s">
        <v>20</v>
      </c>
      <c r="M1290">
        <v>26160</v>
      </c>
      <c r="N1290">
        <v>1083</v>
      </c>
    </row>
    <row r="1291" spans="1:14" x14ac:dyDescent="0.35">
      <c r="A1291" t="s">
        <v>1353</v>
      </c>
      <c r="B1291" t="s">
        <v>15</v>
      </c>
      <c r="C1291" t="s">
        <v>16</v>
      </c>
      <c r="D1291">
        <v>100</v>
      </c>
      <c r="E1291" t="s">
        <v>1349</v>
      </c>
      <c r="F1291">
        <v>5419</v>
      </c>
      <c r="G1291" t="s">
        <v>18</v>
      </c>
      <c r="H1291">
        <v>27</v>
      </c>
      <c r="I1291" t="s">
        <v>19</v>
      </c>
      <c r="J1291">
        <v>1990</v>
      </c>
      <c r="K1291">
        <v>1990</v>
      </c>
      <c r="L1291" t="s">
        <v>20</v>
      </c>
      <c r="M1291">
        <v>26125</v>
      </c>
      <c r="N1291">
        <v>1083</v>
      </c>
    </row>
    <row r="1292" spans="1:14" x14ac:dyDescent="0.35">
      <c r="A1292" t="s">
        <v>1354</v>
      </c>
      <c r="B1292" t="s">
        <v>15</v>
      </c>
      <c r="C1292" t="s">
        <v>16</v>
      </c>
      <c r="D1292">
        <v>100</v>
      </c>
      <c r="E1292" t="s">
        <v>1349</v>
      </c>
      <c r="F1292">
        <v>5419</v>
      </c>
      <c r="G1292" t="s">
        <v>18</v>
      </c>
      <c r="H1292">
        <v>27</v>
      </c>
      <c r="I1292" t="s">
        <v>19</v>
      </c>
      <c r="J1292">
        <v>1991</v>
      </c>
      <c r="K1292">
        <v>1991</v>
      </c>
      <c r="L1292" t="s">
        <v>20</v>
      </c>
      <c r="M1292">
        <v>26271</v>
      </c>
      <c r="N1292">
        <v>1083</v>
      </c>
    </row>
    <row r="1293" spans="1:14" x14ac:dyDescent="0.35">
      <c r="A1293" t="s">
        <v>1355</v>
      </c>
      <c r="B1293" t="s">
        <v>15</v>
      </c>
      <c r="C1293" t="s">
        <v>16</v>
      </c>
      <c r="D1293">
        <v>100</v>
      </c>
      <c r="E1293" t="s">
        <v>1349</v>
      </c>
      <c r="F1293">
        <v>5419</v>
      </c>
      <c r="G1293" t="s">
        <v>18</v>
      </c>
      <c r="H1293">
        <v>27</v>
      </c>
      <c r="I1293" t="s">
        <v>19</v>
      </c>
      <c r="J1293">
        <v>1992</v>
      </c>
      <c r="K1293">
        <v>1992</v>
      </c>
      <c r="L1293" t="s">
        <v>20</v>
      </c>
      <c r="M1293">
        <v>26092</v>
      </c>
      <c r="N1293">
        <v>1083</v>
      </c>
    </row>
    <row r="1294" spans="1:14" x14ac:dyDescent="0.35">
      <c r="A1294" t="s">
        <v>1356</v>
      </c>
      <c r="B1294" t="s">
        <v>15</v>
      </c>
      <c r="C1294" t="s">
        <v>16</v>
      </c>
      <c r="D1294">
        <v>100</v>
      </c>
      <c r="E1294" t="s">
        <v>1349</v>
      </c>
      <c r="F1294">
        <v>5419</v>
      </c>
      <c r="G1294" t="s">
        <v>18</v>
      </c>
      <c r="H1294">
        <v>27</v>
      </c>
      <c r="I1294" t="s">
        <v>19</v>
      </c>
      <c r="J1294">
        <v>1993</v>
      </c>
      <c r="K1294">
        <v>1993</v>
      </c>
      <c r="L1294" t="s">
        <v>20</v>
      </c>
      <c r="M1294">
        <v>28303</v>
      </c>
      <c r="N1294">
        <v>1083</v>
      </c>
    </row>
    <row r="1295" spans="1:14" x14ac:dyDescent="0.35">
      <c r="A1295" t="s">
        <v>1357</v>
      </c>
      <c r="B1295" t="s">
        <v>15</v>
      </c>
      <c r="C1295" t="s">
        <v>16</v>
      </c>
      <c r="D1295">
        <v>100</v>
      </c>
      <c r="E1295" t="s">
        <v>1349</v>
      </c>
      <c r="F1295">
        <v>5419</v>
      </c>
      <c r="G1295" t="s">
        <v>18</v>
      </c>
      <c r="H1295">
        <v>27</v>
      </c>
      <c r="I1295" t="s">
        <v>19</v>
      </c>
      <c r="J1295">
        <v>1994</v>
      </c>
      <c r="K1295">
        <v>1994</v>
      </c>
      <c r="L1295" t="s">
        <v>20</v>
      </c>
      <c r="M1295">
        <v>28645</v>
      </c>
      <c r="N1295">
        <v>1083</v>
      </c>
    </row>
    <row r="1296" spans="1:14" x14ac:dyDescent="0.35">
      <c r="A1296" t="s">
        <v>1358</v>
      </c>
      <c r="B1296" t="s">
        <v>15</v>
      </c>
      <c r="C1296" t="s">
        <v>16</v>
      </c>
      <c r="D1296">
        <v>100</v>
      </c>
      <c r="E1296" t="s">
        <v>1349</v>
      </c>
      <c r="F1296">
        <v>5419</v>
      </c>
      <c r="G1296" t="s">
        <v>18</v>
      </c>
      <c r="H1296">
        <v>27</v>
      </c>
      <c r="I1296" t="s">
        <v>19</v>
      </c>
      <c r="J1296">
        <v>1995</v>
      </c>
      <c r="K1296">
        <v>1995</v>
      </c>
      <c r="L1296" t="s">
        <v>20</v>
      </c>
      <c r="M1296">
        <v>26972</v>
      </c>
      <c r="N1296">
        <v>1083</v>
      </c>
    </row>
    <row r="1297" spans="1:14" x14ac:dyDescent="0.35">
      <c r="A1297" t="s">
        <v>1359</v>
      </c>
      <c r="B1297" t="s">
        <v>15</v>
      </c>
      <c r="C1297" t="s">
        <v>16</v>
      </c>
      <c r="D1297">
        <v>100</v>
      </c>
      <c r="E1297" t="s">
        <v>1349</v>
      </c>
      <c r="F1297">
        <v>5419</v>
      </c>
      <c r="G1297" t="s">
        <v>18</v>
      </c>
      <c r="H1297">
        <v>27</v>
      </c>
      <c r="I1297" t="s">
        <v>19</v>
      </c>
      <c r="J1297">
        <v>1996</v>
      </c>
      <c r="K1297">
        <v>1996</v>
      </c>
      <c r="L1297" t="s">
        <v>20</v>
      </c>
      <c r="M1297">
        <v>28226</v>
      </c>
      <c r="N1297">
        <v>1083</v>
      </c>
    </row>
    <row r="1298" spans="1:14" x14ac:dyDescent="0.35">
      <c r="A1298" t="s">
        <v>1360</v>
      </c>
      <c r="B1298" t="s">
        <v>15</v>
      </c>
      <c r="C1298" t="s">
        <v>16</v>
      </c>
      <c r="D1298">
        <v>100</v>
      </c>
      <c r="E1298" t="s">
        <v>1349</v>
      </c>
      <c r="F1298">
        <v>5419</v>
      </c>
      <c r="G1298" t="s">
        <v>18</v>
      </c>
      <c r="H1298">
        <v>27</v>
      </c>
      <c r="I1298" t="s">
        <v>19</v>
      </c>
      <c r="J1298">
        <v>1997</v>
      </c>
      <c r="K1298">
        <v>1997</v>
      </c>
      <c r="L1298" t="s">
        <v>20</v>
      </c>
      <c r="M1298">
        <v>28457</v>
      </c>
      <c r="N1298">
        <v>1083</v>
      </c>
    </row>
    <row r="1299" spans="1:14" x14ac:dyDescent="0.35">
      <c r="A1299" t="s">
        <v>1361</v>
      </c>
      <c r="B1299" t="s">
        <v>15</v>
      </c>
      <c r="C1299" t="s">
        <v>16</v>
      </c>
      <c r="D1299">
        <v>100</v>
      </c>
      <c r="E1299" t="s">
        <v>1349</v>
      </c>
      <c r="F1299">
        <v>5419</v>
      </c>
      <c r="G1299" t="s">
        <v>18</v>
      </c>
      <c r="H1299">
        <v>27</v>
      </c>
      <c r="I1299" t="s">
        <v>19</v>
      </c>
      <c r="J1299">
        <v>1998</v>
      </c>
      <c r="K1299">
        <v>1998</v>
      </c>
      <c r="L1299" t="s">
        <v>20</v>
      </c>
      <c r="M1299">
        <v>28805</v>
      </c>
      <c r="N1299">
        <v>1083</v>
      </c>
    </row>
    <row r="1300" spans="1:14" x14ac:dyDescent="0.35">
      <c r="A1300" t="s">
        <v>1362</v>
      </c>
      <c r="B1300" t="s">
        <v>15</v>
      </c>
      <c r="C1300" t="s">
        <v>16</v>
      </c>
      <c r="D1300">
        <v>100</v>
      </c>
      <c r="E1300" t="s">
        <v>1349</v>
      </c>
      <c r="F1300">
        <v>5419</v>
      </c>
      <c r="G1300" t="s">
        <v>18</v>
      </c>
      <c r="H1300">
        <v>27</v>
      </c>
      <c r="I1300" t="s">
        <v>19</v>
      </c>
      <c r="J1300">
        <v>1999</v>
      </c>
      <c r="K1300">
        <v>1999</v>
      </c>
      <c r="L1300" t="s">
        <v>20</v>
      </c>
      <c r="M1300">
        <v>29782</v>
      </c>
      <c r="N1300">
        <v>1083</v>
      </c>
    </row>
    <row r="1301" spans="1:14" x14ac:dyDescent="0.35">
      <c r="A1301" t="s">
        <v>1363</v>
      </c>
      <c r="B1301" t="s">
        <v>15</v>
      </c>
      <c r="C1301" t="s">
        <v>16</v>
      </c>
      <c r="D1301">
        <v>100</v>
      </c>
      <c r="E1301" t="s">
        <v>1349</v>
      </c>
      <c r="F1301">
        <v>5419</v>
      </c>
      <c r="G1301" t="s">
        <v>18</v>
      </c>
      <c r="H1301">
        <v>27</v>
      </c>
      <c r="I1301" t="s">
        <v>19</v>
      </c>
      <c r="J1301">
        <v>2000</v>
      </c>
      <c r="K1301">
        <v>2000</v>
      </c>
      <c r="L1301" t="s">
        <v>20</v>
      </c>
      <c r="M1301">
        <v>28508</v>
      </c>
      <c r="N1301">
        <v>1083</v>
      </c>
    </row>
    <row r="1302" spans="1:14" x14ac:dyDescent="0.35">
      <c r="A1302" t="s">
        <v>1364</v>
      </c>
      <c r="B1302" t="s">
        <v>15</v>
      </c>
      <c r="C1302" t="s">
        <v>16</v>
      </c>
      <c r="D1302">
        <v>100</v>
      </c>
      <c r="E1302" t="s">
        <v>1349</v>
      </c>
      <c r="F1302">
        <v>5419</v>
      </c>
      <c r="G1302" t="s">
        <v>18</v>
      </c>
      <c r="H1302">
        <v>27</v>
      </c>
      <c r="I1302" t="s">
        <v>19</v>
      </c>
      <c r="J1302">
        <v>2001</v>
      </c>
      <c r="K1302">
        <v>2001</v>
      </c>
      <c r="L1302" t="s">
        <v>20</v>
      </c>
      <c r="M1302">
        <v>31158</v>
      </c>
      <c r="N1302">
        <v>1083</v>
      </c>
    </row>
    <row r="1303" spans="1:14" x14ac:dyDescent="0.35">
      <c r="A1303" t="s">
        <v>1365</v>
      </c>
      <c r="B1303" t="s">
        <v>15</v>
      </c>
      <c r="C1303" t="s">
        <v>16</v>
      </c>
      <c r="D1303">
        <v>100</v>
      </c>
      <c r="E1303" t="s">
        <v>1349</v>
      </c>
      <c r="F1303">
        <v>5419</v>
      </c>
      <c r="G1303" t="s">
        <v>18</v>
      </c>
      <c r="H1303">
        <v>27</v>
      </c>
      <c r="I1303" t="s">
        <v>19</v>
      </c>
      <c r="J1303">
        <v>2002</v>
      </c>
      <c r="K1303">
        <v>2002</v>
      </c>
      <c r="L1303" t="s">
        <v>20</v>
      </c>
      <c r="M1303">
        <v>26163</v>
      </c>
      <c r="N1303">
        <v>1083</v>
      </c>
    </row>
    <row r="1304" spans="1:14" x14ac:dyDescent="0.35">
      <c r="A1304" t="s">
        <v>1366</v>
      </c>
      <c r="B1304" t="s">
        <v>15</v>
      </c>
      <c r="C1304" t="s">
        <v>16</v>
      </c>
      <c r="D1304">
        <v>100</v>
      </c>
      <c r="E1304" t="s">
        <v>1349</v>
      </c>
      <c r="F1304">
        <v>5419</v>
      </c>
      <c r="G1304" t="s">
        <v>18</v>
      </c>
      <c r="H1304">
        <v>27</v>
      </c>
      <c r="I1304" t="s">
        <v>19</v>
      </c>
      <c r="J1304">
        <v>2004</v>
      </c>
      <c r="K1304">
        <v>2004</v>
      </c>
      <c r="L1304" t="s">
        <v>20</v>
      </c>
      <c r="M1304">
        <v>29756</v>
      </c>
      <c r="N1304">
        <v>1083</v>
      </c>
    </row>
    <row r="1305" spans="1:14" x14ac:dyDescent="0.35">
      <c r="A1305" t="s">
        <v>1367</v>
      </c>
      <c r="B1305" t="s">
        <v>15</v>
      </c>
      <c r="C1305" t="s">
        <v>16</v>
      </c>
      <c r="D1305">
        <v>100</v>
      </c>
      <c r="E1305" t="s">
        <v>1349</v>
      </c>
      <c r="F1305">
        <v>5419</v>
      </c>
      <c r="G1305" t="s">
        <v>18</v>
      </c>
      <c r="H1305">
        <v>27</v>
      </c>
      <c r="I1305" t="s">
        <v>19</v>
      </c>
      <c r="J1305">
        <v>2005</v>
      </c>
      <c r="K1305">
        <v>2005</v>
      </c>
      <c r="L1305" t="s">
        <v>20</v>
      </c>
      <c r="M1305">
        <v>31537</v>
      </c>
      <c r="N1305">
        <v>1083</v>
      </c>
    </row>
    <row r="1306" spans="1:14" x14ac:dyDescent="0.35">
      <c r="A1306" t="s">
        <v>1368</v>
      </c>
      <c r="B1306" t="s">
        <v>15</v>
      </c>
      <c r="C1306" t="s">
        <v>16</v>
      </c>
      <c r="D1306">
        <v>100</v>
      </c>
      <c r="E1306" t="s">
        <v>1349</v>
      </c>
      <c r="F1306">
        <v>5419</v>
      </c>
      <c r="G1306" t="s">
        <v>18</v>
      </c>
      <c r="H1306">
        <v>27</v>
      </c>
      <c r="I1306" t="s">
        <v>19</v>
      </c>
      <c r="J1306">
        <v>2006</v>
      </c>
      <c r="K1306">
        <v>2006</v>
      </c>
      <c r="L1306" t="s">
        <v>20</v>
      </c>
      <c r="M1306">
        <v>31759</v>
      </c>
      <c r="N1306">
        <v>1083</v>
      </c>
    </row>
    <row r="1307" spans="1:14" x14ac:dyDescent="0.35">
      <c r="A1307" t="s">
        <v>1369</v>
      </c>
      <c r="B1307" t="s">
        <v>15</v>
      </c>
      <c r="C1307" t="s">
        <v>16</v>
      </c>
      <c r="D1307">
        <v>100</v>
      </c>
      <c r="E1307" t="s">
        <v>1349</v>
      </c>
      <c r="F1307">
        <v>5419</v>
      </c>
      <c r="G1307" t="s">
        <v>18</v>
      </c>
      <c r="H1307">
        <v>27</v>
      </c>
      <c r="I1307" t="s">
        <v>19</v>
      </c>
      <c r="J1307">
        <v>2007</v>
      </c>
      <c r="K1307">
        <v>2007</v>
      </c>
      <c r="L1307" t="s">
        <v>20</v>
      </c>
      <c r="M1307">
        <v>32924</v>
      </c>
      <c r="N1307">
        <v>1083</v>
      </c>
    </row>
    <row r="1308" spans="1:14" x14ac:dyDescent="0.35">
      <c r="A1308" t="s">
        <v>1370</v>
      </c>
      <c r="B1308" t="s">
        <v>15</v>
      </c>
      <c r="C1308" t="s">
        <v>16</v>
      </c>
      <c r="D1308">
        <v>100</v>
      </c>
      <c r="E1308" t="s">
        <v>1349</v>
      </c>
      <c r="F1308">
        <v>5419</v>
      </c>
      <c r="G1308" t="s">
        <v>18</v>
      </c>
      <c r="H1308">
        <v>27</v>
      </c>
      <c r="I1308" t="s">
        <v>19</v>
      </c>
      <c r="J1308">
        <v>2008</v>
      </c>
      <c r="K1308">
        <v>2008</v>
      </c>
      <c r="L1308" t="s">
        <v>20</v>
      </c>
      <c r="M1308">
        <v>32509</v>
      </c>
      <c r="N1308">
        <v>1083</v>
      </c>
    </row>
    <row r="1309" spans="1:14" x14ac:dyDescent="0.35">
      <c r="A1309" t="s">
        <v>1371</v>
      </c>
      <c r="B1309" t="s">
        <v>15</v>
      </c>
      <c r="C1309" t="s">
        <v>16</v>
      </c>
      <c r="D1309">
        <v>100</v>
      </c>
      <c r="E1309" t="s">
        <v>1349</v>
      </c>
      <c r="F1309">
        <v>5419</v>
      </c>
      <c r="G1309" t="s">
        <v>18</v>
      </c>
      <c r="H1309">
        <v>27</v>
      </c>
      <c r="I1309" t="s">
        <v>19</v>
      </c>
      <c r="J1309">
        <v>2009</v>
      </c>
      <c r="K1309">
        <v>2009</v>
      </c>
      <c r="L1309" t="s">
        <v>20</v>
      </c>
      <c r="M1309">
        <v>32366</v>
      </c>
      <c r="N1309">
        <v>1083</v>
      </c>
    </row>
    <row r="1310" spans="1:14" x14ac:dyDescent="0.35">
      <c r="A1310" t="s">
        <v>1372</v>
      </c>
      <c r="B1310" t="s">
        <v>15</v>
      </c>
      <c r="C1310" t="s">
        <v>16</v>
      </c>
      <c r="D1310">
        <v>100</v>
      </c>
      <c r="E1310" t="s">
        <v>1349</v>
      </c>
      <c r="F1310">
        <v>5419</v>
      </c>
      <c r="G1310" t="s">
        <v>18</v>
      </c>
      <c r="H1310">
        <v>27</v>
      </c>
      <c r="I1310" t="s">
        <v>19</v>
      </c>
      <c r="J1310">
        <v>2010</v>
      </c>
      <c r="K1310">
        <v>2010</v>
      </c>
      <c r="L1310" t="s">
        <v>20</v>
      </c>
      <c r="M1310">
        <v>33587</v>
      </c>
      <c r="N1310">
        <v>1083</v>
      </c>
    </row>
    <row r="1311" spans="1:14" x14ac:dyDescent="0.35">
      <c r="A1311" t="s">
        <v>1373</v>
      </c>
      <c r="B1311" t="s">
        <v>15</v>
      </c>
      <c r="C1311" t="s">
        <v>16</v>
      </c>
      <c r="D1311">
        <v>100</v>
      </c>
      <c r="E1311" t="s">
        <v>1349</v>
      </c>
      <c r="F1311">
        <v>5419</v>
      </c>
      <c r="G1311" t="s">
        <v>18</v>
      </c>
      <c r="H1311">
        <v>27</v>
      </c>
      <c r="I1311" t="s">
        <v>19</v>
      </c>
      <c r="J1311">
        <v>2011</v>
      </c>
      <c r="K1311">
        <v>2011</v>
      </c>
      <c r="L1311" t="s">
        <v>20</v>
      </c>
      <c r="M1311">
        <v>35878</v>
      </c>
      <c r="N1311">
        <v>1083</v>
      </c>
    </row>
    <row r="1312" spans="1:14" x14ac:dyDescent="0.35">
      <c r="A1312" t="s">
        <v>1374</v>
      </c>
      <c r="B1312" t="s">
        <v>15</v>
      </c>
      <c r="C1312" t="s">
        <v>16</v>
      </c>
      <c r="D1312">
        <v>100</v>
      </c>
      <c r="E1312" t="s">
        <v>1349</v>
      </c>
      <c r="F1312">
        <v>5419</v>
      </c>
      <c r="G1312" t="s">
        <v>18</v>
      </c>
      <c r="H1312">
        <v>27</v>
      </c>
      <c r="I1312" t="s">
        <v>19</v>
      </c>
      <c r="J1312">
        <v>2012</v>
      </c>
      <c r="K1312">
        <v>2012</v>
      </c>
      <c r="L1312" t="s">
        <v>20</v>
      </c>
      <c r="M1312">
        <v>36909</v>
      </c>
      <c r="N1312">
        <v>1083</v>
      </c>
    </row>
    <row r="1313" spans="1:14" x14ac:dyDescent="0.35">
      <c r="A1313" t="s">
        <v>1375</v>
      </c>
      <c r="B1313" t="s">
        <v>15</v>
      </c>
      <c r="C1313" t="s">
        <v>16</v>
      </c>
      <c r="D1313">
        <v>100</v>
      </c>
      <c r="E1313" t="s">
        <v>1349</v>
      </c>
      <c r="F1313">
        <v>5419</v>
      </c>
      <c r="G1313" t="s">
        <v>18</v>
      </c>
      <c r="H1313">
        <v>27</v>
      </c>
      <c r="I1313" t="s">
        <v>19</v>
      </c>
      <c r="J1313">
        <v>2013</v>
      </c>
      <c r="K1313">
        <v>2013</v>
      </c>
      <c r="L1313" t="s">
        <v>20</v>
      </c>
      <c r="M1313">
        <v>36070</v>
      </c>
      <c r="N1313">
        <v>1083</v>
      </c>
    </row>
    <row r="1314" spans="1:14" x14ac:dyDescent="0.35">
      <c r="A1314" t="s">
        <v>1376</v>
      </c>
      <c r="B1314" t="s">
        <v>15</v>
      </c>
      <c r="C1314" t="s">
        <v>16</v>
      </c>
      <c r="D1314">
        <v>100</v>
      </c>
      <c r="E1314" t="s">
        <v>1349</v>
      </c>
      <c r="F1314">
        <v>5419</v>
      </c>
      <c r="G1314" t="s">
        <v>18</v>
      </c>
      <c r="H1314">
        <v>27</v>
      </c>
      <c r="I1314" t="s">
        <v>19</v>
      </c>
      <c r="J1314">
        <v>2014</v>
      </c>
      <c r="K1314">
        <v>2014</v>
      </c>
      <c r="L1314" t="s">
        <v>20</v>
      </c>
      <c r="M1314">
        <v>35638</v>
      </c>
      <c r="N1314">
        <v>1083</v>
      </c>
    </row>
    <row r="1315" spans="1:14" x14ac:dyDescent="0.35">
      <c r="A1315" t="s">
        <v>1377</v>
      </c>
      <c r="B1315" t="s">
        <v>15</v>
      </c>
      <c r="C1315" t="s">
        <v>16</v>
      </c>
      <c r="D1315">
        <v>100</v>
      </c>
      <c r="E1315" t="s">
        <v>1349</v>
      </c>
      <c r="F1315">
        <v>5419</v>
      </c>
      <c r="G1315" t="s">
        <v>18</v>
      </c>
      <c r="H1315">
        <v>27</v>
      </c>
      <c r="I1315" t="s">
        <v>19</v>
      </c>
      <c r="J1315">
        <v>2015</v>
      </c>
      <c r="K1315">
        <v>2015</v>
      </c>
      <c r="L1315" t="s">
        <v>20</v>
      </c>
      <c r="M1315">
        <v>36077</v>
      </c>
      <c r="N1315">
        <v>1083</v>
      </c>
    </row>
    <row r="1316" spans="1:14" x14ac:dyDescent="0.35">
      <c r="A1316" t="s">
        <v>1378</v>
      </c>
      <c r="B1316" t="s">
        <v>15</v>
      </c>
      <c r="C1316" t="s">
        <v>16</v>
      </c>
      <c r="D1316">
        <v>100</v>
      </c>
      <c r="E1316" t="s">
        <v>1349</v>
      </c>
      <c r="F1316">
        <v>5419</v>
      </c>
      <c r="G1316" t="s">
        <v>18</v>
      </c>
      <c r="H1316">
        <v>27</v>
      </c>
      <c r="I1316" t="s">
        <v>19</v>
      </c>
      <c r="J1316">
        <v>2016</v>
      </c>
      <c r="K1316">
        <v>2016</v>
      </c>
      <c r="L1316" t="s">
        <v>20</v>
      </c>
      <c r="M1316">
        <v>36950</v>
      </c>
      <c r="N1316">
        <v>1083</v>
      </c>
    </row>
    <row r="1317" spans="1:14" x14ac:dyDescent="0.35">
      <c r="A1317" t="s">
        <v>1379</v>
      </c>
      <c r="B1317" t="s">
        <v>15</v>
      </c>
      <c r="C1317" t="s">
        <v>16</v>
      </c>
      <c r="D1317">
        <v>101</v>
      </c>
      <c r="E1317" t="s">
        <v>1380</v>
      </c>
      <c r="F1317">
        <v>5419</v>
      </c>
      <c r="G1317" t="s">
        <v>18</v>
      </c>
      <c r="H1317">
        <v>27</v>
      </c>
      <c r="I1317" t="s">
        <v>19</v>
      </c>
      <c r="J1317">
        <v>1985</v>
      </c>
      <c r="K1317">
        <v>1985</v>
      </c>
      <c r="L1317" t="s">
        <v>20</v>
      </c>
      <c r="M1317">
        <v>39418</v>
      </c>
      <c r="N1317">
        <v>2702</v>
      </c>
    </row>
    <row r="1318" spans="1:14" x14ac:dyDescent="0.35">
      <c r="A1318" t="s">
        <v>1381</v>
      </c>
      <c r="B1318" t="s">
        <v>15</v>
      </c>
      <c r="C1318" t="s">
        <v>16</v>
      </c>
      <c r="D1318">
        <v>101</v>
      </c>
      <c r="E1318" t="s">
        <v>1380</v>
      </c>
      <c r="F1318">
        <v>5419</v>
      </c>
      <c r="G1318" t="s">
        <v>18</v>
      </c>
      <c r="H1318">
        <v>27</v>
      </c>
      <c r="I1318" t="s">
        <v>19</v>
      </c>
      <c r="J1318">
        <v>1986</v>
      </c>
      <c r="K1318">
        <v>1986</v>
      </c>
      <c r="L1318" t="s">
        <v>20</v>
      </c>
      <c r="M1318">
        <v>39773</v>
      </c>
      <c r="N1318">
        <v>2702</v>
      </c>
    </row>
    <row r="1319" spans="1:14" x14ac:dyDescent="0.35">
      <c r="A1319" t="s">
        <v>1382</v>
      </c>
      <c r="B1319" t="s">
        <v>15</v>
      </c>
      <c r="C1319" t="s">
        <v>16</v>
      </c>
      <c r="D1319">
        <v>101</v>
      </c>
      <c r="E1319" t="s">
        <v>1380</v>
      </c>
      <c r="F1319">
        <v>5419</v>
      </c>
      <c r="G1319" t="s">
        <v>18</v>
      </c>
      <c r="H1319">
        <v>27</v>
      </c>
      <c r="I1319" t="s">
        <v>19</v>
      </c>
      <c r="J1319">
        <v>1987</v>
      </c>
      <c r="K1319">
        <v>1987</v>
      </c>
      <c r="L1319" t="s">
        <v>20</v>
      </c>
      <c r="M1319">
        <v>40391</v>
      </c>
      <c r="N1319">
        <v>2702</v>
      </c>
    </row>
    <row r="1320" spans="1:14" x14ac:dyDescent="0.35">
      <c r="A1320" t="s">
        <v>1383</v>
      </c>
      <c r="B1320" t="s">
        <v>15</v>
      </c>
      <c r="C1320" t="s">
        <v>16</v>
      </c>
      <c r="D1320">
        <v>101</v>
      </c>
      <c r="E1320" t="s">
        <v>1380</v>
      </c>
      <c r="F1320">
        <v>5419</v>
      </c>
      <c r="G1320" t="s">
        <v>18</v>
      </c>
      <c r="H1320">
        <v>27</v>
      </c>
      <c r="I1320" t="s">
        <v>19</v>
      </c>
      <c r="J1320">
        <v>1989</v>
      </c>
      <c r="K1320">
        <v>1989</v>
      </c>
      <c r="L1320" t="s">
        <v>20</v>
      </c>
      <c r="M1320">
        <v>42470</v>
      </c>
      <c r="N1320">
        <v>2702</v>
      </c>
    </row>
    <row r="1321" spans="1:14" x14ac:dyDescent="0.35">
      <c r="A1321" t="s">
        <v>1384</v>
      </c>
      <c r="B1321" t="s">
        <v>15</v>
      </c>
      <c r="C1321" t="s">
        <v>16</v>
      </c>
      <c r="D1321">
        <v>101</v>
      </c>
      <c r="E1321" t="s">
        <v>1380</v>
      </c>
      <c r="F1321">
        <v>5419</v>
      </c>
      <c r="G1321" t="s">
        <v>18</v>
      </c>
      <c r="H1321">
        <v>27</v>
      </c>
      <c r="I1321" t="s">
        <v>19</v>
      </c>
      <c r="J1321">
        <v>1990</v>
      </c>
      <c r="K1321">
        <v>1990</v>
      </c>
      <c r="L1321" t="s">
        <v>20</v>
      </c>
      <c r="M1321">
        <v>43018</v>
      </c>
      <c r="N1321">
        <v>2702</v>
      </c>
    </row>
    <row r="1322" spans="1:14" x14ac:dyDescent="0.35">
      <c r="A1322" t="s">
        <v>1385</v>
      </c>
      <c r="B1322" t="s">
        <v>15</v>
      </c>
      <c r="C1322" t="s">
        <v>16</v>
      </c>
      <c r="D1322">
        <v>101</v>
      </c>
      <c r="E1322" t="s">
        <v>1380</v>
      </c>
      <c r="F1322">
        <v>5419</v>
      </c>
      <c r="G1322" t="s">
        <v>18</v>
      </c>
      <c r="H1322">
        <v>27</v>
      </c>
      <c r="I1322" t="s">
        <v>19</v>
      </c>
      <c r="J1322">
        <v>1991</v>
      </c>
      <c r="K1322">
        <v>1991</v>
      </c>
      <c r="L1322" t="s">
        <v>20</v>
      </c>
      <c r="M1322">
        <v>43465</v>
      </c>
      <c r="N1322">
        <v>2702</v>
      </c>
    </row>
    <row r="1323" spans="1:14" x14ac:dyDescent="0.35">
      <c r="A1323" t="s">
        <v>1386</v>
      </c>
      <c r="B1323" t="s">
        <v>15</v>
      </c>
      <c r="C1323" t="s">
        <v>16</v>
      </c>
      <c r="D1323">
        <v>101</v>
      </c>
      <c r="E1323" t="s">
        <v>1380</v>
      </c>
      <c r="F1323">
        <v>5419</v>
      </c>
      <c r="G1323" t="s">
        <v>18</v>
      </c>
      <c r="H1323">
        <v>27</v>
      </c>
      <c r="I1323" t="s">
        <v>19</v>
      </c>
      <c r="J1323">
        <v>1992</v>
      </c>
      <c r="K1323">
        <v>1992</v>
      </c>
      <c r="L1323" t="s">
        <v>20</v>
      </c>
      <c r="M1323">
        <v>43446</v>
      </c>
      <c r="N1323">
        <v>2702</v>
      </c>
    </row>
    <row r="1324" spans="1:14" x14ac:dyDescent="0.35">
      <c r="A1324" t="s">
        <v>1387</v>
      </c>
      <c r="B1324" t="s">
        <v>15</v>
      </c>
      <c r="C1324" t="s">
        <v>16</v>
      </c>
      <c r="D1324">
        <v>101</v>
      </c>
      <c r="E1324" t="s">
        <v>1380</v>
      </c>
      <c r="F1324">
        <v>5419</v>
      </c>
      <c r="G1324" t="s">
        <v>18</v>
      </c>
      <c r="H1324">
        <v>27</v>
      </c>
      <c r="I1324" t="s">
        <v>19</v>
      </c>
      <c r="J1324">
        <v>1993</v>
      </c>
      <c r="K1324">
        <v>1993</v>
      </c>
      <c r="L1324" t="s">
        <v>20</v>
      </c>
      <c r="M1324">
        <v>43750</v>
      </c>
      <c r="N1324">
        <v>2702</v>
      </c>
    </row>
    <row r="1325" spans="1:14" x14ac:dyDescent="0.35">
      <c r="A1325" t="s">
        <v>1388</v>
      </c>
      <c r="B1325" t="s">
        <v>15</v>
      </c>
      <c r="C1325" t="s">
        <v>16</v>
      </c>
      <c r="D1325">
        <v>101</v>
      </c>
      <c r="E1325" t="s">
        <v>1380</v>
      </c>
      <c r="F1325">
        <v>5419</v>
      </c>
      <c r="G1325" t="s">
        <v>18</v>
      </c>
      <c r="H1325">
        <v>27</v>
      </c>
      <c r="I1325" t="s">
        <v>19</v>
      </c>
      <c r="J1325">
        <v>1994</v>
      </c>
      <c r="K1325">
        <v>1994</v>
      </c>
      <c r="L1325" t="s">
        <v>20</v>
      </c>
      <c r="M1325">
        <v>43453</v>
      </c>
      <c r="N1325">
        <v>2702</v>
      </c>
    </row>
    <row r="1326" spans="1:14" x14ac:dyDescent="0.35">
      <c r="A1326" t="s">
        <v>1389</v>
      </c>
      <c r="B1326" t="s">
        <v>15</v>
      </c>
      <c r="C1326" t="s">
        <v>16</v>
      </c>
      <c r="D1326">
        <v>101</v>
      </c>
      <c r="E1326" t="s">
        <v>1380</v>
      </c>
      <c r="F1326">
        <v>5419</v>
      </c>
      <c r="G1326" t="s">
        <v>18</v>
      </c>
      <c r="H1326">
        <v>27</v>
      </c>
      <c r="I1326" t="s">
        <v>19</v>
      </c>
      <c r="J1326">
        <v>1995</v>
      </c>
      <c r="K1326">
        <v>1995</v>
      </c>
      <c r="L1326" t="s">
        <v>20</v>
      </c>
      <c r="M1326">
        <v>43487</v>
      </c>
      <c r="N1326">
        <v>2702</v>
      </c>
    </row>
    <row r="1327" spans="1:14" x14ac:dyDescent="0.35">
      <c r="A1327" t="s">
        <v>1390</v>
      </c>
      <c r="B1327" t="s">
        <v>15</v>
      </c>
      <c r="C1327" t="s">
        <v>16</v>
      </c>
      <c r="D1327">
        <v>101</v>
      </c>
      <c r="E1327" t="s">
        <v>1380</v>
      </c>
      <c r="F1327">
        <v>5419</v>
      </c>
      <c r="G1327" t="s">
        <v>18</v>
      </c>
      <c r="H1327">
        <v>27</v>
      </c>
      <c r="I1327" t="s">
        <v>19</v>
      </c>
      <c r="J1327">
        <v>1996</v>
      </c>
      <c r="K1327">
        <v>1996</v>
      </c>
      <c r="L1327" t="s">
        <v>20</v>
      </c>
      <c r="M1327">
        <v>44168</v>
      </c>
      <c r="N1327">
        <v>2702</v>
      </c>
    </row>
    <row r="1328" spans="1:14" x14ac:dyDescent="0.35">
      <c r="A1328" t="s">
        <v>1391</v>
      </c>
      <c r="B1328" t="s">
        <v>15</v>
      </c>
      <c r="C1328" t="s">
        <v>16</v>
      </c>
      <c r="D1328">
        <v>101</v>
      </c>
      <c r="E1328" t="s">
        <v>1380</v>
      </c>
      <c r="F1328">
        <v>5419</v>
      </c>
      <c r="G1328" t="s">
        <v>18</v>
      </c>
      <c r="H1328">
        <v>27</v>
      </c>
      <c r="I1328" t="s">
        <v>19</v>
      </c>
      <c r="J1328">
        <v>1997</v>
      </c>
      <c r="K1328">
        <v>1997</v>
      </c>
      <c r="L1328" t="s">
        <v>20</v>
      </c>
      <c r="M1328">
        <v>44322</v>
      </c>
      <c r="N1328">
        <v>2702</v>
      </c>
    </row>
    <row r="1329" spans="1:14" x14ac:dyDescent="0.35">
      <c r="A1329" t="s">
        <v>1392</v>
      </c>
      <c r="B1329" t="s">
        <v>15</v>
      </c>
      <c r="C1329" t="s">
        <v>16</v>
      </c>
      <c r="D1329">
        <v>101</v>
      </c>
      <c r="E1329" t="s">
        <v>1380</v>
      </c>
      <c r="F1329">
        <v>5419</v>
      </c>
      <c r="G1329" t="s">
        <v>18</v>
      </c>
      <c r="H1329">
        <v>27</v>
      </c>
      <c r="I1329" t="s">
        <v>19</v>
      </c>
      <c r="J1329">
        <v>1998</v>
      </c>
      <c r="K1329">
        <v>1998</v>
      </c>
      <c r="L1329" t="s">
        <v>20</v>
      </c>
      <c r="M1329">
        <v>41974</v>
      </c>
      <c r="N1329">
        <v>2702</v>
      </c>
    </row>
    <row r="1330" spans="1:14" x14ac:dyDescent="0.35">
      <c r="A1330" t="s">
        <v>1393</v>
      </c>
      <c r="B1330" t="s">
        <v>15</v>
      </c>
      <c r="C1330" t="s">
        <v>16</v>
      </c>
      <c r="D1330">
        <v>101</v>
      </c>
      <c r="E1330" t="s">
        <v>1380</v>
      </c>
      <c r="F1330">
        <v>5419</v>
      </c>
      <c r="G1330" t="s">
        <v>18</v>
      </c>
      <c r="H1330">
        <v>27</v>
      </c>
      <c r="I1330" t="s">
        <v>19</v>
      </c>
      <c r="J1330">
        <v>1999</v>
      </c>
      <c r="K1330">
        <v>1999</v>
      </c>
      <c r="L1330" t="s">
        <v>20</v>
      </c>
      <c r="M1330">
        <v>42519</v>
      </c>
      <c r="N1330">
        <v>2702</v>
      </c>
    </row>
    <row r="1331" spans="1:14" x14ac:dyDescent="0.35">
      <c r="A1331" t="s">
        <v>1394</v>
      </c>
      <c r="B1331" t="s">
        <v>15</v>
      </c>
      <c r="C1331" t="s">
        <v>16</v>
      </c>
      <c r="D1331">
        <v>101</v>
      </c>
      <c r="E1331" t="s">
        <v>1380</v>
      </c>
      <c r="F1331">
        <v>5419</v>
      </c>
      <c r="G1331" t="s">
        <v>18</v>
      </c>
      <c r="H1331">
        <v>27</v>
      </c>
      <c r="I1331" t="s">
        <v>19</v>
      </c>
      <c r="J1331">
        <v>2000</v>
      </c>
      <c r="K1331">
        <v>2000</v>
      </c>
      <c r="L1331" t="s">
        <v>20</v>
      </c>
      <c r="M1331">
        <v>44007</v>
      </c>
      <c r="N1331">
        <v>2702</v>
      </c>
    </row>
    <row r="1332" spans="1:14" x14ac:dyDescent="0.35">
      <c r="A1332" t="s">
        <v>1395</v>
      </c>
      <c r="B1332" t="s">
        <v>15</v>
      </c>
      <c r="C1332" t="s">
        <v>16</v>
      </c>
      <c r="D1332">
        <v>101</v>
      </c>
      <c r="E1332" t="s">
        <v>1380</v>
      </c>
      <c r="F1332">
        <v>5419</v>
      </c>
      <c r="G1332" t="s">
        <v>18</v>
      </c>
      <c r="H1332">
        <v>27</v>
      </c>
      <c r="I1332" t="s">
        <v>19</v>
      </c>
      <c r="J1332">
        <v>2001</v>
      </c>
      <c r="K1332">
        <v>2001</v>
      </c>
      <c r="L1332" t="s">
        <v>20</v>
      </c>
      <c r="M1332">
        <v>43879</v>
      </c>
      <c r="N1332">
        <v>2702</v>
      </c>
    </row>
    <row r="1333" spans="1:14" x14ac:dyDescent="0.35">
      <c r="A1333" t="s">
        <v>1396</v>
      </c>
      <c r="B1333" t="s">
        <v>15</v>
      </c>
      <c r="C1333" t="s">
        <v>16</v>
      </c>
      <c r="D1333">
        <v>101</v>
      </c>
      <c r="E1333" t="s">
        <v>1380</v>
      </c>
      <c r="F1333">
        <v>5419</v>
      </c>
      <c r="G1333" t="s">
        <v>18</v>
      </c>
      <c r="H1333">
        <v>27</v>
      </c>
      <c r="I1333" t="s">
        <v>19</v>
      </c>
      <c r="J1333">
        <v>2002</v>
      </c>
      <c r="K1333">
        <v>2002</v>
      </c>
      <c r="L1333" t="s">
        <v>20</v>
      </c>
      <c r="M1333">
        <v>44691</v>
      </c>
      <c r="N1333">
        <v>2702</v>
      </c>
    </row>
    <row r="1334" spans="1:14" x14ac:dyDescent="0.35">
      <c r="A1334" t="s">
        <v>1397</v>
      </c>
      <c r="B1334" t="s">
        <v>15</v>
      </c>
      <c r="C1334" t="s">
        <v>16</v>
      </c>
      <c r="D1334">
        <v>101</v>
      </c>
      <c r="E1334" t="s">
        <v>1380</v>
      </c>
      <c r="F1334">
        <v>5419</v>
      </c>
      <c r="G1334" t="s">
        <v>18</v>
      </c>
      <c r="H1334">
        <v>27</v>
      </c>
      <c r="I1334" t="s">
        <v>19</v>
      </c>
      <c r="J1334">
        <v>2004</v>
      </c>
      <c r="K1334">
        <v>2004</v>
      </c>
      <c r="L1334" t="s">
        <v>20</v>
      </c>
      <c r="M1334">
        <v>45365</v>
      </c>
      <c r="N1334">
        <v>2702</v>
      </c>
    </row>
    <row r="1335" spans="1:14" x14ac:dyDescent="0.35">
      <c r="A1335" t="s">
        <v>1398</v>
      </c>
      <c r="B1335" t="s">
        <v>15</v>
      </c>
      <c r="C1335" t="s">
        <v>16</v>
      </c>
      <c r="D1335">
        <v>101</v>
      </c>
      <c r="E1335" t="s">
        <v>1380</v>
      </c>
      <c r="F1335">
        <v>5419</v>
      </c>
      <c r="G1335" t="s">
        <v>18</v>
      </c>
      <c r="H1335">
        <v>27</v>
      </c>
      <c r="I1335" t="s">
        <v>19</v>
      </c>
      <c r="J1335">
        <v>2005</v>
      </c>
      <c r="K1335">
        <v>2005</v>
      </c>
      <c r="L1335" t="s">
        <v>20</v>
      </c>
      <c r="M1335">
        <v>45739</v>
      </c>
      <c r="N1335">
        <v>2702</v>
      </c>
    </row>
    <row r="1336" spans="1:14" x14ac:dyDescent="0.35">
      <c r="A1336" t="s">
        <v>1399</v>
      </c>
      <c r="B1336" t="s">
        <v>15</v>
      </c>
      <c r="C1336" t="s">
        <v>16</v>
      </c>
      <c r="D1336">
        <v>101</v>
      </c>
      <c r="E1336" t="s">
        <v>1380</v>
      </c>
      <c r="F1336">
        <v>5419</v>
      </c>
      <c r="G1336" t="s">
        <v>18</v>
      </c>
      <c r="H1336">
        <v>27</v>
      </c>
      <c r="I1336" t="s">
        <v>19</v>
      </c>
      <c r="J1336">
        <v>2006</v>
      </c>
      <c r="K1336">
        <v>2006</v>
      </c>
      <c r="L1336" t="s">
        <v>20</v>
      </c>
      <c r="M1336">
        <v>46201</v>
      </c>
      <c r="N1336">
        <v>2702</v>
      </c>
    </row>
    <row r="1337" spans="1:14" x14ac:dyDescent="0.35">
      <c r="A1337" t="s">
        <v>1400</v>
      </c>
      <c r="B1337" t="s">
        <v>15</v>
      </c>
      <c r="C1337" t="s">
        <v>16</v>
      </c>
      <c r="D1337">
        <v>101</v>
      </c>
      <c r="E1337" t="s">
        <v>1380</v>
      </c>
      <c r="F1337">
        <v>5419</v>
      </c>
      <c r="G1337" t="s">
        <v>18</v>
      </c>
      <c r="H1337">
        <v>27</v>
      </c>
      <c r="I1337" t="s">
        <v>19</v>
      </c>
      <c r="J1337">
        <v>2007</v>
      </c>
      <c r="K1337">
        <v>2007</v>
      </c>
      <c r="L1337" t="s">
        <v>20</v>
      </c>
      <c r="M1337">
        <v>47052</v>
      </c>
      <c r="N1337">
        <v>2702</v>
      </c>
    </row>
    <row r="1338" spans="1:14" x14ac:dyDescent="0.35">
      <c r="A1338" t="s">
        <v>1401</v>
      </c>
      <c r="B1338" t="s">
        <v>15</v>
      </c>
      <c r="C1338" t="s">
        <v>16</v>
      </c>
      <c r="D1338">
        <v>101</v>
      </c>
      <c r="E1338" t="s">
        <v>1380</v>
      </c>
      <c r="F1338">
        <v>5419</v>
      </c>
      <c r="G1338" t="s">
        <v>18</v>
      </c>
      <c r="H1338">
        <v>27</v>
      </c>
      <c r="I1338" t="s">
        <v>19</v>
      </c>
      <c r="J1338">
        <v>2008</v>
      </c>
      <c r="K1338">
        <v>2008</v>
      </c>
      <c r="L1338" t="s">
        <v>20</v>
      </c>
      <c r="M1338">
        <v>48948</v>
      </c>
      <c r="N1338">
        <v>2702</v>
      </c>
    </row>
    <row r="1339" spans="1:14" x14ac:dyDescent="0.35">
      <c r="A1339" t="s">
        <v>1402</v>
      </c>
      <c r="B1339" t="s">
        <v>15</v>
      </c>
      <c r="C1339" t="s">
        <v>16</v>
      </c>
      <c r="D1339">
        <v>101</v>
      </c>
      <c r="E1339" t="s">
        <v>1380</v>
      </c>
      <c r="F1339">
        <v>5419</v>
      </c>
      <c r="G1339" t="s">
        <v>18</v>
      </c>
      <c r="H1339">
        <v>27</v>
      </c>
      <c r="I1339" t="s">
        <v>19</v>
      </c>
      <c r="J1339">
        <v>2009</v>
      </c>
      <c r="K1339">
        <v>2009</v>
      </c>
      <c r="L1339" t="s">
        <v>20</v>
      </c>
      <c r="M1339">
        <v>49985</v>
      </c>
      <c r="N1339">
        <v>2702</v>
      </c>
    </row>
    <row r="1340" spans="1:14" x14ac:dyDescent="0.35">
      <c r="A1340" t="s">
        <v>1403</v>
      </c>
      <c r="B1340" t="s">
        <v>15</v>
      </c>
      <c r="C1340" t="s">
        <v>16</v>
      </c>
      <c r="D1340">
        <v>101</v>
      </c>
      <c r="E1340" t="s">
        <v>1380</v>
      </c>
      <c r="F1340">
        <v>5419</v>
      </c>
      <c r="G1340" t="s">
        <v>18</v>
      </c>
      <c r="H1340">
        <v>27</v>
      </c>
      <c r="I1340" t="s">
        <v>19</v>
      </c>
      <c r="J1340">
        <v>2010</v>
      </c>
      <c r="K1340">
        <v>2010</v>
      </c>
      <c r="L1340" t="s">
        <v>20</v>
      </c>
      <c r="M1340">
        <v>50153</v>
      </c>
      <c r="N1340">
        <v>2702</v>
      </c>
    </row>
    <row r="1341" spans="1:14" x14ac:dyDescent="0.35">
      <c r="A1341" t="s">
        <v>1404</v>
      </c>
      <c r="B1341" t="s">
        <v>15</v>
      </c>
      <c r="C1341" t="s">
        <v>16</v>
      </c>
      <c r="D1341">
        <v>101</v>
      </c>
      <c r="E1341" t="s">
        <v>1380</v>
      </c>
      <c r="F1341">
        <v>5419</v>
      </c>
      <c r="G1341" t="s">
        <v>18</v>
      </c>
      <c r="H1341">
        <v>27</v>
      </c>
      <c r="I1341" t="s">
        <v>19</v>
      </c>
      <c r="J1341">
        <v>2011</v>
      </c>
      <c r="K1341">
        <v>2011</v>
      </c>
      <c r="L1341" t="s">
        <v>20</v>
      </c>
      <c r="M1341">
        <v>49802</v>
      </c>
      <c r="N1341">
        <v>2702</v>
      </c>
    </row>
    <row r="1342" spans="1:14" x14ac:dyDescent="0.35">
      <c r="A1342" t="s">
        <v>1405</v>
      </c>
      <c r="B1342" t="s">
        <v>15</v>
      </c>
      <c r="C1342" t="s">
        <v>16</v>
      </c>
      <c r="D1342">
        <v>101</v>
      </c>
      <c r="E1342" t="s">
        <v>1380</v>
      </c>
      <c r="F1342">
        <v>5419</v>
      </c>
      <c r="G1342" t="s">
        <v>18</v>
      </c>
      <c r="H1342">
        <v>27</v>
      </c>
      <c r="I1342" t="s">
        <v>19</v>
      </c>
      <c r="J1342">
        <v>2012</v>
      </c>
      <c r="K1342">
        <v>2012</v>
      </c>
      <c r="L1342" t="s">
        <v>20</v>
      </c>
      <c r="M1342">
        <v>51360</v>
      </c>
      <c r="N1342">
        <v>2702</v>
      </c>
    </row>
    <row r="1343" spans="1:14" x14ac:dyDescent="0.35">
      <c r="A1343" t="s">
        <v>1406</v>
      </c>
      <c r="B1343" t="s">
        <v>15</v>
      </c>
      <c r="C1343" t="s">
        <v>16</v>
      </c>
      <c r="D1343">
        <v>101</v>
      </c>
      <c r="E1343" t="s">
        <v>1380</v>
      </c>
      <c r="F1343">
        <v>5419</v>
      </c>
      <c r="G1343" t="s">
        <v>18</v>
      </c>
      <c r="H1343">
        <v>27</v>
      </c>
      <c r="I1343" t="s">
        <v>19</v>
      </c>
      <c r="J1343">
        <v>2013</v>
      </c>
      <c r="K1343">
        <v>2013</v>
      </c>
      <c r="L1343" t="s">
        <v>20</v>
      </c>
      <c r="M1343">
        <v>51520</v>
      </c>
      <c r="N1343">
        <v>2702</v>
      </c>
    </row>
    <row r="1344" spans="1:14" x14ac:dyDescent="0.35">
      <c r="A1344" t="s">
        <v>1407</v>
      </c>
      <c r="B1344" t="s">
        <v>15</v>
      </c>
      <c r="C1344" t="s">
        <v>16</v>
      </c>
      <c r="D1344">
        <v>101</v>
      </c>
      <c r="E1344" t="s">
        <v>1380</v>
      </c>
      <c r="F1344">
        <v>5419</v>
      </c>
      <c r="G1344" t="s">
        <v>18</v>
      </c>
      <c r="H1344">
        <v>27</v>
      </c>
      <c r="I1344" t="s">
        <v>19</v>
      </c>
      <c r="J1344">
        <v>2014</v>
      </c>
      <c r="K1344">
        <v>2014</v>
      </c>
      <c r="L1344" t="s">
        <v>20</v>
      </c>
      <c r="M1344">
        <v>51348</v>
      </c>
      <c r="N1344">
        <v>2702</v>
      </c>
    </row>
    <row r="1345" spans="1:14" x14ac:dyDescent="0.35">
      <c r="A1345" t="s">
        <v>1408</v>
      </c>
      <c r="B1345" t="s">
        <v>15</v>
      </c>
      <c r="C1345" t="s">
        <v>16</v>
      </c>
      <c r="D1345">
        <v>101</v>
      </c>
      <c r="E1345" t="s">
        <v>1380</v>
      </c>
      <c r="F1345">
        <v>5419</v>
      </c>
      <c r="G1345" t="s">
        <v>18</v>
      </c>
      <c r="H1345">
        <v>27</v>
      </c>
      <c r="I1345" t="s">
        <v>19</v>
      </c>
      <c r="J1345">
        <v>2015</v>
      </c>
      <c r="K1345">
        <v>2015</v>
      </c>
      <c r="L1345" t="s">
        <v>20</v>
      </c>
      <c r="M1345">
        <v>53411</v>
      </c>
      <c r="N1345">
        <v>2702</v>
      </c>
    </row>
    <row r="1346" spans="1:14" x14ac:dyDescent="0.35">
      <c r="A1346" t="s">
        <v>1409</v>
      </c>
      <c r="B1346" t="s">
        <v>15</v>
      </c>
      <c r="C1346" t="s">
        <v>16</v>
      </c>
      <c r="D1346">
        <v>101</v>
      </c>
      <c r="E1346" t="s">
        <v>1380</v>
      </c>
      <c r="F1346">
        <v>5419</v>
      </c>
      <c r="G1346" t="s">
        <v>18</v>
      </c>
      <c r="H1346">
        <v>27</v>
      </c>
      <c r="I1346" t="s">
        <v>19</v>
      </c>
      <c r="J1346">
        <v>2016</v>
      </c>
      <c r="K1346">
        <v>2016</v>
      </c>
      <c r="L1346" t="s">
        <v>20</v>
      </c>
      <c r="M1346">
        <v>54148</v>
      </c>
      <c r="N1346">
        <v>2702</v>
      </c>
    </row>
    <row r="1347" spans="1:14" x14ac:dyDescent="0.35">
      <c r="A1347" t="s">
        <v>1410</v>
      </c>
      <c r="B1347" t="s">
        <v>15</v>
      </c>
      <c r="C1347" t="s">
        <v>16</v>
      </c>
      <c r="D1347">
        <v>103</v>
      </c>
      <c r="E1347" t="s">
        <v>1411</v>
      </c>
      <c r="F1347">
        <v>5419</v>
      </c>
      <c r="G1347" t="s">
        <v>18</v>
      </c>
      <c r="H1347">
        <v>27</v>
      </c>
      <c r="I1347" t="s">
        <v>19</v>
      </c>
      <c r="J1347">
        <v>1985</v>
      </c>
      <c r="K1347">
        <v>1985</v>
      </c>
      <c r="L1347" t="s">
        <v>20</v>
      </c>
      <c r="M1347">
        <v>28348</v>
      </c>
      <c r="N1347">
        <v>216</v>
      </c>
    </row>
    <row r="1348" spans="1:14" x14ac:dyDescent="0.35">
      <c r="A1348" t="s">
        <v>1412</v>
      </c>
      <c r="B1348" t="s">
        <v>15</v>
      </c>
      <c r="C1348" t="s">
        <v>16</v>
      </c>
      <c r="D1348">
        <v>103</v>
      </c>
      <c r="E1348" t="s">
        <v>1411</v>
      </c>
      <c r="F1348">
        <v>5419</v>
      </c>
      <c r="G1348" t="s">
        <v>18</v>
      </c>
      <c r="H1348">
        <v>27</v>
      </c>
      <c r="I1348" t="s">
        <v>19</v>
      </c>
      <c r="J1348">
        <v>1986</v>
      </c>
      <c r="K1348">
        <v>1986</v>
      </c>
      <c r="L1348" t="s">
        <v>20</v>
      </c>
      <c r="M1348">
        <v>28127</v>
      </c>
      <c r="N1348">
        <v>216</v>
      </c>
    </row>
    <row r="1349" spans="1:14" x14ac:dyDescent="0.35">
      <c r="A1349" t="s">
        <v>1413</v>
      </c>
      <c r="B1349" t="s">
        <v>15</v>
      </c>
      <c r="C1349" t="s">
        <v>16</v>
      </c>
      <c r="D1349">
        <v>103</v>
      </c>
      <c r="E1349" t="s">
        <v>1411</v>
      </c>
      <c r="F1349">
        <v>5419</v>
      </c>
      <c r="G1349" t="s">
        <v>18</v>
      </c>
      <c r="H1349">
        <v>27</v>
      </c>
      <c r="I1349" t="s">
        <v>19</v>
      </c>
      <c r="J1349">
        <v>1987</v>
      </c>
      <c r="K1349">
        <v>1987</v>
      </c>
      <c r="L1349" t="s">
        <v>20</v>
      </c>
      <c r="M1349">
        <v>27986</v>
      </c>
      <c r="N1349">
        <v>216</v>
      </c>
    </row>
    <row r="1350" spans="1:14" x14ac:dyDescent="0.35">
      <c r="A1350" t="s">
        <v>1414</v>
      </c>
      <c r="B1350" t="s">
        <v>15</v>
      </c>
      <c r="C1350" t="s">
        <v>16</v>
      </c>
      <c r="D1350">
        <v>103</v>
      </c>
      <c r="E1350" t="s">
        <v>1411</v>
      </c>
      <c r="F1350">
        <v>5419</v>
      </c>
      <c r="G1350" t="s">
        <v>18</v>
      </c>
      <c r="H1350">
        <v>27</v>
      </c>
      <c r="I1350" t="s">
        <v>19</v>
      </c>
      <c r="J1350">
        <v>1989</v>
      </c>
      <c r="K1350">
        <v>1989</v>
      </c>
      <c r="L1350" t="s">
        <v>20</v>
      </c>
      <c r="M1350">
        <v>31863</v>
      </c>
      <c r="N1350">
        <v>216</v>
      </c>
    </row>
    <row r="1351" spans="1:14" x14ac:dyDescent="0.35">
      <c r="A1351" t="s">
        <v>1415</v>
      </c>
      <c r="B1351" t="s">
        <v>15</v>
      </c>
      <c r="C1351" t="s">
        <v>16</v>
      </c>
      <c r="D1351">
        <v>103</v>
      </c>
      <c r="E1351" t="s">
        <v>1411</v>
      </c>
      <c r="F1351">
        <v>5419</v>
      </c>
      <c r="G1351" t="s">
        <v>18</v>
      </c>
      <c r="H1351">
        <v>27</v>
      </c>
      <c r="I1351" t="s">
        <v>19</v>
      </c>
      <c r="J1351">
        <v>1990</v>
      </c>
      <c r="K1351">
        <v>1990</v>
      </c>
      <c r="L1351" t="s">
        <v>20</v>
      </c>
      <c r="M1351">
        <v>28889</v>
      </c>
      <c r="N1351">
        <v>216</v>
      </c>
    </row>
    <row r="1352" spans="1:14" x14ac:dyDescent="0.35">
      <c r="A1352" t="s">
        <v>1416</v>
      </c>
      <c r="B1352" t="s">
        <v>15</v>
      </c>
      <c r="C1352" t="s">
        <v>16</v>
      </c>
      <c r="D1352">
        <v>103</v>
      </c>
      <c r="E1352" t="s">
        <v>1411</v>
      </c>
      <c r="F1352">
        <v>5419</v>
      </c>
      <c r="G1352" t="s">
        <v>18</v>
      </c>
      <c r="H1352">
        <v>27</v>
      </c>
      <c r="I1352" t="s">
        <v>19</v>
      </c>
      <c r="J1352">
        <v>1991</v>
      </c>
      <c r="K1352">
        <v>1991</v>
      </c>
      <c r="L1352" t="s">
        <v>20</v>
      </c>
      <c r="M1352">
        <v>22008</v>
      </c>
      <c r="N1352">
        <v>216</v>
      </c>
    </row>
    <row r="1353" spans="1:14" x14ac:dyDescent="0.35">
      <c r="A1353" t="s">
        <v>1417</v>
      </c>
      <c r="B1353" t="s">
        <v>15</v>
      </c>
      <c r="C1353" t="s">
        <v>16</v>
      </c>
      <c r="D1353">
        <v>103</v>
      </c>
      <c r="E1353" t="s">
        <v>1411</v>
      </c>
      <c r="F1353">
        <v>5419</v>
      </c>
      <c r="G1353" t="s">
        <v>18</v>
      </c>
      <c r="H1353">
        <v>27</v>
      </c>
      <c r="I1353" t="s">
        <v>19</v>
      </c>
      <c r="J1353">
        <v>1992</v>
      </c>
      <c r="K1353">
        <v>1992</v>
      </c>
      <c r="L1353" t="s">
        <v>20</v>
      </c>
      <c r="M1353">
        <v>18947</v>
      </c>
      <c r="N1353">
        <v>216</v>
      </c>
    </row>
    <row r="1354" spans="1:14" x14ac:dyDescent="0.35">
      <c r="A1354" t="s">
        <v>1418</v>
      </c>
      <c r="B1354" t="s">
        <v>15</v>
      </c>
      <c r="C1354" t="s">
        <v>16</v>
      </c>
      <c r="D1354">
        <v>103</v>
      </c>
      <c r="E1354" t="s">
        <v>1411</v>
      </c>
      <c r="F1354">
        <v>5419</v>
      </c>
      <c r="G1354" t="s">
        <v>18</v>
      </c>
      <c r="H1354">
        <v>27</v>
      </c>
      <c r="I1354" t="s">
        <v>19</v>
      </c>
      <c r="J1354">
        <v>1993</v>
      </c>
      <c r="K1354">
        <v>1993</v>
      </c>
      <c r="L1354" t="s">
        <v>20</v>
      </c>
      <c r="M1354">
        <v>18727</v>
      </c>
      <c r="N1354">
        <v>216</v>
      </c>
    </row>
    <row r="1355" spans="1:14" x14ac:dyDescent="0.35">
      <c r="A1355" t="s">
        <v>1419</v>
      </c>
      <c r="B1355" t="s">
        <v>15</v>
      </c>
      <c r="C1355" t="s">
        <v>16</v>
      </c>
      <c r="D1355">
        <v>103</v>
      </c>
      <c r="E1355" t="s">
        <v>1411</v>
      </c>
      <c r="F1355">
        <v>5419</v>
      </c>
      <c r="G1355" t="s">
        <v>18</v>
      </c>
      <c r="H1355">
        <v>27</v>
      </c>
      <c r="I1355" t="s">
        <v>19</v>
      </c>
      <c r="J1355">
        <v>1994</v>
      </c>
      <c r="K1355">
        <v>1994</v>
      </c>
      <c r="L1355" t="s">
        <v>20</v>
      </c>
      <c r="M1355">
        <v>23497</v>
      </c>
      <c r="N1355">
        <v>216</v>
      </c>
    </row>
    <row r="1356" spans="1:14" x14ac:dyDescent="0.35">
      <c r="A1356" t="s">
        <v>1420</v>
      </c>
      <c r="B1356" t="s">
        <v>15</v>
      </c>
      <c r="C1356" t="s">
        <v>16</v>
      </c>
      <c r="D1356">
        <v>103</v>
      </c>
      <c r="E1356" t="s">
        <v>1411</v>
      </c>
      <c r="F1356">
        <v>5419</v>
      </c>
      <c r="G1356" t="s">
        <v>18</v>
      </c>
      <c r="H1356">
        <v>27</v>
      </c>
      <c r="I1356" t="s">
        <v>19</v>
      </c>
      <c r="J1356">
        <v>1995</v>
      </c>
      <c r="K1356">
        <v>1995</v>
      </c>
      <c r="L1356" t="s">
        <v>20</v>
      </c>
      <c r="M1356">
        <v>18000</v>
      </c>
      <c r="N1356">
        <v>216</v>
      </c>
    </row>
    <row r="1357" spans="1:14" x14ac:dyDescent="0.35">
      <c r="A1357" t="s">
        <v>1421</v>
      </c>
      <c r="B1357" t="s">
        <v>15</v>
      </c>
      <c r="C1357" t="s">
        <v>16</v>
      </c>
      <c r="D1357">
        <v>103</v>
      </c>
      <c r="E1357" t="s">
        <v>1411</v>
      </c>
      <c r="F1357">
        <v>5419</v>
      </c>
      <c r="G1357" t="s">
        <v>18</v>
      </c>
      <c r="H1357">
        <v>27</v>
      </c>
      <c r="I1357" t="s">
        <v>19</v>
      </c>
      <c r="J1357">
        <v>1996</v>
      </c>
      <c r="K1357">
        <v>1996</v>
      </c>
      <c r="L1357" t="s">
        <v>20</v>
      </c>
      <c r="M1357">
        <v>22500</v>
      </c>
      <c r="N1357">
        <v>216</v>
      </c>
    </row>
    <row r="1358" spans="1:14" x14ac:dyDescent="0.35">
      <c r="A1358" t="s">
        <v>1422</v>
      </c>
      <c r="B1358" t="s">
        <v>15</v>
      </c>
      <c r="C1358" t="s">
        <v>16</v>
      </c>
      <c r="D1358">
        <v>103</v>
      </c>
      <c r="E1358" t="s">
        <v>1411</v>
      </c>
      <c r="F1358">
        <v>5419</v>
      </c>
      <c r="G1358" t="s">
        <v>18</v>
      </c>
      <c r="H1358">
        <v>27</v>
      </c>
      <c r="I1358" t="s">
        <v>19</v>
      </c>
      <c r="J1358">
        <v>1997</v>
      </c>
      <c r="K1358">
        <v>1997</v>
      </c>
      <c r="L1358" t="s">
        <v>20</v>
      </c>
      <c r="M1358">
        <v>20165</v>
      </c>
      <c r="N1358">
        <v>216</v>
      </c>
    </row>
    <row r="1359" spans="1:14" x14ac:dyDescent="0.35">
      <c r="A1359" t="s">
        <v>1423</v>
      </c>
      <c r="B1359" t="s">
        <v>15</v>
      </c>
      <c r="C1359" t="s">
        <v>16</v>
      </c>
      <c r="D1359">
        <v>103</v>
      </c>
      <c r="E1359" t="s">
        <v>1411</v>
      </c>
      <c r="F1359">
        <v>5419</v>
      </c>
      <c r="G1359" t="s">
        <v>18</v>
      </c>
      <c r="H1359">
        <v>27</v>
      </c>
      <c r="I1359" t="s">
        <v>19</v>
      </c>
      <c r="J1359">
        <v>1998</v>
      </c>
      <c r="K1359">
        <v>1998</v>
      </c>
      <c r="L1359" t="s">
        <v>20</v>
      </c>
      <c r="M1359">
        <v>23438</v>
      </c>
      <c r="N1359">
        <v>216</v>
      </c>
    </row>
    <row r="1360" spans="1:14" x14ac:dyDescent="0.35">
      <c r="A1360" t="s">
        <v>1424</v>
      </c>
      <c r="B1360" t="s">
        <v>15</v>
      </c>
      <c r="C1360" t="s">
        <v>16</v>
      </c>
      <c r="D1360">
        <v>103</v>
      </c>
      <c r="E1360" t="s">
        <v>1411</v>
      </c>
      <c r="F1360">
        <v>5419</v>
      </c>
      <c r="G1360" t="s">
        <v>18</v>
      </c>
      <c r="H1360">
        <v>27</v>
      </c>
      <c r="I1360" t="s">
        <v>19</v>
      </c>
      <c r="J1360">
        <v>1999</v>
      </c>
      <c r="K1360">
        <v>1999</v>
      </c>
      <c r="L1360" t="s">
        <v>20</v>
      </c>
      <c r="M1360">
        <v>13846</v>
      </c>
      <c r="N1360">
        <v>216</v>
      </c>
    </row>
    <row r="1361" spans="1:14" x14ac:dyDescent="0.35">
      <c r="A1361" t="s">
        <v>1425</v>
      </c>
      <c r="B1361" t="s">
        <v>15</v>
      </c>
      <c r="C1361" t="s">
        <v>16</v>
      </c>
      <c r="D1361">
        <v>103</v>
      </c>
      <c r="E1361" t="s">
        <v>1411</v>
      </c>
      <c r="F1361">
        <v>5419</v>
      </c>
      <c r="G1361" t="s">
        <v>18</v>
      </c>
      <c r="H1361">
        <v>27</v>
      </c>
      <c r="I1361" t="s">
        <v>19</v>
      </c>
      <c r="J1361">
        <v>2000</v>
      </c>
      <c r="K1361">
        <v>2000</v>
      </c>
      <c r="L1361" t="s">
        <v>20</v>
      </c>
      <c r="M1361">
        <v>6000</v>
      </c>
      <c r="N1361">
        <v>216</v>
      </c>
    </row>
    <row r="1362" spans="1:14" x14ac:dyDescent="0.35">
      <c r="A1362" t="s">
        <v>1426</v>
      </c>
      <c r="B1362" t="s">
        <v>15</v>
      </c>
      <c r="C1362" t="s">
        <v>16</v>
      </c>
      <c r="D1362">
        <v>103</v>
      </c>
      <c r="E1362" t="s">
        <v>1411</v>
      </c>
      <c r="F1362">
        <v>5419</v>
      </c>
      <c r="G1362" t="s">
        <v>18</v>
      </c>
      <c r="H1362">
        <v>27</v>
      </c>
      <c r="I1362" t="s">
        <v>19</v>
      </c>
      <c r="J1362">
        <v>2001</v>
      </c>
      <c r="K1362">
        <v>2001</v>
      </c>
      <c r="L1362" t="s">
        <v>20</v>
      </c>
      <c r="M1362">
        <v>12800</v>
      </c>
      <c r="N1362">
        <v>216</v>
      </c>
    </row>
    <row r="1363" spans="1:14" x14ac:dyDescent="0.35">
      <c r="A1363" t="s">
        <v>1427</v>
      </c>
      <c r="B1363" t="s">
        <v>15</v>
      </c>
      <c r="C1363" t="s">
        <v>16</v>
      </c>
      <c r="D1363">
        <v>103</v>
      </c>
      <c r="E1363" t="s">
        <v>1411</v>
      </c>
      <c r="F1363">
        <v>5419</v>
      </c>
      <c r="G1363" t="s">
        <v>18</v>
      </c>
      <c r="H1363">
        <v>27</v>
      </c>
      <c r="I1363" t="s">
        <v>19</v>
      </c>
      <c r="J1363">
        <v>2002</v>
      </c>
      <c r="K1363">
        <v>2002</v>
      </c>
      <c r="L1363" t="s">
        <v>20</v>
      </c>
      <c r="M1363">
        <v>25000</v>
      </c>
      <c r="N1363">
        <v>216</v>
      </c>
    </row>
    <row r="1364" spans="1:14" x14ac:dyDescent="0.35">
      <c r="A1364" t="s">
        <v>1428</v>
      </c>
      <c r="B1364" t="s">
        <v>15</v>
      </c>
      <c r="C1364" t="s">
        <v>16</v>
      </c>
      <c r="D1364">
        <v>103</v>
      </c>
      <c r="E1364" t="s">
        <v>1411</v>
      </c>
      <c r="F1364">
        <v>5419</v>
      </c>
      <c r="G1364" t="s">
        <v>18</v>
      </c>
      <c r="H1364">
        <v>27</v>
      </c>
      <c r="I1364" t="s">
        <v>19</v>
      </c>
      <c r="J1364">
        <v>2004</v>
      </c>
      <c r="K1364">
        <v>2004</v>
      </c>
      <c r="L1364" t="s">
        <v>20</v>
      </c>
      <c r="M1364">
        <v>28409</v>
      </c>
      <c r="N1364">
        <v>216</v>
      </c>
    </row>
    <row r="1365" spans="1:14" x14ac:dyDescent="0.35">
      <c r="A1365" t="s">
        <v>1429</v>
      </c>
      <c r="B1365" t="s">
        <v>15</v>
      </c>
      <c r="C1365" t="s">
        <v>16</v>
      </c>
      <c r="D1365">
        <v>103</v>
      </c>
      <c r="E1365" t="s">
        <v>1411</v>
      </c>
      <c r="F1365">
        <v>5419</v>
      </c>
      <c r="G1365" t="s">
        <v>18</v>
      </c>
      <c r="H1365">
        <v>27</v>
      </c>
      <c r="I1365" t="s">
        <v>19</v>
      </c>
      <c r="J1365">
        <v>2005</v>
      </c>
      <c r="K1365">
        <v>2005</v>
      </c>
      <c r="L1365" t="s">
        <v>20</v>
      </c>
      <c r="M1365">
        <v>28879</v>
      </c>
      <c r="N1365">
        <v>216</v>
      </c>
    </row>
    <row r="1366" spans="1:14" x14ac:dyDescent="0.35">
      <c r="A1366" t="s">
        <v>1430</v>
      </c>
      <c r="B1366" t="s">
        <v>15</v>
      </c>
      <c r="C1366" t="s">
        <v>16</v>
      </c>
      <c r="D1366">
        <v>103</v>
      </c>
      <c r="E1366" t="s">
        <v>1411</v>
      </c>
      <c r="F1366">
        <v>5419</v>
      </c>
      <c r="G1366" t="s">
        <v>18</v>
      </c>
      <c r="H1366">
        <v>27</v>
      </c>
      <c r="I1366" t="s">
        <v>19</v>
      </c>
      <c r="J1366">
        <v>2006</v>
      </c>
      <c r="K1366">
        <v>2006</v>
      </c>
      <c r="L1366" t="s">
        <v>20</v>
      </c>
      <c r="M1366">
        <v>28867</v>
      </c>
      <c r="N1366">
        <v>216</v>
      </c>
    </row>
    <row r="1367" spans="1:14" x14ac:dyDescent="0.35">
      <c r="A1367" t="s">
        <v>1431</v>
      </c>
      <c r="B1367" t="s">
        <v>15</v>
      </c>
      <c r="C1367" t="s">
        <v>16</v>
      </c>
      <c r="D1367">
        <v>103</v>
      </c>
      <c r="E1367" t="s">
        <v>1411</v>
      </c>
      <c r="F1367">
        <v>5419</v>
      </c>
      <c r="G1367" t="s">
        <v>18</v>
      </c>
      <c r="H1367">
        <v>27</v>
      </c>
      <c r="I1367" t="s">
        <v>19</v>
      </c>
      <c r="J1367">
        <v>2007</v>
      </c>
      <c r="K1367">
        <v>2007</v>
      </c>
      <c r="L1367" t="s">
        <v>20</v>
      </c>
      <c r="M1367">
        <v>31630</v>
      </c>
      <c r="N1367">
        <v>216</v>
      </c>
    </row>
    <row r="1368" spans="1:14" x14ac:dyDescent="0.35">
      <c r="A1368" t="s">
        <v>1432</v>
      </c>
      <c r="B1368" t="s">
        <v>15</v>
      </c>
      <c r="C1368" t="s">
        <v>16</v>
      </c>
      <c r="D1368">
        <v>103</v>
      </c>
      <c r="E1368" t="s">
        <v>1411</v>
      </c>
      <c r="F1368">
        <v>5419</v>
      </c>
      <c r="G1368" t="s">
        <v>18</v>
      </c>
      <c r="H1368">
        <v>27</v>
      </c>
      <c r="I1368" t="s">
        <v>19</v>
      </c>
      <c r="J1368">
        <v>2008</v>
      </c>
      <c r="K1368">
        <v>2008</v>
      </c>
      <c r="L1368" t="s">
        <v>20</v>
      </c>
      <c r="M1368">
        <v>29281</v>
      </c>
      <c r="N1368">
        <v>216</v>
      </c>
    </row>
    <row r="1369" spans="1:14" x14ac:dyDescent="0.35">
      <c r="A1369" t="s">
        <v>1433</v>
      </c>
      <c r="B1369" t="s">
        <v>15</v>
      </c>
      <c r="C1369" t="s">
        <v>16</v>
      </c>
      <c r="D1369">
        <v>103</v>
      </c>
      <c r="E1369" t="s">
        <v>1411</v>
      </c>
      <c r="F1369">
        <v>5419</v>
      </c>
      <c r="G1369" t="s">
        <v>18</v>
      </c>
      <c r="H1369">
        <v>27</v>
      </c>
      <c r="I1369" t="s">
        <v>19</v>
      </c>
      <c r="J1369">
        <v>2009</v>
      </c>
      <c r="K1369">
        <v>2009</v>
      </c>
      <c r="L1369" t="s">
        <v>20</v>
      </c>
      <c r="M1369">
        <v>31511</v>
      </c>
      <c r="N1369">
        <v>216</v>
      </c>
    </row>
    <row r="1370" spans="1:14" x14ac:dyDescent="0.35">
      <c r="A1370" t="s">
        <v>1434</v>
      </c>
      <c r="B1370" t="s">
        <v>15</v>
      </c>
      <c r="C1370" t="s">
        <v>16</v>
      </c>
      <c r="D1370">
        <v>103</v>
      </c>
      <c r="E1370" t="s">
        <v>1411</v>
      </c>
      <c r="F1370">
        <v>5419</v>
      </c>
      <c r="G1370" t="s">
        <v>18</v>
      </c>
      <c r="H1370">
        <v>27</v>
      </c>
      <c r="I1370" t="s">
        <v>19</v>
      </c>
      <c r="J1370">
        <v>2010</v>
      </c>
      <c r="K1370">
        <v>2010</v>
      </c>
      <c r="L1370" t="s">
        <v>20</v>
      </c>
      <c r="M1370">
        <v>32482</v>
      </c>
      <c r="N1370">
        <v>216</v>
      </c>
    </row>
    <row r="1371" spans="1:14" x14ac:dyDescent="0.35">
      <c r="A1371" t="s">
        <v>1435</v>
      </c>
      <c r="B1371" t="s">
        <v>15</v>
      </c>
      <c r="C1371" t="s">
        <v>16</v>
      </c>
      <c r="D1371">
        <v>103</v>
      </c>
      <c r="E1371" t="s">
        <v>1411</v>
      </c>
      <c r="F1371">
        <v>5419</v>
      </c>
      <c r="G1371" t="s">
        <v>18</v>
      </c>
      <c r="H1371">
        <v>27</v>
      </c>
      <c r="I1371" t="s">
        <v>19</v>
      </c>
      <c r="J1371">
        <v>2011</v>
      </c>
      <c r="K1371">
        <v>2011</v>
      </c>
      <c r="L1371" t="s">
        <v>20</v>
      </c>
      <c r="M1371">
        <v>35762</v>
      </c>
      <c r="N1371">
        <v>216</v>
      </c>
    </row>
    <row r="1372" spans="1:14" x14ac:dyDescent="0.35">
      <c r="A1372" t="s">
        <v>1436</v>
      </c>
      <c r="B1372" t="s">
        <v>15</v>
      </c>
      <c r="C1372" t="s">
        <v>16</v>
      </c>
      <c r="D1372">
        <v>103</v>
      </c>
      <c r="E1372" t="s">
        <v>1411</v>
      </c>
      <c r="F1372">
        <v>5419</v>
      </c>
      <c r="G1372" t="s">
        <v>18</v>
      </c>
      <c r="H1372">
        <v>27</v>
      </c>
      <c r="I1372" t="s">
        <v>19</v>
      </c>
      <c r="J1372">
        <v>2012</v>
      </c>
      <c r="K1372">
        <v>2012</v>
      </c>
      <c r="L1372" t="s">
        <v>20</v>
      </c>
      <c r="M1372">
        <v>45468</v>
      </c>
      <c r="N1372">
        <v>216</v>
      </c>
    </row>
    <row r="1373" spans="1:14" x14ac:dyDescent="0.35">
      <c r="A1373" t="s">
        <v>1437</v>
      </c>
      <c r="B1373" t="s">
        <v>15</v>
      </c>
      <c r="C1373" t="s">
        <v>16</v>
      </c>
      <c r="D1373">
        <v>103</v>
      </c>
      <c r="E1373" t="s">
        <v>1411</v>
      </c>
      <c r="F1373">
        <v>5419</v>
      </c>
      <c r="G1373" t="s">
        <v>18</v>
      </c>
      <c r="H1373">
        <v>27</v>
      </c>
      <c r="I1373" t="s">
        <v>19</v>
      </c>
      <c r="J1373">
        <v>2013</v>
      </c>
      <c r="K1373">
        <v>2013</v>
      </c>
      <c r="L1373" t="s">
        <v>20</v>
      </c>
      <c r="M1373">
        <v>47162</v>
      </c>
      <c r="N1373">
        <v>216</v>
      </c>
    </row>
    <row r="1374" spans="1:14" x14ac:dyDescent="0.35">
      <c r="A1374" t="s">
        <v>1438</v>
      </c>
      <c r="B1374" t="s">
        <v>15</v>
      </c>
      <c r="C1374" t="s">
        <v>16</v>
      </c>
      <c r="D1374">
        <v>103</v>
      </c>
      <c r="E1374" t="s">
        <v>1411</v>
      </c>
      <c r="F1374">
        <v>5419</v>
      </c>
      <c r="G1374" t="s">
        <v>18</v>
      </c>
      <c r="H1374">
        <v>27</v>
      </c>
      <c r="I1374" t="s">
        <v>19</v>
      </c>
      <c r="J1374">
        <v>2014</v>
      </c>
      <c r="K1374">
        <v>2014</v>
      </c>
      <c r="L1374" t="s">
        <v>20</v>
      </c>
      <c r="M1374">
        <v>51049</v>
      </c>
      <c r="N1374">
        <v>216</v>
      </c>
    </row>
    <row r="1375" spans="1:14" x14ac:dyDescent="0.35">
      <c r="A1375" t="s">
        <v>1439</v>
      </c>
      <c r="B1375" t="s">
        <v>15</v>
      </c>
      <c r="C1375" t="s">
        <v>16</v>
      </c>
      <c r="D1375">
        <v>103</v>
      </c>
      <c r="E1375" t="s">
        <v>1411</v>
      </c>
      <c r="F1375">
        <v>5419</v>
      </c>
      <c r="G1375" t="s">
        <v>18</v>
      </c>
      <c r="H1375">
        <v>27</v>
      </c>
      <c r="I1375" t="s">
        <v>19</v>
      </c>
      <c r="J1375">
        <v>2015</v>
      </c>
      <c r="K1375">
        <v>2015</v>
      </c>
      <c r="L1375" t="s">
        <v>20</v>
      </c>
      <c r="M1375">
        <v>44776</v>
      </c>
      <c r="N1375">
        <v>216</v>
      </c>
    </row>
    <row r="1376" spans="1:14" x14ac:dyDescent="0.35">
      <c r="A1376" t="s">
        <v>1440</v>
      </c>
      <c r="B1376" t="s">
        <v>15</v>
      </c>
      <c r="C1376" t="s">
        <v>16</v>
      </c>
      <c r="D1376">
        <v>103</v>
      </c>
      <c r="E1376" t="s">
        <v>1411</v>
      </c>
      <c r="F1376">
        <v>5419</v>
      </c>
      <c r="G1376" t="s">
        <v>18</v>
      </c>
      <c r="H1376">
        <v>27</v>
      </c>
      <c r="I1376" t="s">
        <v>19</v>
      </c>
      <c r="J1376">
        <v>2016</v>
      </c>
      <c r="K1376">
        <v>2016</v>
      </c>
      <c r="L1376" t="s">
        <v>20</v>
      </c>
      <c r="M1376">
        <v>48056</v>
      </c>
      <c r="N1376">
        <v>216</v>
      </c>
    </row>
    <row r="1377" spans="1:14" x14ac:dyDescent="0.35">
      <c r="A1377" t="s">
        <v>1441</v>
      </c>
      <c r="B1377" t="s">
        <v>15</v>
      </c>
      <c r="C1377" t="s">
        <v>16</v>
      </c>
      <c r="D1377">
        <v>106</v>
      </c>
      <c r="E1377" t="s">
        <v>1442</v>
      </c>
      <c r="F1377">
        <v>5419</v>
      </c>
      <c r="G1377" t="s">
        <v>18</v>
      </c>
      <c r="H1377">
        <v>27</v>
      </c>
      <c r="I1377" t="s">
        <v>19</v>
      </c>
      <c r="J1377">
        <v>1985</v>
      </c>
      <c r="K1377">
        <v>1985</v>
      </c>
      <c r="L1377" t="s">
        <v>20</v>
      </c>
      <c r="M1377">
        <v>60520</v>
      </c>
      <c r="N1377">
        <v>832</v>
      </c>
    </row>
    <row r="1378" spans="1:14" x14ac:dyDescent="0.35">
      <c r="A1378" t="s">
        <v>1443</v>
      </c>
      <c r="B1378" t="s">
        <v>15</v>
      </c>
      <c r="C1378" t="s">
        <v>16</v>
      </c>
      <c r="D1378">
        <v>106</v>
      </c>
      <c r="E1378" t="s">
        <v>1442</v>
      </c>
      <c r="F1378">
        <v>5419</v>
      </c>
      <c r="G1378" t="s">
        <v>18</v>
      </c>
      <c r="H1378">
        <v>27</v>
      </c>
      <c r="I1378" t="s">
        <v>19</v>
      </c>
      <c r="J1378">
        <v>1986</v>
      </c>
      <c r="K1378">
        <v>1986</v>
      </c>
      <c r="L1378" t="s">
        <v>20</v>
      </c>
      <c r="M1378">
        <v>59344</v>
      </c>
      <c r="N1378">
        <v>832</v>
      </c>
    </row>
    <row r="1379" spans="1:14" x14ac:dyDescent="0.35">
      <c r="A1379" t="s">
        <v>1444</v>
      </c>
      <c r="B1379" t="s">
        <v>15</v>
      </c>
      <c r="C1379" t="s">
        <v>16</v>
      </c>
      <c r="D1379">
        <v>106</v>
      </c>
      <c r="E1379" t="s">
        <v>1442</v>
      </c>
      <c r="F1379">
        <v>5419</v>
      </c>
      <c r="G1379" t="s">
        <v>18</v>
      </c>
      <c r="H1379">
        <v>27</v>
      </c>
      <c r="I1379" t="s">
        <v>19</v>
      </c>
      <c r="J1379">
        <v>1987</v>
      </c>
      <c r="K1379">
        <v>1987</v>
      </c>
      <c r="L1379" t="s">
        <v>20</v>
      </c>
      <c r="M1379">
        <v>56128</v>
      </c>
      <c r="N1379">
        <v>832</v>
      </c>
    </row>
    <row r="1380" spans="1:14" x14ac:dyDescent="0.35">
      <c r="A1380" t="s">
        <v>1445</v>
      </c>
      <c r="B1380" t="s">
        <v>15</v>
      </c>
      <c r="C1380" t="s">
        <v>16</v>
      </c>
      <c r="D1380">
        <v>106</v>
      </c>
      <c r="E1380" t="s">
        <v>1442</v>
      </c>
      <c r="F1380">
        <v>5419</v>
      </c>
      <c r="G1380" t="s">
        <v>18</v>
      </c>
      <c r="H1380">
        <v>27</v>
      </c>
      <c r="I1380" t="s">
        <v>19</v>
      </c>
      <c r="J1380">
        <v>1989</v>
      </c>
      <c r="K1380">
        <v>1989</v>
      </c>
      <c r="L1380" t="s">
        <v>20</v>
      </c>
      <c r="M1380">
        <v>60461</v>
      </c>
      <c r="N1380">
        <v>832</v>
      </c>
    </row>
    <row r="1381" spans="1:14" x14ac:dyDescent="0.35">
      <c r="A1381" t="s">
        <v>1446</v>
      </c>
      <c r="B1381" t="s">
        <v>15</v>
      </c>
      <c r="C1381" t="s">
        <v>16</v>
      </c>
      <c r="D1381">
        <v>106</v>
      </c>
      <c r="E1381" t="s">
        <v>1442</v>
      </c>
      <c r="F1381">
        <v>5419</v>
      </c>
      <c r="G1381" t="s">
        <v>18</v>
      </c>
      <c r="H1381">
        <v>27</v>
      </c>
      <c r="I1381" t="s">
        <v>19</v>
      </c>
      <c r="J1381">
        <v>1990</v>
      </c>
      <c r="K1381">
        <v>1990</v>
      </c>
      <c r="L1381" t="s">
        <v>20</v>
      </c>
      <c r="M1381">
        <v>60278</v>
      </c>
      <c r="N1381">
        <v>832</v>
      </c>
    </row>
    <row r="1382" spans="1:14" x14ac:dyDescent="0.35">
      <c r="A1382" t="s">
        <v>1447</v>
      </c>
      <c r="B1382" t="s">
        <v>15</v>
      </c>
      <c r="C1382" t="s">
        <v>16</v>
      </c>
      <c r="D1382">
        <v>106</v>
      </c>
      <c r="E1382" t="s">
        <v>1442</v>
      </c>
      <c r="F1382">
        <v>5419</v>
      </c>
      <c r="G1382" t="s">
        <v>18</v>
      </c>
      <c r="H1382">
        <v>27</v>
      </c>
      <c r="I1382" t="s">
        <v>19</v>
      </c>
      <c r="J1382">
        <v>1991</v>
      </c>
      <c r="K1382">
        <v>1991</v>
      </c>
      <c r="L1382" t="s">
        <v>20</v>
      </c>
      <c r="M1382">
        <v>60274</v>
      </c>
      <c r="N1382">
        <v>832</v>
      </c>
    </row>
    <row r="1383" spans="1:14" x14ac:dyDescent="0.35">
      <c r="A1383" t="s">
        <v>1448</v>
      </c>
      <c r="B1383" t="s">
        <v>15</v>
      </c>
      <c r="C1383" t="s">
        <v>16</v>
      </c>
      <c r="D1383">
        <v>106</v>
      </c>
      <c r="E1383" t="s">
        <v>1442</v>
      </c>
      <c r="F1383">
        <v>5419</v>
      </c>
      <c r="G1383" t="s">
        <v>18</v>
      </c>
      <c r="H1383">
        <v>27</v>
      </c>
      <c r="I1383" t="s">
        <v>19</v>
      </c>
      <c r="J1383">
        <v>1992</v>
      </c>
      <c r="K1383">
        <v>1992</v>
      </c>
      <c r="L1383" t="s">
        <v>20</v>
      </c>
      <c r="M1383">
        <v>58758</v>
      </c>
      <c r="N1383">
        <v>832</v>
      </c>
    </row>
    <row r="1384" spans="1:14" x14ac:dyDescent="0.35">
      <c r="A1384" t="s">
        <v>1449</v>
      </c>
      <c r="B1384" t="s">
        <v>15</v>
      </c>
      <c r="C1384" t="s">
        <v>16</v>
      </c>
      <c r="D1384">
        <v>106</v>
      </c>
      <c r="E1384" t="s">
        <v>1442</v>
      </c>
      <c r="F1384">
        <v>5419</v>
      </c>
      <c r="G1384" t="s">
        <v>18</v>
      </c>
      <c r="H1384">
        <v>27</v>
      </c>
      <c r="I1384" t="s">
        <v>19</v>
      </c>
      <c r="J1384">
        <v>1993</v>
      </c>
      <c r="K1384">
        <v>1993</v>
      </c>
      <c r="L1384" t="s">
        <v>20</v>
      </c>
      <c r="M1384">
        <v>56317</v>
      </c>
      <c r="N1384">
        <v>832</v>
      </c>
    </row>
    <row r="1385" spans="1:14" x14ac:dyDescent="0.35">
      <c r="A1385" t="s">
        <v>1450</v>
      </c>
      <c r="B1385" t="s">
        <v>15</v>
      </c>
      <c r="C1385" t="s">
        <v>16</v>
      </c>
      <c r="D1385">
        <v>106</v>
      </c>
      <c r="E1385" t="s">
        <v>1442</v>
      </c>
      <c r="F1385">
        <v>5419</v>
      </c>
      <c r="G1385" t="s">
        <v>18</v>
      </c>
      <c r="H1385">
        <v>27</v>
      </c>
      <c r="I1385" t="s">
        <v>19</v>
      </c>
      <c r="J1385">
        <v>1994</v>
      </c>
      <c r="K1385">
        <v>1994</v>
      </c>
      <c r="L1385" t="s">
        <v>20</v>
      </c>
      <c r="M1385">
        <v>57661</v>
      </c>
      <c r="N1385">
        <v>832</v>
      </c>
    </row>
    <row r="1386" spans="1:14" x14ac:dyDescent="0.35">
      <c r="A1386" t="s">
        <v>1451</v>
      </c>
      <c r="B1386" t="s">
        <v>15</v>
      </c>
      <c r="C1386" t="s">
        <v>16</v>
      </c>
      <c r="D1386">
        <v>106</v>
      </c>
      <c r="E1386" t="s">
        <v>1442</v>
      </c>
      <c r="F1386">
        <v>5419</v>
      </c>
      <c r="G1386" t="s">
        <v>18</v>
      </c>
      <c r="H1386">
        <v>27</v>
      </c>
      <c r="I1386" t="s">
        <v>19</v>
      </c>
      <c r="J1386">
        <v>1995</v>
      </c>
      <c r="K1386">
        <v>1995</v>
      </c>
      <c r="L1386" t="s">
        <v>20</v>
      </c>
      <c r="M1386">
        <v>55206</v>
      </c>
      <c r="N1386">
        <v>832</v>
      </c>
    </row>
    <row r="1387" spans="1:14" x14ac:dyDescent="0.35">
      <c r="A1387" t="s">
        <v>1452</v>
      </c>
      <c r="B1387" t="s">
        <v>15</v>
      </c>
      <c r="C1387" t="s">
        <v>16</v>
      </c>
      <c r="D1387">
        <v>106</v>
      </c>
      <c r="E1387" t="s">
        <v>1442</v>
      </c>
      <c r="F1387">
        <v>5419</v>
      </c>
      <c r="G1387" t="s">
        <v>18</v>
      </c>
      <c r="H1387">
        <v>27</v>
      </c>
      <c r="I1387" t="s">
        <v>19</v>
      </c>
      <c r="J1387">
        <v>1996</v>
      </c>
      <c r="K1387">
        <v>1996</v>
      </c>
      <c r="L1387" t="s">
        <v>20</v>
      </c>
      <c r="M1387">
        <v>58122</v>
      </c>
      <c r="N1387">
        <v>832</v>
      </c>
    </row>
    <row r="1388" spans="1:14" x14ac:dyDescent="0.35">
      <c r="A1388" t="s">
        <v>1453</v>
      </c>
      <c r="B1388" t="s">
        <v>15</v>
      </c>
      <c r="C1388" t="s">
        <v>16</v>
      </c>
      <c r="D1388">
        <v>106</v>
      </c>
      <c r="E1388" t="s">
        <v>1442</v>
      </c>
      <c r="F1388">
        <v>5419</v>
      </c>
      <c r="G1388" t="s">
        <v>18</v>
      </c>
      <c r="H1388">
        <v>27</v>
      </c>
      <c r="I1388" t="s">
        <v>19</v>
      </c>
      <c r="J1388">
        <v>1997</v>
      </c>
      <c r="K1388">
        <v>1997</v>
      </c>
      <c r="L1388" t="s">
        <v>20</v>
      </c>
      <c r="M1388">
        <v>61950</v>
      </c>
      <c r="N1388">
        <v>832</v>
      </c>
    </row>
    <row r="1389" spans="1:14" x14ac:dyDescent="0.35">
      <c r="A1389" t="s">
        <v>1454</v>
      </c>
      <c r="B1389" t="s">
        <v>15</v>
      </c>
      <c r="C1389" t="s">
        <v>16</v>
      </c>
      <c r="D1389">
        <v>106</v>
      </c>
      <c r="E1389" t="s">
        <v>1442</v>
      </c>
      <c r="F1389">
        <v>5419</v>
      </c>
      <c r="G1389" t="s">
        <v>18</v>
      </c>
      <c r="H1389">
        <v>27</v>
      </c>
      <c r="I1389" t="s">
        <v>19</v>
      </c>
      <c r="J1389">
        <v>1998</v>
      </c>
      <c r="K1389">
        <v>1998</v>
      </c>
      <c r="L1389" t="s">
        <v>20</v>
      </c>
      <c r="M1389">
        <v>62573</v>
      </c>
      <c r="N1389">
        <v>832</v>
      </c>
    </row>
    <row r="1390" spans="1:14" x14ac:dyDescent="0.35">
      <c r="A1390" t="s">
        <v>1455</v>
      </c>
      <c r="B1390" t="s">
        <v>15</v>
      </c>
      <c r="C1390" t="s">
        <v>16</v>
      </c>
      <c r="D1390">
        <v>106</v>
      </c>
      <c r="E1390" t="s">
        <v>1442</v>
      </c>
      <c r="F1390">
        <v>5419</v>
      </c>
      <c r="G1390" t="s">
        <v>18</v>
      </c>
      <c r="H1390">
        <v>27</v>
      </c>
      <c r="I1390" t="s">
        <v>19</v>
      </c>
      <c r="J1390">
        <v>1999</v>
      </c>
      <c r="K1390">
        <v>1999</v>
      </c>
      <c r="L1390" t="s">
        <v>20</v>
      </c>
      <c r="M1390">
        <v>64635</v>
      </c>
      <c r="N1390">
        <v>832</v>
      </c>
    </row>
    <row r="1391" spans="1:14" x14ac:dyDescent="0.35">
      <c r="A1391" t="s">
        <v>1456</v>
      </c>
      <c r="B1391" t="s">
        <v>15</v>
      </c>
      <c r="C1391" t="s">
        <v>16</v>
      </c>
      <c r="D1391">
        <v>106</v>
      </c>
      <c r="E1391" t="s">
        <v>1442</v>
      </c>
      <c r="F1391">
        <v>5419</v>
      </c>
      <c r="G1391" t="s">
        <v>18</v>
      </c>
      <c r="H1391">
        <v>27</v>
      </c>
      <c r="I1391" t="s">
        <v>19</v>
      </c>
      <c r="J1391">
        <v>2000</v>
      </c>
      <c r="K1391">
        <v>2000</v>
      </c>
      <c r="L1391" t="s">
        <v>20</v>
      </c>
      <c r="M1391">
        <v>55810</v>
      </c>
      <c r="N1391">
        <v>832</v>
      </c>
    </row>
    <row r="1392" spans="1:14" x14ac:dyDescent="0.35">
      <c r="A1392" t="s">
        <v>1457</v>
      </c>
      <c r="B1392" t="s">
        <v>15</v>
      </c>
      <c r="C1392" t="s">
        <v>16</v>
      </c>
      <c r="D1392">
        <v>106</v>
      </c>
      <c r="E1392" t="s">
        <v>1442</v>
      </c>
      <c r="F1392">
        <v>5419</v>
      </c>
      <c r="G1392" t="s">
        <v>18</v>
      </c>
      <c r="H1392">
        <v>27</v>
      </c>
      <c r="I1392" t="s">
        <v>19</v>
      </c>
      <c r="J1392">
        <v>2001</v>
      </c>
      <c r="K1392">
        <v>2001</v>
      </c>
      <c r="L1392" t="s">
        <v>20</v>
      </c>
      <c r="M1392">
        <v>58494</v>
      </c>
      <c r="N1392">
        <v>832</v>
      </c>
    </row>
    <row r="1393" spans="1:14" x14ac:dyDescent="0.35">
      <c r="A1393" t="s">
        <v>1458</v>
      </c>
      <c r="B1393" t="s">
        <v>15</v>
      </c>
      <c r="C1393" t="s">
        <v>16</v>
      </c>
      <c r="D1393">
        <v>106</v>
      </c>
      <c r="E1393" t="s">
        <v>1442</v>
      </c>
      <c r="F1393">
        <v>5419</v>
      </c>
      <c r="G1393" t="s">
        <v>18</v>
      </c>
      <c r="H1393">
        <v>27</v>
      </c>
      <c r="I1393" t="s">
        <v>19</v>
      </c>
      <c r="J1393">
        <v>2002</v>
      </c>
      <c r="K1393">
        <v>2002</v>
      </c>
      <c r="L1393" t="s">
        <v>20</v>
      </c>
      <c r="M1393">
        <v>62700</v>
      </c>
      <c r="N1393">
        <v>832</v>
      </c>
    </row>
    <row r="1394" spans="1:14" x14ac:dyDescent="0.35">
      <c r="A1394" t="s">
        <v>1459</v>
      </c>
      <c r="B1394" t="s">
        <v>15</v>
      </c>
      <c r="C1394" t="s">
        <v>16</v>
      </c>
      <c r="D1394">
        <v>106</v>
      </c>
      <c r="E1394" t="s">
        <v>1442</v>
      </c>
      <c r="F1394">
        <v>5419</v>
      </c>
      <c r="G1394" t="s">
        <v>18</v>
      </c>
      <c r="H1394">
        <v>27</v>
      </c>
      <c r="I1394" t="s">
        <v>19</v>
      </c>
      <c r="J1394">
        <v>2004</v>
      </c>
      <c r="K1394">
        <v>2004</v>
      </c>
      <c r="L1394" t="s">
        <v>20</v>
      </c>
      <c r="M1394">
        <v>66317</v>
      </c>
      <c r="N1394">
        <v>832</v>
      </c>
    </row>
    <row r="1395" spans="1:14" x14ac:dyDescent="0.35">
      <c r="A1395" t="s">
        <v>1460</v>
      </c>
      <c r="B1395" t="s">
        <v>15</v>
      </c>
      <c r="C1395" t="s">
        <v>16</v>
      </c>
      <c r="D1395">
        <v>106</v>
      </c>
      <c r="E1395" t="s">
        <v>1442</v>
      </c>
      <c r="F1395">
        <v>5419</v>
      </c>
      <c r="G1395" t="s">
        <v>18</v>
      </c>
      <c r="H1395">
        <v>27</v>
      </c>
      <c r="I1395" t="s">
        <v>19</v>
      </c>
      <c r="J1395">
        <v>2005</v>
      </c>
      <c r="K1395">
        <v>2005</v>
      </c>
      <c r="L1395" t="s">
        <v>20</v>
      </c>
      <c r="M1395">
        <v>63074</v>
      </c>
      <c r="N1395">
        <v>832</v>
      </c>
    </row>
    <row r="1396" spans="1:14" x14ac:dyDescent="0.35">
      <c r="A1396" t="s">
        <v>1461</v>
      </c>
      <c r="B1396" t="s">
        <v>15</v>
      </c>
      <c r="C1396" t="s">
        <v>16</v>
      </c>
      <c r="D1396">
        <v>106</v>
      </c>
      <c r="E1396" t="s">
        <v>1442</v>
      </c>
      <c r="F1396">
        <v>5419</v>
      </c>
      <c r="G1396" t="s">
        <v>18</v>
      </c>
      <c r="H1396">
        <v>27</v>
      </c>
      <c r="I1396" t="s">
        <v>19</v>
      </c>
      <c r="J1396">
        <v>2006</v>
      </c>
      <c r="K1396">
        <v>2006</v>
      </c>
      <c r="L1396" t="s">
        <v>20</v>
      </c>
      <c r="M1396">
        <v>62772</v>
      </c>
      <c r="N1396">
        <v>832</v>
      </c>
    </row>
    <row r="1397" spans="1:14" x14ac:dyDescent="0.35">
      <c r="A1397" t="s">
        <v>1462</v>
      </c>
      <c r="B1397" t="s">
        <v>15</v>
      </c>
      <c r="C1397" t="s">
        <v>16</v>
      </c>
      <c r="D1397">
        <v>106</v>
      </c>
      <c r="E1397" t="s">
        <v>1442</v>
      </c>
      <c r="F1397">
        <v>5419</v>
      </c>
      <c r="G1397" t="s">
        <v>18</v>
      </c>
      <c r="H1397">
        <v>27</v>
      </c>
      <c r="I1397" t="s">
        <v>19</v>
      </c>
      <c r="J1397">
        <v>2007</v>
      </c>
      <c r="K1397">
        <v>2007</v>
      </c>
      <c r="L1397" t="s">
        <v>20</v>
      </c>
      <c r="M1397">
        <v>66240</v>
      </c>
      <c r="N1397">
        <v>832</v>
      </c>
    </row>
    <row r="1398" spans="1:14" x14ac:dyDescent="0.35">
      <c r="A1398" t="s">
        <v>1463</v>
      </c>
      <c r="B1398" t="s">
        <v>15</v>
      </c>
      <c r="C1398" t="s">
        <v>16</v>
      </c>
      <c r="D1398">
        <v>106</v>
      </c>
      <c r="E1398" t="s">
        <v>1442</v>
      </c>
      <c r="F1398">
        <v>5419</v>
      </c>
      <c r="G1398" t="s">
        <v>18</v>
      </c>
      <c r="H1398">
        <v>27</v>
      </c>
      <c r="I1398" t="s">
        <v>19</v>
      </c>
      <c r="J1398">
        <v>2008</v>
      </c>
      <c r="K1398">
        <v>2008</v>
      </c>
      <c r="L1398" t="s">
        <v>20</v>
      </c>
      <c r="M1398">
        <v>61949</v>
      </c>
      <c r="N1398">
        <v>832</v>
      </c>
    </row>
    <row r="1399" spans="1:14" x14ac:dyDescent="0.35">
      <c r="A1399" t="s">
        <v>1464</v>
      </c>
      <c r="B1399" t="s">
        <v>15</v>
      </c>
      <c r="C1399" t="s">
        <v>16</v>
      </c>
      <c r="D1399">
        <v>106</v>
      </c>
      <c r="E1399" t="s">
        <v>1442</v>
      </c>
      <c r="F1399">
        <v>5419</v>
      </c>
      <c r="G1399" t="s">
        <v>18</v>
      </c>
      <c r="H1399">
        <v>27</v>
      </c>
      <c r="I1399" t="s">
        <v>19</v>
      </c>
      <c r="J1399">
        <v>2009</v>
      </c>
      <c r="K1399">
        <v>2009</v>
      </c>
      <c r="L1399" t="s">
        <v>20</v>
      </c>
      <c r="M1399">
        <v>67941</v>
      </c>
      <c r="N1399">
        <v>832</v>
      </c>
    </row>
    <row r="1400" spans="1:14" x14ac:dyDescent="0.35">
      <c r="A1400" t="s">
        <v>1465</v>
      </c>
      <c r="B1400" t="s">
        <v>15</v>
      </c>
      <c r="C1400" t="s">
        <v>16</v>
      </c>
      <c r="D1400">
        <v>106</v>
      </c>
      <c r="E1400" t="s">
        <v>1442</v>
      </c>
      <c r="F1400">
        <v>5419</v>
      </c>
      <c r="G1400" t="s">
        <v>18</v>
      </c>
      <c r="H1400">
        <v>27</v>
      </c>
      <c r="I1400" t="s">
        <v>19</v>
      </c>
      <c r="J1400">
        <v>2010</v>
      </c>
      <c r="K1400">
        <v>2010</v>
      </c>
      <c r="L1400" t="s">
        <v>20</v>
      </c>
      <c r="M1400">
        <v>61219</v>
      </c>
      <c r="N1400">
        <v>832</v>
      </c>
    </row>
    <row r="1401" spans="1:14" x14ac:dyDescent="0.35">
      <c r="A1401" t="s">
        <v>1466</v>
      </c>
      <c r="B1401" t="s">
        <v>15</v>
      </c>
      <c r="C1401" t="s">
        <v>16</v>
      </c>
      <c r="D1401">
        <v>106</v>
      </c>
      <c r="E1401" t="s">
        <v>1442</v>
      </c>
      <c r="F1401">
        <v>5419</v>
      </c>
      <c r="G1401" t="s">
        <v>18</v>
      </c>
      <c r="H1401">
        <v>27</v>
      </c>
      <c r="I1401" t="s">
        <v>19</v>
      </c>
      <c r="J1401">
        <v>2011</v>
      </c>
      <c r="K1401">
        <v>2011</v>
      </c>
      <c r="L1401" t="s">
        <v>20</v>
      </c>
      <c r="M1401">
        <v>60452</v>
      </c>
      <c r="N1401">
        <v>832</v>
      </c>
    </row>
    <row r="1402" spans="1:14" x14ac:dyDescent="0.35">
      <c r="A1402" t="s">
        <v>1467</v>
      </c>
      <c r="B1402" t="s">
        <v>15</v>
      </c>
      <c r="C1402" t="s">
        <v>16</v>
      </c>
      <c r="D1402">
        <v>106</v>
      </c>
      <c r="E1402" t="s">
        <v>1442</v>
      </c>
      <c r="F1402">
        <v>5419</v>
      </c>
      <c r="G1402" t="s">
        <v>18</v>
      </c>
      <c r="H1402">
        <v>27</v>
      </c>
      <c r="I1402" t="s">
        <v>19</v>
      </c>
      <c r="J1402">
        <v>2012</v>
      </c>
      <c r="K1402">
        <v>2012</v>
      </c>
      <c r="L1402" t="s">
        <v>20</v>
      </c>
      <c r="M1402">
        <v>68133</v>
      </c>
      <c r="N1402">
        <v>832</v>
      </c>
    </row>
    <row r="1403" spans="1:14" x14ac:dyDescent="0.35">
      <c r="A1403" t="s">
        <v>1468</v>
      </c>
      <c r="B1403" t="s">
        <v>15</v>
      </c>
      <c r="C1403" t="s">
        <v>16</v>
      </c>
      <c r="D1403">
        <v>106</v>
      </c>
      <c r="E1403" t="s">
        <v>1442</v>
      </c>
      <c r="F1403">
        <v>5419</v>
      </c>
      <c r="G1403" t="s">
        <v>18</v>
      </c>
      <c r="H1403">
        <v>27</v>
      </c>
      <c r="I1403" t="s">
        <v>19</v>
      </c>
      <c r="J1403">
        <v>2013</v>
      </c>
      <c r="K1403">
        <v>2013</v>
      </c>
      <c r="L1403" t="s">
        <v>20</v>
      </c>
      <c r="M1403">
        <v>66342</v>
      </c>
      <c r="N1403">
        <v>832</v>
      </c>
    </row>
    <row r="1404" spans="1:14" x14ac:dyDescent="0.35">
      <c r="A1404" t="s">
        <v>1469</v>
      </c>
      <c r="B1404" t="s">
        <v>15</v>
      </c>
      <c r="C1404" t="s">
        <v>16</v>
      </c>
      <c r="D1404">
        <v>106</v>
      </c>
      <c r="E1404" t="s">
        <v>1442</v>
      </c>
      <c r="F1404">
        <v>5419</v>
      </c>
      <c r="G1404" t="s">
        <v>18</v>
      </c>
      <c r="H1404">
        <v>27</v>
      </c>
      <c r="I1404" t="s">
        <v>19</v>
      </c>
      <c r="J1404">
        <v>2014</v>
      </c>
      <c r="K1404">
        <v>2014</v>
      </c>
      <c r="L1404" t="s">
        <v>20</v>
      </c>
      <c r="M1404">
        <v>63148</v>
      </c>
      <c r="N1404">
        <v>832</v>
      </c>
    </row>
    <row r="1405" spans="1:14" x14ac:dyDescent="0.35">
      <c r="A1405" t="s">
        <v>1470</v>
      </c>
      <c r="B1405" t="s">
        <v>15</v>
      </c>
      <c r="C1405" t="s">
        <v>16</v>
      </c>
      <c r="D1405">
        <v>106</v>
      </c>
      <c r="E1405" t="s">
        <v>1442</v>
      </c>
      <c r="F1405">
        <v>5419</v>
      </c>
      <c r="G1405" t="s">
        <v>18</v>
      </c>
      <c r="H1405">
        <v>27</v>
      </c>
      <c r="I1405" t="s">
        <v>19</v>
      </c>
      <c r="J1405">
        <v>2015</v>
      </c>
      <c r="K1405">
        <v>2015</v>
      </c>
      <c r="L1405" t="s">
        <v>20</v>
      </c>
      <c r="M1405">
        <v>66785</v>
      </c>
      <c r="N1405">
        <v>832</v>
      </c>
    </row>
    <row r="1406" spans="1:14" x14ac:dyDescent="0.35">
      <c r="A1406" t="s">
        <v>1471</v>
      </c>
      <c r="B1406" t="s">
        <v>15</v>
      </c>
      <c r="C1406" t="s">
        <v>16</v>
      </c>
      <c r="D1406">
        <v>106</v>
      </c>
      <c r="E1406" t="s">
        <v>1442</v>
      </c>
      <c r="F1406">
        <v>5419</v>
      </c>
      <c r="G1406" t="s">
        <v>18</v>
      </c>
      <c r="H1406">
        <v>27</v>
      </c>
      <c r="I1406" t="s">
        <v>19</v>
      </c>
      <c r="J1406">
        <v>2016</v>
      </c>
      <c r="K1406">
        <v>2016</v>
      </c>
      <c r="L1406" t="s">
        <v>20</v>
      </c>
      <c r="M1406">
        <v>67797</v>
      </c>
      <c r="N1406">
        <v>832</v>
      </c>
    </row>
    <row r="1407" spans="1:14" x14ac:dyDescent="0.35">
      <c r="A1407" t="s">
        <v>1472</v>
      </c>
      <c r="B1407" t="s">
        <v>15</v>
      </c>
      <c r="C1407" t="s">
        <v>16</v>
      </c>
      <c r="D1407">
        <v>109</v>
      </c>
      <c r="E1407" t="s">
        <v>1473</v>
      </c>
      <c r="F1407">
        <v>5419</v>
      </c>
      <c r="G1407" t="s">
        <v>18</v>
      </c>
      <c r="H1407">
        <v>27</v>
      </c>
      <c r="I1407" t="s">
        <v>19</v>
      </c>
      <c r="J1407">
        <v>1985</v>
      </c>
      <c r="K1407">
        <v>1985</v>
      </c>
      <c r="L1407" t="s">
        <v>20</v>
      </c>
      <c r="M1407">
        <v>30364</v>
      </c>
      <c r="N1407">
        <v>2051</v>
      </c>
    </row>
    <row r="1408" spans="1:14" x14ac:dyDescent="0.35">
      <c r="A1408" t="s">
        <v>1474</v>
      </c>
      <c r="B1408" t="s">
        <v>15</v>
      </c>
      <c r="C1408" t="s">
        <v>16</v>
      </c>
      <c r="D1408">
        <v>109</v>
      </c>
      <c r="E1408" t="s">
        <v>1473</v>
      </c>
      <c r="F1408">
        <v>5419</v>
      </c>
      <c r="G1408" t="s">
        <v>18</v>
      </c>
      <c r="H1408">
        <v>27</v>
      </c>
      <c r="I1408" t="s">
        <v>19</v>
      </c>
      <c r="J1408">
        <v>1986</v>
      </c>
      <c r="K1408">
        <v>1986</v>
      </c>
      <c r="L1408" t="s">
        <v>20</v>
      </c>
      <c r="M1408">
        <v>31802</v>
      </c>
      <c r="N1408">
        <v>2051</v>
      </c>
    </row>
    <row r="1409" spans="1:14" x14ac:dyDescent="0.35">
      <c r="A1409" t="s">
        <v>1475</v>
      </c>
      <c r="B1409" t="s">
        <v>15</v>
      </c>
      <c r="C1409" t="s">
        <v>16</v>
      </c>
      <c r="D1409">
        <v>109</v>
      </c>
      <c r="E1409" t="s">
        <v>1473</v>
      </c>
      <c r="F1409">
        <v>5419</v>
      </c>
      <c r="G1409" t="s">
        <v>18</v>
      </c>
      <c r="H1409">
        <v>27</v>
      </c>
      <c r="I1409" t="s">
        <v>19</v>
      </c>
      <c r="J1409">
        <v>1987</v>
      </c>
      <c r="K1409">
        <v>1987</v>
      </c>
      <c r="L1409" t="s">
        <v>20</v>
      </c>
      <c r="M1409">
        <v>20668</v>
      </c>
      <c r="N1409">
        <v>2051</v>
      </c>
    </row>
    <row r="1410" spans="1:14" x14ac:dyDescent="0.35">
      <c r="A1410" t="s">
        <v>1476</v>
      </c>
      <c r="B1410" t="s">
        <v>15</v>
      </c>
      <c r="C1410" t="s">
        <v>16</v>
      </c>
      <c r="D1410">
        <v>109</v>
      </c>
      <c r="E1410" t="s">
        <v>1473</v>
      </c>
      <c r="F1410">
        <v>5419</v>
      </c>
      <c r="G1410" t="s">
        <v>18</v>
      </c>
      <c r="H1410">
        <v>27</v>
      </c>
      <c r="I1410" t="s">
        <v>19</v>
      </c>
      <c r="J1410">
        <v>1989</v>
      </c>
      <c r="K1410">
        <v>1989</v>
      </c>
      <c r="L1410" t="s">
        <v>20</v>
      </c>
      <c r="M1410">
        <v>33506</v>
      </c>
      <c r="N1410">
        <v>2051</v>
      </c>
    </row>
    <row r="1411" spans="1:14" x14ac:dyDescent="0.35">
      <c r="A1411" t="s">
        <v>1477</v>
      </c>
      <c r="B1411" t="s">
        <v>15</v>
      </c>
      <c r="C1411" t="s">
        <v>16</v>
      </c>
      <c r="D1411">
        <v>109</v>
      </c>
      <c r="E1411" t="s">
        <v>1473</v>
      </c>
      <c r="F1411">
        <v>5419</v>
      </c>
      <c r="G1411" t="s">
        <v>18</v>
      </c>
      <c r="H1411">
        <v>27</v>
      </c>
      <c r="I1411" t="s">
        <v>19</v>
      </c>
      <c r="J1411">
        <v>1990</v>
      </c>
      <c r="K1411">
        <v>1990</v>
      </c>
      <c r="L1411" t="s">
        <v>20</v>
      </c>
      <c r="M1411">
        <v>23656</v>
      </c>
      <c r="N1411">
        <v>2051</v>
      </c>
    </row>
    <row r="1412" spans="1:14" x14ac:dyDescent="0.35">
      <c r="A1412" t="s">
        <v>1478</v>
      </c>
      <c r="B1412" t="s">
        <v>15</v>
      </c>
      <c r="C1412" t="s">
        <v>16</v>
      </c>
      <c r="D1412">
        <v>109</v>
      </c>
      <c r="E1412" t="s">
        <v>1473</v>
      </c>
      <c r="F1412">
        <v>5419</v>
      </c>
      <c r="G1412" t="s">
        <v>18</v>
      </c>
      <c r="H1412">
        <v>27</v>
      </c>
      <c r="I1412" t="s">
        <v>19</v>
      </c>
      <c r="J1412">
        <v>1991</v>
      </c>
      <c r="K1412">
        <v>1991</v>
      </c>
      <c r="L1412" t="s">
        <v>20</v>
      </c>
      <c r="M1412">
        <v>27019</v>
      </c>
      <c r="N1412">
        <v>2051</v>
      </c>
    </row>
    <row r="1413" spans="1:14" x14ac:dyDescent="0.35">
      <c r="A1413" t="s">
        <v>1479</v>
      </c>
      <c r="B1413" t="s">
        <v>15</v>
      </c>
      <c r="C1413" t="s">
        <v>16</v>
      </c>
      <c r="D1413">
        <v>109</v>
      </c>
      <c r="E1413" t="s">
        <v>1473</v>
      </c>
      <c r="F1413">
        <v>5419</v>
      </c>
      <c r="G1413" t="s">
        <v>18</v>
      </c>
      <c r="H1413">
        <v>27</v>
      </c>
      <c r="I1413" t="s">
        <v>19</v>
      </c>
      <c r="J1413">
        <v>1992</v>
      </c>
      <c r="K1413">
        <v>1992</v>
      </c>
      <c r="L1413" t="s">
        <v>20</v>
      </c>
      <c r="M1413">
        <v>23981</v>
      </c>
      <c r="N1413">
        <v>2051</v>
      </c>
    </row>
    <row r="1414" spans="1:14" x14ac:dyDescent="0.35">
      <c r="A1414" t="s">
        <v>1480</v>
      </c>
      <c r="B1414" t="s">
        <v>15</v>
      </c>
      <c r="C1414" t="s">
        <v>16</v>
      </c>
      <c r="D1414">
        <v>109</v>
      </c>
      <c r="E1414" t="s">
        <v>1473</v>
      </c>
      <c r="F1414">
        <v>5419</v>
      </c>
      <c r="G1414" t="s">
        <v>18</v>
      </c>
      <c r="H1414">
        <v>27</v>
      </c>
      <c r="I1414" t="s">
        <v>19</v>
      </c>
      <c r="J1414">
        <v>1993</v>
      </c>
      <c r="K1414">
        <v>1993</v>
      </c>
      <c r="L1414" t="s">
        <v>20</v>
      </c>
      <c r="M1414">
        <v>31279</v>
      </c>
      <c r="N1414">
        <v>2051</v>
      </c>
    </row>
    <row r="1415" spans="1:14" x14ac:dyDescent="0.35">
      <c r="A1415" t="s">
        <v>1481</v>
      </c>
      <c r="B1415" t="s">
        <v>15</v>
      </c>
      <c r="C1415" t="s">
        <v>16</v>
      </c>
      <c r="D1415">
        <v>109</v>
      </c>
      <c r="E1415" t="s">
        <v>1473</v>
      </c>
      <c r="F1415">
        <v>5419</v>
      </c>
      <c r="G1415" t="s">
        <v>18</v>
      </c>
      <c r="H1415">
        <v>27</v>
      </c>
      <c r="I1415" t="s">
        <v>19</v>
      </c>
      <c r="J1415">
        <v>1994</v>
      </c>
      <c r="K1415">
        <v>1994</v>
      </c>
      <c r="L1415" t="s">
        <v>20</v>
      </c>
      <c r="M1415">
        <v>29080</v>
      </c>
      <c r="N1415">
        <v>2051</v>
      </c>
    </row>
    <row r="1416" spans="1:14" x14ac:dyDescent="0.35">
      <c r="A1416" t="s">
        <v>1482</v>
      </c>
      <c r="B1416" t="s">
        <v>15</v>
      </c>
      <c r="C1416" t="s">
        <v>16</v>
      </c>
      <c r="D1416">
        <v>109</v>
      </c>
      <c r="E1416" t="s">
        <v>1473</v>
      </c>
      <c r="F1416">
        <v>5419</v>
      </c>
      <c r="G1416" t="s">
        <v>18</v>
      </c>
      <c r="H1416">
        <v>27</v>
      </c>
      <c r="I1416" t="s">
        <v>19</v>
      </c>
      <c r="J1416">
        <v>1995</v>
      </c>
      <c r="K1416">
        <v>1995</v>
      </c>
      <c r="L1416" t="s">
        <v>20</v>
      </c>
      <c r="M1416">
        <v>24308</v>
      </c>
      <c r="N1416">
        <v>2051</v>
      </c>
    </row>
    <row r="1417" spans="1:14" x14ac:dyDescent="0.35">
      <c r="A1417" t="s">
        <v>1483</v>
      </c>
      <c r="B1417" t="s">
        <v>15</v>
      </c>
      <c r="C1417" t="s">
        <v>16</v>
      </c>
      <c r="D1417">
        <v>109</v>
      </c>
      <c r="E1417" t="s">
        <v>1473</v>
      </c>
      <c r="F1417">
        <v>5419</v>
      </c>
      <c r="G1417" t="s">
        <v>18</v>
      </c>
      <c r="H1417">
        <v>27</v>
      </c>
      <c r="I1417" t="s">
        <v>19</v>
      </c>
      <c r="J1417">
        <v>1996</v>
      </c>
      <c r="K1417">
        <v>1996</v>
      </c>
      <c r="L1417" t="s">
        <v>20</v>
      </c>
      <c r="M1417">
        <v>14286</v>
      </c>
      <c r="N1417">
        <v>2051</v>
      </c>
    </row>
    <row r="1418" spans="1:14" x14ac:dyDescent="0.35">
      <c r="A1418" t="s">
        <v>1484</v>
      </c>
      <c r="B1418" t="s">
        <v>15</v>
      </c>
      <c r="C1418" t="s">
        <v>16</v>
      </c>
      <c r="D1418">
        <v>109</v>
      </c>
      <c r="E1418" t="s">
        <v>1473</v>
      </c>
      <c r="F1418">
        <v>5419</v>
      </c>
      <c r="G1418" t="s">
        <v>18</v>
      </c>
      <c r="H1418">
        <v>27</v>
      </c>
      <c r="I1418" t="s">
        <v>19</v>
      </c>
      <c r="J1418">
        <v>1997</v>
      </c>
      <c r="K1418">
        <v>1997</v>
      </c>
      <c r="L1418" t="s">
        <v>20</v>
      </c>
      <c r="M1418">
        <v>16111</v>
      </c>
      <c r="N1418">
        <v>2051</v>
      </c>
    </row>
    <row r="1419" spans="1:14" x14ac:dyDescent="0.35">
      <c r="A1419" t="s">
        <v>1485</v>
      </c>
      <c r="B1419" t="s">
        <v>15</v>
      </c>
      <c r="C1419" t="s">
        <v>16</v>
      </c>
      <c r="D1419">
        <v>109</v>
      </c>
      <c r="E1419" t="s">
        <v>1473</v>
      </c>
      <c r="F1419">
        <v>5419</v>
      </c>
      <c r="G1419" t="s">
        <v>18</v>
      </c>
      <c r="H1419">
        <v>27</v>
      </c>
      <c r="I1419" t="s">
        <v>19</v>
      </c>
      <c r="J1419">
        <v>1998</v>
      </c>
      <c r="K1419">
        <v>1998</v>
      </c>
      <c r="L1419" t="s">
        <v>20</v>
      </c>
      <c r="M1419">
        <v>18750</v>
      </c>
      <c r="N1419">
        <v>2051</v>
      </c>
    </row>
    <row r="1420" spans="1:14" x14ac:dyDescent="0.35">
      <c r="A1420" t="s">
        <v>1486</v>
      </c>
      <c r="B1420" t="s">
        <v>15</v>
      </c>
      <c r="C1420" t="s">
        <v>16</v>
      </c>
      <c r="D1420">
        <v>109</v>
      </c>
      <c r="E1420" t="s">
        <v>1473</v>
      </c>
      <c r="F1420">
        <v>5419</v>
      </c>
      <c r="G1420" t="s">
        <v>18</v>
      </c>
      <c r="H1420">
        <v>27</v>
      </c>
      <c r="I1420" t="s">
        <v>19</v>
      </c>
      <c r="J1420">
        <v>1999</v>
      </c>
      <c r="K1420">
        <v>1999</v>
      </c>
      <c r="L1420" t="s">
        <v>20</v>
      </c>
      <c r="M1420">
        <v>10690</v>
      </c>
      <c r="N1420">
        <v>2051</v>
      </c>
    </row>
    <row r="1421" spans="1:14" x14ac:dyDescent="0.35">
      <c r="A1421" t="s">
        <v>1487</v>
      </c>
      <c r="B1421" t="s">
        <v>15</v>
      </c>
      <c r="C1421" t="s">
        <v>16</v>
      </c>
      <c r="D1421">
        <v>109</v>
      </c>
      <c r="E1421" t="s">
        <v>1473</v>
      </c>
      <c r="F1421">
        <v>5419</v>
      </c>
      <c r="G1421" t="s">
        <v>18</v>
      </c>
      <c r="H1421">
        <v>27</v>
      </c>
      <c r="I1421" t="s">
        <v>19</v>
      </c>
      <c r="J1421">
        <v>2000</v>
      </c>
      <c r="K1421">
        <v>2000</v>
      </c>
      <c r="L1421" t="s">
        <v>20</v>
      </c>
      <c r="M1421">
        <v>9231</v>
      </c>
      <c r="N1421">
        <v>2051</v>
      </c>
    </row>
    <row r="1422" spans="1:14" x14ac:dyDescent="0.35">
      <c r="A1422" t="s">
        <v>1488</v>
      </c>
      <c r="B1422" t="s">
        <v>15</v>
      </c>
      <c r="C1422" t="s">
        <v>16</v>
      </c>
      <c r="D1422">
        <v>109</v>
      </c>
      <c r="E1422" t="s">
        <v>1473</v>
      </c>
      <c r="F1422">
        <v>5419</v>
      </c>
      <c r="G1422" t="s">
        <v>18</v>
      </c>
      <c r="H1422">
        <v>27</v>
      </c>
      <c r="I1422" t="s">
        <v>19</v>
      </c>
      <c r="J1422">
        <v>2001</v>
      </c>
      <c r="K1422">
        <v>2001</v>
      </c>
      <c r="L1422" t="s">
        <v>20</v>
      </c>
      <c r="M1422">
        <v>13750</v>
      </c>
      <c r="N1422">
        <v>2051</v>
      </c>
    </row>
    <row r="1423" spans="1:14" x14ac:dyDescent="0.35">
      <c r="A1423" t="s">
        <v>1489</v>
      </c>
      <c r="B1423" t="s">
        <v>15</v>
      </c>
      <c r="C1423" t="s">
        <v>16</v>
      </c>
      <c r="D1423">
        <v>109</v>
      </c>
      <c r="E1423" t="s">
        <v>1473</v>
      </c>
      <c r="F1423">
        <v>5419</v>
      </c>
      <c r="G1423" t="s">
        <v>18</v>
      </c>
      <c r="H1423">
        <v>27</v>
      </c>
      <c r="I1423" t="s">
        <v>19</v>
      </c>
      <c r="J1423">
        <v>2002</v>
      </c>
      <c r="K1423">
        <v>2002</v>
      </c>
      <c r="L1423" t="s">
        <v>20</v>
      </c>
      <c r="M1423">
        <v>9091</v>
      </c>
      <c r="N1423">
        <v>2051</v>
      </c>
    </row>
    <row r="1424" spans="1:14" x14ac:dyDescent="0.35">
      <c r="A1424" t="s">
        <v>1490</v>
      </c>
      <c r="B1424" t="s">
        <v>15</v>
      </c>
      <c r="C1424" t="s">
        <v>16</v>
      </c>
      <c r="D1424">
        <v>109</v>
      </c>
      <c r="E1424" t="s">
        <v>1473</v>
      </c>
      <c r="F1424">
        <v>5419</v>
      </c>
      <c r="G1424" t="s">
        <v>18</v>
      </c>
      <c r="H1424">
        <v>27</v>
      </c>
      <c r="I1424" t="s">
        <v>19</v>
      </c>
      <c r="J1424">
        <v>2004</v>
      </c>
      <c r="K1424">
        <v>2004</v>
      </c>
      <c r="L1424" t="s">
        <v>20</v>
      </c>
      <c r="M1424">
        <v>14286</v>
      </c>
      <c r="N1424">
        <v>2051</v>
      </c>
    </row>
    <row r="1425" spans="1:14" x14ac:dyDescent="0.35">
      <c r="A1425" t="s">
        <v>1491</v>
      </c>
      <c r="B1425" t="s">
        <v>15</v>
      </c>
      <c r="C1425" t="s">
        <v>16</v>
      </c>
      <c r="D1425">
        <v>109</v>
      </c>
      <c r="E1425" t="s">
        <v>1473</v>
      </c>
      <c r="F1425">
        <v>5419</v>
      </c>
      <c r="G1425" t="s">
        <v>18</v>
      </c>
      <c r="H1425">
        <v>27</v>
      </c>
      <c r="I1425" t="s">
        <v>19</v>
      </c>
      <c r="J1425">
        <v>2005</v>
      </c>
      <c r="K1425">
        <v>2005</v>
      </c>
      <c r="L1425" t="s">
        <v>20</v>
      </c>
      <c r="M1425">
        <v>30000</v>
      </c>
      <c r="N1425">
        <v>2051</v>
      </c>
    </row>
    <row r="1426" spans="1:14" x14ac:dyDescent="0.35">
      <c r="A1426" t="s">
        <v>1492</v>
      </c>
      <c r="B1426" t="s">
        <v>15</v>
      </c>
      <c r="C1426" t="s">
        <v>16</v>
      </c>
      <c r="D1426">
        <v>109</v>
      </c>
      <c r="E1426" t="s">
        <v>1473</v>
      </c>
      <c r="F1426">
        <v>5419</v>
      </c>
      <c r="G1426" t="s">
        <v>18</v>
      </c>
      <c r="H1426">
        <v>27</v>
      </c>
      <c r="I1426" t="s">
        <v>19</v>
      </c>
      <c r="J1426">
        <v>2006</v>
      </c>
      <c r="K1426">
        <v>2006</v>
      </c>
      <c r="L1426" t="s">
        <v>20</v>
      </c>
      <c r="M1426">
        <v>20000</v>
      </c>
      <c r="N1426">
        <v>2051</v>
      </c>
    </row>
    <row r="1427" spans="1:14" x14ac:dyDescent="0.35">
      <c r="A1427" t="s">
        <v>1493</v>
      </c>
      <c r="B1427" t="s">
        <v>15</v>
      </c>
      <c r="C1427" t="s">
        <v>16</v>
      </c>
      <c r="D1427">
        <v>109</v>
      </c>
      <c r="E1427" t="s">
        <v>1473</v>
      </c>
      <c r="F1427">
        <v>5419</v>
      </c>
      <c r="G1427" t="s">
        <v>18</v>
      </c>
      <c r="H1427">
        <v>27</v>
      </c>
      <c r="I1427" t="s">
        <v>19</v>
      </c>
      <c r="J1427">
        <v>2007</v>
      </c>
      <c r="K1427">
        <v>2007</v>
      </c>
      <c r="L1427" t="s">
        <v>20</v>
      </c>
      <c r="M1427">
        <v>29545</v>
      </c>
      <c r="N1427">
        <v>2051</v>
      </c>
    </row>
    <row r="1428" spans="1:14" x14ac:dyDescent="0.35">
      <c r="A1428" t="s">
        <v>1494</v>
      </c>
      <c r="B1428" t="s">
        <v>15</v>
      </c>
      <c r="C1428" t="s">
        <v>16</v>
      </c>
      <c r="D1428">
        <v>109</v>
      </c>
      <c r="E1428" t="s">
        <v>1473</v>
      </c>
      <c r="F1428">
        <v>5419</v>
      </c>
      <c r="G1428" t="s">
        <v>18</v>
      </c>
      <c r="H1428">
        <v>27</v>
      </c>
      <c r="I1428" t="s">
        <v>19</v>
      </c>
      <c r="J1428">
        <v>2008</v>
      </c>
      <c r="K1428">
        <v>2008</v>
      </c>
      <c r="L1428" t="s">
        <v>20</v>
      </c>
      <c r="M1428">
        <v>33333</v>
      </c>
      <c r="N1428">
        <v>2051</v>
      </c>
    </row>
    <row r="1429" spans="1:14" x14ac:dyDescent="0.35">
      <c r="A1429" t="s">
        <v>1495</v>
      </c>
      <c r="B1429" t="s">
        <v>15</v>
      </c>
      <c r="C1429" t="s">
        <v>16</v>
      </c>
      <c r="D1429">
        <v>109</v>
      </c>
      <c r="E1429" t="s">
        <v>1473</v>
      </c>
      <c r="F1429">
        <v>5419</v>
      </c>
      <c r="G1429" t="s">
        <v>18</v>
      </c>
      <c r="H1429">
        <v>27</v>
      </c>
      <c r="I1429" t="s">
        <v>19</v>
      </c>
      <c r="J1429">
        <v>2009</v>
      </c>
      <c r="K1429">
        <v>2009</v>
      </c>
      <c r="L1429" t="s">
        <v>20</v>
      </c>
      <c r="M1429">
        <v>40541</v>
      </c>
      <c r="N1429">
        <v>2051</v>
      </c>
    </row>
    <row r="1430" spans="1:14" x14ac:dyDescent="0.35">
      <c r="A1430" t="s">
        <v>1496</v>
      </c>
      <c r="B1430" t="s">
        <v>15</v>
      </c>
      <c r="C1430" t="s">
        <v>16</v>
      </c>
      <c r="D1430">
        <v>109</v>
      </c>
      <c r="E1430" t="s">
        <v>1473</v>
      </c>
      <c r="F1430">
        <v>5419</v>
      </c>
      <c r="G1430" t="s">
        <v>18</v>
      </c>
      <c r="H1430">
        <v>27</v>
      </c>
      <c r="I1430" t="s">
        <v>19</v>
      </c>
      <c r="J1430">
        <v>2010</v>
      </c>
      <c r="K1430">
        <v>2010</v>
      </c>
      <c r="L1430" t="s">
        <v>20</v>
      </c>
      <c r="M1430">
        <v>47397</v>
      </c>
      <c r="N1430">
        <v>2051</v>
      </c>
    </row>
    <row r="1431" spans="1:14" x14ac:dyDescent="0.35">
      <c r="A1431" t="s">
        <v>1497</v>
      </c>
      <c r="B1431" t="s">
        <v>15</v>
      </c>
      <c r="C1431" t="s">
        <v>16</v>
      </c>
      <c r="D1431">
        <v>109</v>
      </c>
      <c r="E1431" t="s">
        <v>1473</v>
      </c>
      <c r="F1431">
        <v>5419</v>
      </c>
      <c r="G1431" t="s">
        <v>18</v>
      </c>
      <c r="H1431">
        <v>27</v>
      </c>
      <c r="I1431" t="s">
        <v>19</v>
      </c>
      <c r="J1431">
        <v>2011</v>
      </c>
      <c r="K1431">
        <v>2011</v>
      </c>
      <c r="L1431" t="s">
        <v>20</v>
      </c>
      <c r="M1431">
        <v>53341</v>
      </c>
      <c r="N1431">
        <v>2051</v>
      </c>
    </row>
    <row r="1432" spans="1:14" x14ac:dyDescent="0.35">
      <c r="A1432" t="s">
        <v>1498</v>
      </c>
      <c r="B1432" t="s">
        <v>15</v>
      </c>
      <c r="C1432" t="s">
        <v>16</v>
      </c>
      <c r="D1432">
        <v>109</v>
      </c>
      <c r="E1432" t="s">
        <v>1473</v>
      </c>
      <c r="F1432">
        <v>5419</v>
      </c>
      <c r="G1432" t="s">
        <v>18</v>
      </c>
      <c r="H1432">
        <v>27</v>
      </c>
      <c r="I1432" t="s">
        <v>19</v>
      </c>
      <c r="J1432">
        <v>2012</v>
      </c>
      <c r="K1432">
        <v>2012</v>
      </c>
      <c r="L1432" t="s">
        <v>20</v>
      </c>
      <c r="M1432">
        <v>49023</v>
      </c>
      <c r="N1432">
        <v>2051</v>
      </c>
    </row>
    <row r="1433" spans="1:14" x14ac:dyDescent="0.35">
      <c r="A1433" t="s">
        <v>1499</v>
      </c>
      <c r="B1433" t="s">
        <v>15</v>
      </c>
      <c r="C1433" t="s">
        <v>16</v>
      </c>
      <c r="D1433">
        <v>109</v>
      </c>
      <c r="E1433" t="s">
        <v>1473</v>
      </c>
      <c r="F1433">
        <v>5419</v>
      </c>
      <c r="G1433" t="s">
        <v>18</v>
      </c>
      <c r="H1433">
        <v>27</v>
      </c>
      <c r="I1433" t="s">
        <v>19</v>
      </c>
      <c r="J1433">
        <v>2013</v>
      </c>
      <c r="K1433">
        <v>2013</v>
      </c>
      <c r="L1433" t="s">
        <v>20</v>
      </c>
      <c r="M1433">
        <v>42000</v>
      </c>
      <c r="N1433">
        <v>2051</v>
      </c>
    </row>
    <row r="1434" spans="1:14" x14ac:dyDescent="0.35">
      <c r="A1434" t="s">
        <v>1500</v>
      </c>
      <c r="B1434" t="s">
        <v>15</v>
      </c>
      <c r="C1434" t="s">
        <v>16</v>
      </c>
      <c r="D1434">
        <v>109</v>
      </c>
      <c r="E1434" t="s">
        <v>1473</v>
      </c>
      <c r="F1434">
        <v>5419</v>
      </c>
      <c r="G1434" t="s">
        <v>18</v>
      </c>
      <c r="H1434">
        <v>27</v>
      </c>
      <c r="I1434" t="s">
        <v>19</v>
      </c>
      <c r="J1434">
        <v>2014</v>
      </c>
      <c r="K1434">
        <v>2014</v>
      </c>
      <c r="L1434" t="s">
        <v>20</v>
      </c>
      <c r="M1434">
        <v>36667</v>
      </c>
      <c r="N1434">
        <v>2051</v>
      </c>
    </row>
    <row r="1435" spans="1:14" x14ac:dyDescent="0.35">
      <c r="A1435" t="s">
        <v>1501</v>
      </c>
      <c r="B1435" t="s">
        <v>15</v>
      </c>
      <c r="C1435" t="s">
        <v>16</v>
      </c>
      <c r="D1435">
        <v>109</v>
      </c>
      <c r="E1435" t="s">
        <v>1473</v>
      </c>
      <c r="F1435">
        <v>5419</v>
      </c>
      <c r="G1435" t="s">
        <v>18</v>
      </c>
      <c r="H1435">
        <v>27</v>
      </c>
      <c r="I1435" t="s">
        <v>19</v>
      </c>
      <c r="J1435">
        <v>2015</v>
      </c>
      <c r="K1435">
        <v>2015</v>
      </c>
      <c r="L1435" t="s">
        <v>20</v>
      </c>
      <c r="M1435">
        <v>45000</v>
      </c>
      <c r="N1435">
        <v>2051</v>
      </c>
    </row>
    <row r="1436" spans="1:14" x14ac:dyDescent="0.35">
      <c r="A1436" t="s">
        <v>1502</v>
      </c>
      <c r="B1436" t="s">
        <v>15</v>
      </c>
      <c r="C1436" t="s">
        <v>16</v>
      </c>
      <c r="D1436">
        <v>109</v>
      </c>
      <c r="E1436" t="s">
        <v>1473</v>
      </c>
      <c r="F1436">
        <v>5419</v>
      </c>
      <c r="G1436" t="s">
        <v>18</v>
      </c>
      <c r="H1436">
        <v>27</v>
      </c>
      <c r="I1436" t="s">
        <v>19</v>
      </c>
      <c r="J1436">
        <v>2016</v>
      </c>
      <c r="K1436">
        <v>2016</v>
      </c>
      <c r="L1436" t="s">
        <v>20</v>
      </c>
      <c r="M1436">
        <v>45333</v>
      </c>
      <c r="N1436">
        <v>2051</v>
      </c>
    </row>
    <row r="1437" spans="1:14" x14ac:dyDescent="0.35">
      <c r="A1437" t="s">
        <v>1503</v>
      </c>
      <c r="B1437" t="s">
        <v>15</v>
      </c>
      <c r="C1437" t="s">
        <v>16</v>
      </c>
      <c r="D1437">
        <v>110</v>
      </c>
      <c r="E1437" t="s">
        <v>1504</v>
      </c>
      <c r="F1437">
        <v>5419</v>
      </c>
      <c r="G1437" t="s">
        <v>18</v>
      </c>
      <c r="H1437">
        <v>27</v>
      </c>
      <c r="I1437" t="s">
        <v>19</v>
      </c>
      <c r="J1437">
        <v>1985</v>
      </c>
      <c r="K1437">
        <v>1985</v>
      </c>
      <c r="L1437" t="s">
        <v>20</v>
      </c>
      <c r="M1437">
        <v>62246</v>
      </c>
      <c r="N1437">
        <v>1668</v>
      </c>
    </row>
    <row r="1438" spans="1:14" x14ac:dyDescent="0.35">
      <c r="A1438" t="s">
        <v>1505</v>
      </c>
      <c r="B1438" t="s">
        <v>15</v>
      </c>
      <c r="C1438" t="s">
        <v>16</v>
      </c>
      <c r="D1438">
        <v>110</v>
      </c>
      <c r="E1438" t="s">
        <v>1504</v>
      </c>
      <c r="F1438">
        <v>5419</v>
      </c>
      <c r="G1438" t="s">
        <v>18</v>
      </c>
      <c r="H1438">
        <v>27</v>
      </c>
      <c r="I1438" t="s">
        <v>19</v>
      </c>
      <c r="J1438">
        <v>1986</v>
      </c>
      <c r="K1438">
        <v>1986</v>
      </c>
      <c r="L1438" t="s">
        <v>20</v>
      </c>
      <c r="M1438">
        <v>63218</v>
      </c>
      <c r="N1438">
        <v>1668</v>
      </c>
    </row>
    <row r="1439" spans="1:14" x14ac:dyDescent="0.35">
      <c r="A1439" t="s">
        <v>1506</v>
      </c>
      <c r="B1439" t="s">
        <v>15</v>
      </c>
      <c r="C1439" t="s">
        <v>16</v>
      </c>
      <c r="D1439">
        <v>110</v>
      </c>
      <c r="E1439" t="s">
        <v>1504</v>
      </c>
      <c r="F1439">
        <v>5419</v>
      </c>
      <c r="G1439" t="s">
        <v>18</v>
      </c>
      <c r="H1439">
        <v>27</v>
      </c>
      <c r="I1439" t="s">
        <v>19</v>
      </c>
      <c r="J1439">
        <v>1987</v>
      </c>
      <c r="K1439">
        <v>1987</v>
      </c>
      <c r="L1439" t="s">
        <v>20</v>
      </c>
      <c r="M1439">
        <v>61901</v>
      </c>
      <c r="N1439">
        <v>1668</v>
      </c>
    </row>
    <row r="1440" spans="1:14" x14ac:dyDescent="0.35">
      <c r="A1440" t="s">
        <v>1507</v>
      </c>
      <c r="B1440" t="s">
        <v>15</v>
      </c>
      <c r="C1440" t="s">
        <v>16</v>
      </c>
      <c r="D1440">
        <v>110</v>
      </c>
      <c r="E1440" t="s">
        <v>1504</v>
      </c>
      <c r="F1440">
        <v>5419</v>
      </c>
      <c r="G1440" t="s">
        <v>18</v>
      </c>
      <c r="H1440">
        <v>27</v>
      </c>
      <c r="I1440" t="s">
        <v>19</v>
      </c>
      <c r="J1440">
        <v>1989</v>
      </c>
      <c r="K1440">
        <v>1989</v>
      </c>
      <c r="L1440" t="s">
        <v>20</v>
      </c>
      <c r="M1440">
        <v>61679</v>
      </c>
      <c r="N1440">
        <v>1668</v>
      </c>
    </row>
    <row r="1441" spans="1:14" x14ac:dyDescent="0.35">
      <c r="A1441" t="s">
        <v>1508</v>
      </c>
      <c r="B1441" t="s">
        <v>15</v>
      </c>
      <c r="C1441" t="s">
        <v>16</v>
      </c>
      <c r="D1441">
        <v>110</v>
      </c>
      <c r="E1441" t="s">
        <v>1504</v>
      </c>
      <c r="F1441">
        <v>5419</v>
      </c>
      <c r="G1441" t="s">
        <v>18</v>
      </c>
      <c r="H1441">
        <v>27</v>
      </c>
      <c r="I1441" t="s">
        <v>19</v>
      </c>
      <c r="J1441">
        <v>1990</v>
      </c>
      <c r="K1441">
        <v>1990</v>
      </c>
      <c r="L1441" t="s">
        <v>20</v>
      </c>
      <c r="M1441">
        <v>63279</v>
      </c>
      <c r="N1441">
        <v>1668</v>
      </c>
    </row>
    <row r="1442" spans="1:14" x14ac:dyDescent="0.35">
      <c r="A1442" t="s">
        <v>1509</v>
      </c>
      <c r="B1442" t="s">
        <v>15</v>
      </c>
      <c r="C1442" t="s">
        <v>16</v>
      </c>
      <c r="D1442">
        <v>110</v>
      </c>
      <c r="E1442" t="s">
        <v>1504</v>
      </c>
      <c r="F1442">
        <v>5419</v>
      </c>
      <c r="G1442" t="s">
        <v>18</v>
      </c>
      <c r="H1442">
        <v>27</v>
      </c>
      <c r="I1442" t="s">
        <v>19</v>
      </c>
      <c r="J1442">
        <v>1991</v>
      </c>
      <c r="K1442">
        <v>1991</v>
      </c>
      <c r="L1442" t="s">
        <v>20</v>
      </c>
      <c r="M1442">
        <v>58590</v>
      </c>
      <c r="N1442">
        <v>1668</v>
      </c>
    </row>
    <row r="1443" spans="1:14" x14ac:dyDescent="0.35">
      <c r="A1443" t="s">
        <v>1510</v>
      </c>
      <c r="B1443" t="s">
        <v>15</v>
      </c>
      <c r="C1443" t="s">
        <v>16</v>
      </c>
      <c r="D1443">
        <v>110</v>
      </c>
      <c r="E1443" t="s">
        <v>1504</v>
      </c>
      <c r="F1443">
        <v>5419</v>
      </c>
      <c r="G1443" t="s">
        <v>18</v>
      </c>
      <c r="H1443">
        <v>27</v>
      </c>
      <c r="I1443" t="s">
        <v>19</v>
      </c>
      <c r="J1443">
        <v>1992</v>
      </c>
      <c r="K1443">
        <v>1992</v>
      </c>
      <c r="L1443" t="s">
        <v>20</v>
      </c>
      <c r="M1443">
        <v>62754</v>
      </c>
      <c r="N1443">
        <v>1668</v>
      </c>
    </row>
    <row r="1444" spans="1:14" x14ac:dyDescent="0.35">
      <c r="A1444" t="s">
        <v>1511</v>
      </c>
      <c r="B1444" t="s">
        <v>15</v>
      </c>
      <c r="C1444" t="s">
        <v>16</v>
      </c>
      <c r="D1444">
        <v>110</v>
      </c>
      <c r="E1444" t="s">
        <v>1504</v>
      </c>
      <c r="F1444">
        <v>5419</v>
      </c>
      <c r="G1444" t="s">
        <v>18</v>
      </c>
      <c r="H1444">
        <v>27</v>
      </c>
      <c r="I1444" t="s">
        <v>19</v>
      </c>
      <c r="J1444">
        <v>1993</v>
      </c>
      <c r="K1444">
        <v>1993</v>
      </c>
      <c r="L1444" t="s">
        <v>20</v>
      </c>
      <c r="M1444">
        <v>45783</v>
      </c>
      <c r="N1444">
        <v>1668</v>
      </c>
    </row>
    <row r="1445" spans="1:14" x14ac:dyDescent="0.35">
      <c r="A1445" t="s">
        <v>1512</v>
      </c>
      <c r="B1445" t="s">
        <v>15</v>
      </c>
      <c r="C1445" t="s">
        <v>16</v>
      </c>
      <c r="D1445">
        <v>110</v>
      </c>
      <c r="E1445" t="s">
        <v>1504</v>
      </c>
      <c r="F1445">
        <v>5419</v>
      </c>
      <c r="G1445" t="s">
        <v>18</v>
      </c>
      <c r="H1445">
        <v>27</v>
      </c>
      <c r="I1445" t="s">
        <v>19</v>
      </c>
      <c r="J1445">
        <v>1994</v>
      </c>
      <c r="K1445">
        <v>1994</v>
      </c>
      <c r="L1445" t="s">
        <v>20</v>
      </c>
      <c r="M1445">
        <v>67703</v>
      </c>
      <c r="N1445">
        <v>1668</v>
      </c>
    </row>
    <row r="1446" spans="1:14" x14ac:dyDescent="0.35">
      <c r="A1446" t="s">
        <v>1513</v>
      </c>
      <c r="B1446" t="s">
        <v>15</v>
      </c>
      <c r="C1446" t="s">
        <v>16</v>
      </c>
      <c r="D1446">
        <v>110</v>
      </c>
      <c r="E1446" t="s">
        <v>1504</v>
      </c>
      <c r="F1446">
        <v>5419</v>
      </c>
      <c r="G1446" t="s">
        <v>18</v>
      </c>
      <c r="H1446">
        <v>27</v>
      </c>
      <c r="I1446" t="s">
        <v>19</v>
      </c>
      <c r="J1446">
        <v>1995</v>
      </c>
      <c r="K1446">
        <v>1995</v>
      </c>
      <c r="L1446" t="s">
        <v>20</v>
      </c>
      <c r="M1446">
        <v>63432</v>
      </c>
      <c r="N1446">
        <v>1668</v>
      </c>
    </row>
    <row r="1447" spans="1:14" x14ac:dyDescent="0.35">
      <c r="A1447" t="s">
        <v>1514</v>
      </c>
      <c r="B1447" t="s">
        <v>15</v>
      </c>
      <c r="C1447" t="s">
        <v>16</v>
      </c>
      <c r="D1447">
        <v>110</v>
      </c>
      <c r="E1447" t="s">
        <v>1504</v>
      </c>
      <c r="F1447">
        <v>5419</v>
      </c>
      <c r="G1447" t="s">
        <v>18</v>
      </c>
      <c r="H1447">
        <v>27</v>
      </c>
      <c r="I1447" t="s">
        <v>19</v>
      </c>
      <c r="J1447">
        <v>1996</v>
      </c>
      <c r="K1447">
        <v>1996</v>
      </c>
      <c r="L1447" t="s">
        <v>20</v>
      </c>
      <c r="M1447">
        <v>65402</v>
      </c>
      <c r="N1447">
        <v>1668</v>
      </c>
    </row>
    <row r="1448" spans="1:14" x14ac:dyDescent="0.35">
      <c r="A1448" t="s">
        <v>1515</v>
      </c>
      <c r="B1448" t="s">
        <v>15</v>
      </c>
      <c r="C1448" t="s">
        <v>16</v>
      </c>
      <c r="D1448">
        <v>110</v>
      </c>
      <c r="E1448" t="s">
        <v>1504</v>
      </c>
      <c r="F1448">
        <v>5419</v>
      </c>
      <c r="G1448" t="s">
        <v>18</v>
      </c>
      <c r="H1448">
        <v>27</v>
      </c>
      <c r="I1448" t="s">
        <v>19</v>
      </c>
      <c r="J1448">
        <v>1997</v>
      </c>
      <c r="K1448">
        <v>1997</v>
      </c>
      <c r="L1448" t="s">
        <v>20</v>
      </c>
      <c r="M1448">
        <v>64163</v>
      </c>
      <c r="N1448">
        <v>1668</v>
      </c>
    </row>
    <row r="1449" spans="1:14" x14ac:dyDescent="0.35">
      <c r="A1449" t="s">
        <v>1516</v>
      </c>
      <c r="B1449" t="s">
        <v>15</v>
      </c>
      <c r="C1449" t="s">
        <v>16</v>
      </c>
      <c r="D1449">
        <v>110</v>
      </c>
      <c r="E1449" t="s">
        <v>1504</v>
      </c>
      <c r="F1449">
        <v>5419</v>
      </c>
      <c r="G1449" t="s">
        <v>18</v>
      </c>
      <c r="H1449">
        <v>27</v>
      </c>
      <c r="I1449" t="s">
        <v>19</v>
      </c>
      <c r="J1449">
        <v>1998</v>
      </c>
      <c r="K1449">
        <v>1998</v>
      </c>
      <c r="L1449" t="s">
        <v>20</v>
      </c>
      <c r="M1449">
        <v>62188</v>
      </c>
      <c r="N1449">
        <v>1668</v>
      </c>
    </row>
    <row r="1450" spans="1:14" x14ac:dyDescent="0.35">
      <c r="A1450" t="s">
        <v>1517</v>
      </c>
      <c r="B1450" t="s">
        <v>15</v>
      </c>
      <c r="C1450" t="s">
        <v>16</v>
      </c>
      <c r="D1450">
        <v>110</v>
      </c>
      <c r="E1450" t="s">
        <v>1504</v>
      </c>
      <c r="F1450">
        <v>5419</v>
      </c>
      <c r="G1450" t="s">
        <v>18</v>
      </c>
      <c r="H1450">
        <v>27</v>
      </c>
      <c r="I1450" t="s">
        <v>19</v>
      </c>
      <c r="J1450">
        <v>1999</v>
      </c>
      <c r="K1450">
        <v>1999</v>
      </c>
      <c r="L1450" t="s">
        <v>20</v>
      </c>
      <c r="M1450">
        <v>64143</v>
      </c>
      <c r="N1450">
        <v>1668</v>
      </c>
    </row>
    <row r="1451" spans="1:14" x14ac:dyDescent="0.35">
      <c r="A1451" t="s">
        <v>1518</v>
      </c>
      <c r="B1451" t="s">
        <v>15</v>
      </c>
      <c r="C1451" t="s">
        <v>16</v>
      </c>
      <c r="D1451">
        <v>110</v>
      </c>
      <c r="E1451" t="s">
        <v>1504</v>
      </c>
      <c r="F1451">
        <v>5419</v>
      </c>
      <c r="G1451" t="s">
        <v>18</v>
      </c>
      <c r="H1451">
        <v>27</v>
      </c>
      <c r="I1451" t="s">
        <v>19</v>
      </c>
      <c r="J1451">
        <v>2000</v>
      </c>
      <c r="K1451">
        <v>2000</v>
      </c>
      <c r="L1451" t="s">
        <v>20</v>
      </c>
      <c r="M1451">
        <v>67023</v>
      </c>
      <c r="N1451">
        <v>1668</v>
      </c>
    </row>
    <row r="1452" spans="1:14" x14ac:dyDescent="0.35">
      <c r="A1452" t="s">
        <v>1519</v>
      </c>
      <c r="B1452" t="s">
        <v>15</v>
      </c>
      <c r="C1452" t="s">
        <v>16</v>
      </c>
      <c r="D1452">
        <v>110</v>
      </c>
      <c r="E1452" t="s">
        <v>1504</v>
      </c>
      <c r="F1452">
        <v>5419</v>
      </c>
      <c r="G1452" t="s">
        <v>18</v>
      </c>
      <c r="H1452">
        <v>27</v>
      </c>
      <c r="I1452" t="s">
        <v>19</v>
      </c>
      <c r="J1452">
        <v>2001</v>
      </c>
      <c r="K1452">
        <v>2001</v>
      </c>
      <c r="L1452" t="s">
        <v>20</v>
      </c>
      <c r="M1452">
        <v>66354</v>
      </c>
      <c r="N1452">
        <v>1668</v>
      </c>
    </row>
    <row r="1453" spans="1:14" x14ac:dyDescent="0.35">
      <c r="A1453" t="s">
        <v>1520</v>
      </c>
      <c r="B1453" t="s">
        <v>15</v>
      </c>
      <c r="C1453" t="s">
        <v>16</v>
      </c>
      <c r="D1453">
        <v>110</v>
      </c>
      <c r="E1453" t="s">
        <v>1504</v>
      </c>
      <c r="F1453">
        <v>5419</v>
      </c>
      <c r="G1453" t="s">
        <v>18</v>
      </c>
      <c r="H1453">
        <v>27</v>
      </c>
      <c r="I1453" t="s">
        <v>19</v>
      </c>
      <c r="J1453">
        <v>2002</v>
      </c>
      <c r="K1453">
        <v>2002</v>
      </c>
      <c r="L1453" t="s">
        <v>20</v>
      </c>
      <c r="M1453">
        <v>65823</v>
      </c>
      <c r="N1453">
        <v>1668</v>
      </c>
    </row>
    <row r="1454" spans="1:14" x14ac:dyDescent="0.35">
      <c r="A1454" t="s">
        <v>1521</v>
      </c>
      <c r="B1454" t="s">
        <v>15</v>
      </c>
      <c r="C1454" t="s">
        <v>16</v>
      </c>
      <c r="D1454">
        <v>110</v>
      </c>
      <c r="E1454" t="s">
        <v>1504</v>
      </c>
      <c r="F1454">
        <v>5419</v>
      </c>
      <c r="G1454" t="s">
        <v>18</v>
      </c>
      <c r="H1454">
        <v>27</v>
      </c>
      <c r="I1454" t="s">
        <v>19</v>
      </c>
      <c r="J1454">
        <v>2004</v>
      </c>
      <c r="K1454">
        <v>2004</v>
      </c>
      <c r="L1454" t="s">
        <v>20</v>
      </c>
      <c r="M1454">
        <v>64150</v>
      </c>
      <c r="N1454">
        <v>1668</v>
      </c>
    </row>
    <row r="1455" spans="1:14" x14ac:dyDescent="0.35">
      <c r="A1455" t="s">
        <v>1522</v>
      </c>
      <c r="B1455" t="s">
        <v>15</v>
      </c>
      <c r="C1455" t="s">
        <v>16</v>
      </c>
      <c r="D1455">
        <v>110</v>
      </c>
      <c r="E1455" t="s">
        <v>1504</v>
      </c>
      <c r="F1455">
        <v>5419</v>
      </c>
      <c r="G1455" t="s">
        <v>18</v>
      </c>
      <c r="H1455">
        <v>27</v>
      </c>
      <c r="I1455" t="s">
        <v>19</v>
      </c>
      <c r="J1455">
        <v>2005</v>
      </c>
      <c r="K1455">
        <v>2005</v>
      </c>
      <c r="L1455" t="s">
        <v>20</v>
      </c>
      <c r="M1455">
        <v>66483</v>
      </c>
      <c r="N1455">
        <v>1668</v>
      </c>
    </row>
    <row r="1456" spans="1:14" x14ac:dyDescent="0.35">
      <c r="A1456" t="s">
        <v>1523</v>
      </c>
      <c r="B1456" t="s">
        <v>15</v>
      </c>
      <c r="C1456" t="s">
        <v>16</v>
      </c>
      <c r="D1456">
        <v>110</v>
      </c>
      <c r="E1456" t="s">
        <v>1504</v>
      </c>
      <c r="F1456">
        <v>5419</v>
      </c>
      <c r="G1456" t="s">
        <v>18</v>
      </c>
      <c r="H1456">
        <v>27</v>
      </c>
      <c r="I1456" t="s">
        <v>19</v>
      </c>
      <c r="J1456">
        <v>2006</v>
      </c>
      <c r="K1456">
        <v>2006</v>
      </c>
      <c r="L1456" t="s">
        <v>20</v>
      </c>
      <c r="M1456">
        <v>63359</v>
      </c>
      <c r="N1456">
        <v>1668</v>
      </c>
    </row>
    <row r="1457" spans="1:14" x14ac:dyDescent="0.35">
      <c r="A1457" t="s">
        <v>1524</v>
      </c>
      <c r="B1457" t="s">
        <v>15</v>
      </c>
      <c r="C1457" t="s">
        <v>16</v>
      </c>
      <c r="D1457">
        <v>110</v>
      </c>
      <c r="E1457" t="s">
        <v>1504</v>
      </c>
      <c r="F1457">
        <v>5419</v>
      </c>
      <c r="G1457" t="s">
        <v>18</v>
      </c>
      <c r="H1457">
        <v>27</v>
      </c>
      <c r="I1457" t="s">
        <v>19</v>
      </c>
      <c r="J1457">
        <v>2007</v>
      </c>
      <c r="K1457">
        <v>2007</v>
      </c>
      <c r="L1457" t="s">
        <v>20</v>
      </c>
      <c r="M1457">
        <v>65111</v>
      </c>
      <c r="N1457">
        <v>1668</v>
      </c>
    </row>
    <row r="1458" spans="1:14" x14ac:dyDescent="0.35">
      <c r="A1458" t="s">
        <v>1525</v>
      </c>
      <c r="B1458" t="s">
        <v>15</v>
      </c>
      <c r="C1458" t="s">
        <v>16</v>
      </c>
      <c r="D1458">
        <v>110</v>
      </c>
      <c r="E1458" t="s">
        <v>1504</v>
      </c>
      <c r="F1458">
        <v>5419</v>
      </c>
      <c r="G1458" t="s">
        <v>18</v>
      </c>
      <c r="H1458">
        <v>27</v>
      </c>
      <c r="I1458" t="s">
        <v>19</v>
      </c>
      <c r="J1458">
        <v>2008</v>
      </c>
      <c r="K1458">
        <v>2008</v>
      </c>
      <c r="L1458" t="s">
        <v>20</v>
      </c>
      <c r="M1458">
        <v>67786</v>
      </c>
      <c r="N1458">
        <v>1668</v>
      </c>
    </row>
    <row r="1459" spans="1:14" x14ac:dyDescent="0.35">
      <c r="A1459" t="s">
        <v>1526</v>
      </c>
      <c r="B1459" t="s">
        <v>15</v>
      </c>
      <c r="C1459" t="s">
        <v>16</v>
      </c>
      <c r="D1459">
        <v>110</v>
      </c>
      <c r="E1459" t="s">
        <v>1504</v>
      </c>
      <c r="F1459">
        <v>5419</v>
      </c>
      <c r="G1459" t="s">
        <v>18</v>
      </c>
      <c r="H1459">
        <v>27</v>
      </c>
      <c r="I1459" t="s">
        <v>19</v>
      </c>
      <c r="J1459">
        <v>2009</v>
      </c>
      <c r="K1459">
        <v>2009</v>
      </c>
      <c r="L1459" t="s">
        <v>20</v>
      </c>
      <c r="M1459">
        <v>65222</v>
      </c>
      <c r="N1459">
        <v>1668</v>
      </c>
    </row>
    <row r="1460" spans="1:14" x14ac:dyDescent="0.35">
      <c r="A1460" t="s">
        <v>1527</v>
      </c>
      <c r="B1460" t="s">
        <v>15</v>
      </c>
      <c r="C1460" t="s">
        <v>16</v>
      </c>
      <c r="D1460">
        <v>110</v>
      </c>
      <c r="E1460" t="s">
        <v>1504</v>
      </c>
      <c r="F1460">
        <v>5419</v>
      </c>
      <c r="G1460" t="s">
        <v>18</v>
      </c>
      <c r="H1460">
        <v>27</v>
      </c>
      <c r="I1460" t="s">
        <v>19</v>
      </c>
      <c r="J1460">
        <v>2010</v>
      </c>
      <c r="K1460">
        <v>2010</v>
      </c>
      <c r="L1460" t="s">
        <v>20</v>
      </c>
      <c r="M1460">
        <v>65135</v>
      </c>
      <c r="N1460">
        <v>1668</v>
      </c>
    </row>
    <row r="1461" spans="1:14" x14ac:dyDescent="0.35">
      <c r="A1461" t="s">
        <v>1528</v>
      </c>
      <c r="B1461" t="s">
        <v>15</v>
      </c>
      <c r="C1461" t="s">
        <v>16</v>
      </c>
      <c r="D1461">
        <v>110</v>
      </c>
      <c r="E1461" t="s">
        <v>1504</v>
      </c>
      <c r="F1461">
        <v>5419</v>
      </c>
      <c r="G1461" t="s">
        <v>18</v>
      </c>
      <c r="H1461">
        <v>27</v>
      </c>
      <c r="I1461" t="s">
        <v>19</v>
      </c>
      <c r="J1461">
        <v>2011</v>
      </c>
      <c r="K1461">
        <v>2011</v>
      </c>
      <c r="L1461" t="s">
        <v>20</v>
      </c>
      <c r="M1461">
        <v>66624</v>
      </c>
      <c r="N1461">
        <v>1668</v>
      </c>
    </row>
    <row r="1462" spans="1:14" x14ac:dyDescent="0.35">
      <c r="A1462" t="s">
        <v>1529</v>
      </c>
      <c r="B1462" t="s">
        <v>15</v>
      </c>
      <c r="C1462" t="s">
        <v>16</v>
      </c>
      <c r="D1462">
        <v>110</v>
      </c>
      <c r="E1462" t="s">
        <v>1504</v>
      </c>
      <c r="F1462">
        <v>5419</v>
      </c>
      <c r="G1462" t="s">
        <v>18</v>
      </c>
      <c r="H1462">
        <v>27</v>
      </c>
      <c r="I1462" t="s">
        <v>19</v>
      </c>
      <c r="J1462">
        <v>2012</v>
      </c>
      <c r="K1462">
        <v>2012</v>
      </c>
      <c r="L1462" t="s">
        <v>20</v>
      </c>
      <c r="M1462">
        <v>67388</v>
      </c>
      <c r="N1462">
        <v>1668</v>
      </c>
    </row>
    <row r="1463" spans="1:14" x14ac:dyDescent="0.35">
      <c r="A1463" t="s">
        <v>1530</v>
      </c>
      <c r="B1463" t="s">
        <v>15</v>
      </c>
      <c r="C1463" t="s">
        <v>16</v>
      </c>
      <c r="D1463">
        <v>110</v>
      </c>
      <c r="E1463" t="s">
        <v>1504</v>
      </c>
      <c r="F1463">
        <v>5419</v>
      </c>
      <c r="G1463" t="s">
        <v>18</v>
      </c>
      <c r="H1463">
        <v>27</v>
      </c>
      <c r="I1463" t="s">
        <v>19</v>
      </c>
      <c r="J1463">
        <v>2013</v>
      </c>
      <c r="K1463">
        <v>2013</v>
      </c>
      <c r="L1463" t="s">
        <v>20</v>
      </c>
      <c r="M1463">
        <v>67280</v>
      </c>
      <c r="N1463">
        <v>1668</v>
      </c>
    </row>
    <row r="1464" spans="1:14" x14ac:dyDescent="0.35">
      <c r="A1464" t="s">
        <v>1531</v>
      </c>
      <c r="B1464" t="s">
        <v>15</v>
      </c>
      <c r="C1464" t="s">
        <v>16</v>
      </c>
      <c r="D1464">
        <v>110</v>
      </c>
      <c r="E1464" t="s">
        <v>1504</v>
      </c>
      <c r="F1464">
        <v>5419</v>
      </c>
      <c r="G1464" t="s">
        <v>18</v>
      </c>
      <c r="H1464">
        <v>27</v>
      </c>
      <c r="I1464" t="s">
        <v>19</v>
      </c>
      <c r="J1464">
        <v>2014</v>
      </c>
      <c r="K1464">
        <v>2014</v>
      </c>
      <c r="L1464" t="s">
        <v>20</v>
      </c>
      <c r="M1464">
        <v>66978</v>
      </c>
      <c r="N1464">
        <v>1668</v>
      </c>
    </row>
    <row r="1465" spans="1:14" x14ac:dyDescent="0.35">
      <c r="A1465" t="s">
        <v>1532</v>
      </c>
      <c r="B1465" t="s">
        <v>15</v>
      </c>
      <c r="C1465" t="s">
        <v>16</v>
      </c>
      <c r="D1465">
        <v>110</v>
      </c>
      <c r="E1465" t="s">
        <v>1504</v>
      </c>
      <c r="F1465">
        <v>5419</v>
      </c>
      <c r="G1465" t="s">
        <v>18</v>
      </c>
      <c r="H1465">
        <v>27</v>
      </c>
      <c r="I1465" t="s">
        <v>19</v>
      </c>
      <c r="J1465">
        <v>2015</v>
      </c>
      <c r="K1465">
        <v>2015</v>
      </c>
      <c r="L1465" t="s">
        <v>20</v>
      </c>
      <c r="M1465">
        <v>66308</v>
      </c>
      <c r="N1465">
        <v>1668</v>
      </c>
    </row>
    <row r="1466" spans="1:14" x14ac:dyDescent="0.35">
      <c r="A1466" t="s">
        <v>1533</v>
      </c>
      <c r="B1466" t="s">
        <v>15</v>
      </c>
      <c r="C1466" t="s">
        <v>16</v>
      </c>
      <c r="D1466">
        <v>110</v>
      </c>
      <c r="E1466" t="s">
        <v>1504</v>
      </c>
      <c r="F1466">
        <v>5419</v>
      </c>
      <c r="G1466" t="s">
        <v>18</v>
      </c>
      <c r="H1466">
        <v>27</v>
      </c>
      <c r="I1466" t="s">
        <v>19</v>
      </c>
      <c r="J1466">
        <v>2016</v>
      </c>
      <c r="K1466">
        <v>2016</v>
      </c>
      <c r="L1466" t="s">
        <v>20</v>
      </c>
      <c r="M1466">
        <v>54388</v>
      </c>
      <c r="N1466">
        <v>1668</v>
      </c>
    </row>
    <row r="1467" spans="1:14" x14ac:dyDescent="0.35">
      <c r="A1467" t="s">
        <v>1534</v>
      </c>
      <c r="B1467" t="s">
        <v>15</v>
      </c>
      <c r="C1467" t="s">
        <v>16</v>
      </c>
      <c r="D1467">
        <v>108</v>
      </c>
      <c r="E1467" t="s">
        <v>1535</v>
      </c>
      <c r="F1467">
        <v>5419</v>
      </c>
      <c r="G1467" t="s">
        <v>18</v>
      </c>
      <c r="H1467">
        <v>27</v>
      </c>
      <c r="I1467" t="s">
        <v>19</v>
      </c>
      <c r="J1467">
        <v>1992</v>
      </c>
      <c r="K1467">
        <v>1992</v>
      </c>
      <c r="L1467" t="s">
        <v>20</v>
      </c>
      <c r="M1467">
        <v>39915</v>
      </c>
      <c r="N1467">
        <v>250</v>
      </c>
    </row>
    <row r="1468" spans="1:14" x14ac:dyDescent="0.35">
      <c r="A1468" t="s">
        <v>1536</v>
      </c>
      <c r="B1468" t="s">
        <v>15</v>
      </c>
      <c r="C1468" t="s">
        <v>16</v>
      </c>
      <c r="D1468">
        <v>108</v>
      </c>
      <c r="E1468" t="s">
        <v>1535</v>
      </c>
      <c r="F1468">
        <v>5419</v>
      </c>
      <c r="G1468" t="s">
        <v>18</v>
      </c>
      <c r="H1468">
        <v>27</v>
      </c>
      <c r="I1468" t="s">
        <v>19</v>
      </c>
      <c r="J1468">
        <v>1993</v>
      </c>
      <c r="K1468">
        <v>1993</v>
      </c>
      <c r="L1468" t="s">
        <v>20</v>
      </c>
      <c r="M1468">
        <v>36871</v>
      </c>
      <c r="N1468">
        <v>250</v>
      </c>
    </row>
    <row r="1469" spans="1:14" x14ac:dyDescent="0.35">
      <c r="A1469" t="s">
        <v>1537</v>
      </c>
      <c r="B1469" t="s">
        <v>15</v>
      </c>
      <c r="C1469" t="s">
        <v>16</v>
      </c>
      <c r="D1469">
        <v>108</v>
      </c>
      <c r="E1469" t="s">
        <v>1535</v>
      </c>
      <c r="F1469">
        <v>5419</v>
      </c>
      <c r="G1469" t="s">
        <v>18</v>
      </c>
      <c r="H1469">
        <v>27</v>
      </c>
      <c r="I1469" t="s">
        <v>19</v>
      </c>
      <c r="J1469">
        <v>1994</v>
      </c>
      <c r="K1469">
        <v>1994</v>
      </c>
      <c r="L1469" t="s">
        <v>20</v>
      </c>
      <c r="M1469">
        <v>27937</v>
      </c>
      <c r="N1469">
        <v>250</v>
      </c>
    </row>
    <row r="1470" spans="1:14" x14ac:dyDescent="0.35">
      <c r="A1470" t="s">
        <v>1538</v>
      </c>
      <c r="B1470" t="s">
        <v>15</v>
      </c>
      <c r="C1470" t="s">
        <v>16</v>
      </c>
      <c r="D1470">
        <v>108</v>
      </c>
      <c r="E1470" t="s">
        <v>1535</v>
      </c>
      <c r="F1470">
        <v>5419</v>
      </c>
      <c r="G1470" t="s">
        <v>18</v>
      </c>
      <c r="H1470">
        <v>27</v>
      </c>
      <c r="I1470" t="s">
        <v>19</v>
      </c>
      <c r="J1470">
        <v>1995</v>
      </c>
      <c r="K1470">
        <v>1995</v>
      </c>
      <c r="L1470" t="s">
        <v>20</v>
      </c>
      <c r="M1470">
        <v>21932</v>
      </c>
      <c r="N1470">
        <v>250</v>
      </c>
    </row>
    <row r="1471" spans="1:14" x14ac:dyDescent="0.35">
      <c r="A1471" t="s">
        <v>1539</v>
      </c>
      <c r="B1471" t="s">
        <v>15</v>
      </c>
      <c r="C1471" t="s">
        <v>16</v>
      </c>
      <c r="D1471">
        <v>108</v>
      </c>
      <c r="E1471" t="s">
        <v>1535</v>
      </c>
      <c r="F1471">
        <v>5419</v>
      </c>
      <c r="G1471" t="s">
        <v>18</v>
      </c>
      <c r="H1471">
        <v>27</v>
      </c>
      <c r="I1471" t="s">
        <v>19</v>
      </c>
      <c r="J1471">
        <v>1996</v>
      </c>
      <c r="K1471">
        <v>1996</v>
      </c>
      <c r="L1471" t="s">
        <v>20</v>
      </c>
      <c r="M1471">
        <v>26155</v>
      </c>
      <c r="N1471">
        <v>250</v>
      </c>
    </row>
    <row r="1472" spans="1:14" x14ac:dyDescent="0.35">
      <c r="A1472" t="s">
        <v>1540</v>
      </c>
      <c r="B1472" t="s">
        <v>15</v>
      </c>
      <c r="C1472" t="s">
        <v>16</v>
      </c>
      <c r="D1472">
        <v>108</v>
      </c>
      <c r="E1472" t="s">
        <v>1535</v>
      </c>
      <c r="F1472">
        <v>5419</v>
      </c>
      <c r="G1472" t="s">
        <v>18</v>
      </c>
      <c r="H1472">
        <v>27</v>
      </c>
      <c r="I1472" t="s">
        <v>19</v>
      </c>
      <c r="J1472">
        <v>1997</v>
      </c>
      <c r="K1472">
        <v>1997</v>
      </c>
      <c r="L1472" t="s">
        <v>20</v>
      </c>
      <c r="M1472">
        <v>30765</v>
      </c>
      <c r="N1472">
        <v>250</v>
      </c>
    </row>
    <row r="1473" spans="1:14" x14ac:dyDescent="0.35">
      <c r="A1473" t="s">
        <v>1541</v>
      </c>
      <c r="B1473" t="s">
        <v>15</v>
      </c>
      <c r="C1473" t="s">
        <v>16</v>
      </c>
      <c r="D1473">
        <v>108</v>
      </c>
      <c r="E1473" t="s">
        <v>1535</v>
      </c>
      <c r="F1473">
        <v>5419</v>
      </c>
      <c r="G1473" t="s">
        <v>18</v>
      </c>
      <c r="H1473">
        <v>27</v>
      </c>
      <c r="I1473" t="s">
        <v>19</v>
      </c>
      <c r="J1473">
        <v>1998</v>
      </c>
      <c r="K1473">
        <v>1998</v>
      </c>
      <c r="L1473" t="s">
        <v>20</v>
      </c>
      <c r="M1473">
        <v>32162</v>
      </c>
      <c r="N1473">
        <v>250</v>
      </c>
    </row>
    <row r="1474" spans="1:14" x14ac:dyDescent="0.35">
      <c r="A1474" t="s">
        <v>1542</v>
      </c>
      <c r="B1474" t="s">
        <v>15</v>
      </c>
      <c r="C1474" t="s">
        <v>16</v>
      </c>
      <c r="D1474">
        <v>108</v>
      </c>
      <c r="E1474" t="s">
        <v>1535</v>
      </c>
      <c r="F1474">
        <v>5419</v>
      </c>
      <c r="G1474" t="s">
        <v>18</v>
      </c>
      <c r="H1474">
        <v>27</v>
      </c>
      <c r="I1474" t="s">
        <v>19</v>
      </c>
      <c r="J1474">
        <v>1999</v>
      </c>
      <c r="K1474">
        <v>1999</v>
      </c>
      <c r="L1474" t="s">
        <v>20</v>
      </c>
      <c r="M1474">
        <v>28070</v>
      </c>
      <c r="N1474">
        <v>250</v>
      </c>
    </row>
    <row r="1475" spans="1:14" x14ac:dyDescent="0.35">
      <c r="A1475" t="s">
        <v>1543</v>
      </c>
      <c r="B1475" t="s">
        <v>15</v>
      </c>
      <c r="C1475" t="s">
        <v>16</v>
      </c>
      <c r="D1475">
        <v>108</v>
      </c>
      <c r="E1475" t="s">
        <v>1535</v>
      </c>
      <c r="F1475">
        <v>5419</v>
      </c>
      <c r="G1475" t="s">
        <v>18</v>
      </c>
      <c r="H1475">
        <v>27</v>
      </c>
      <c r="I1475" t="s">
        <v>19</v>
      </c>
      <c r="J1475">
        <v>2000</v>
      </c>
      <c r="K1475">
        <v>2000</v>
      </c>
      <c r="L1475" t="s">
        <v>20</v>
      </c>
      <c r="M1475">
        <v>29723</v>
      </c>
      <c r="N1475">
        <v>250</v>
      </c>
    </row>
    <row r="1476" spans="1:14" x14ac:dyDescent="0.35">
      <c r="A1476" t="s">
        <v>1544</v>
      </c>
      <c r="B1476" t="s">
        <v>15</v>
      </c>
      <c r="C1476" t="s">
        <v>16</v>
      </c>
      <c r="D1476">
        <v>108</v>
      </c>
      <c r="E1476" t="s">
        <v>1535</v>
      </c>
      <c r="F1476">
        <v>5419</v>
      </c>
      <c r="G1476" t="s">
        <v>18</v>
      </c>
      <c r="H1476">
        <v>27</v>
      </c>
      <c r="I1476" t="s">
        <v>19</v>
      </c>
      <c r="J1476">
        <v>2001</v>
      </c>
      <c r="K1476">
        <v>2001</v>
      </c>
      <c r="L1476" t="s">
        <v>20</v>
      </c>
      <c r="M1476">
        <v>28714</v>
      </c>
      <c r="N1476">
        <v>250</v>
      </c>
    </row>
    <row r="1477" spans="1:14" x14ac:dyDescent="0.35">
      <c r="A1477" t="s">
        <v>1545</v>
      </c>
      <c r="B1477" t="s">
        <v>15</v>
      </c>
      <c r="C1477" t="s">
        <v>16</v>
      </c>
      <c r="D1477">
        <v>108</v>
      </c>
      <c r="E1477" t="s">
        <v>1535</v>
      </c>
      <c r="F1477">
        <v>5419</v>
      </c>
      <c r="G1477" t="s">
        <v>18</v>
      </c>
      <c r="H1477">
        <v>27</v>
      </c>
      <c r="I1477" t="s">
        <v>19</v>
      </c>
      <c r="J1477">
        <v>2002</v>
      </c>
      <c r="K1477">
        <v>2002</v>
      </c>
      <c r="L1477" t="s">
        <v>20</v>
      </c>
      <c r="M1477">
        <v>30288</v>
      </c>
      <c r="N1477">
        <v>250</v>
      </c>
    </row>
    <row r="1478" spans="1:14" x14ac:dyDescent="0.35">
      <c r="A1478" t="s">
        <v>1546</v>
      </c>
      <c r="B1478" t="s">
        <v>15</v>
      </c>
      <c r="C1478" t="s">
        <v>16</v>
      </c>
      <c r="D1478">
        <v>108</v>
      </c>
      <c r="E1478" t="s">
        <v>1535</v>
      </c>
      <c r="F1478">
        <v>5419</v>
      </c>
      <c r="G1478" t="s">
        <v>18</v>
      </c>
      <c r="H1478">
        <v>27</v>
      </c>
      <c r="I1478" t="s">
        <v>19</v>
      </c>
      <c r="J1478">
        <v>2004</v>
      </c>
      <c r="K1478">
        <v>2004</v>
      </c>
      <c r="L1478" t="s">
        <v>20</v>
      </c>
      <c r="M1478">
        <v>34182</v>
      </c>
      <c r="N1478">
        <v>250</v>
      </c>
    </row>
    <row r="1479" spans="1:14" x14ac:dyDescent="0.35">
      <c r="A1479" t="s">
        <v>1547</v>
      </c>
      <c r="B1479" t="s">
        <v>15</v>
      </c>
      <c r="C1479" t="s">
        <v>16</v>
      </c>
      <c r="D1479">
        <v>108</v>
      </c>
      <c r="E1479" t="s">
        <v>1535</v>
      </c>
      <c r="F1479">
        <v>5419</v>
      </c>
      <c r="G1479" t="s">
        <v>18</v>
      </c>
      <c r="H1479">
        <v>27</v>
      </c>
      <c r="I1479" t="s">
        <v>19</v>
      </c>
      <c r="J1479">
        <v>2005</v>
      </c>
      <c r="K1479">
        <v>2005</v>
      </c>
      <c r="L1479" t="s">
        <v>20</v>
      </c>
      <c r="M1479">
        <v>33518</v>
      </c>
      <c r="N1479">
        <v>250</v>
      </c>
    </row>
    <row r="1480" spans="1:14" x14ac:dyDescent="0.35">
      <c r="A1480" t="s">
        <v>1548</v>
      </c>
      <c r="B1480" t="s">
        <v>15</v>
      </c>
      <c r="C1480" t="s">
        <v>16</v>
      </c>
      <c r="D1480">
        <v>108</v>
      </c>
      <c r="E1480" t="s">
        <v>1535</v>
      </c>
      <c r="F1480">
        <v>5419</v>
      </c>
      <c r="G1480" t="s">
        <v>18</v>
      </c>
      <c r="H1480">
        <v>27</v>
      </c>
      <c r="I1480" t="s">
        <v>19</v>
      </c>
      <c r="J1480">
        <v>2006</v>
      </c>
      <c r="K1480">
        <v>2006</v>
      </c>
      <c r="L1480" t="s">
        <v>20</v>
      </c>
      <c r="M1480">
        <v>32966</v>
      </c>
      <c r="N1480">
        <v>250</v>
      </c>
    </row>
    <row r="1481" spans="1:14" x14ac:dyDescent="0.35">
      <c r="A1481" t="s">
        <v>1549</v>
      </c>
      <c r="B1481" t="s">
        <v>15</v>
      </c>
      <c r="C1481" t="s">
        <v>16</v>
      </c>
      <c r="D1481">
        <v>108</v>
      </c>
      <c r="E1481" t="s">
        <v>1535</v>
      </c>
      <c r="F1481">
        <v>5419</v>
      </c>
      <c r="G1481" t="s">
        <v>18</v>
      </c>
      <c r="H1481">
        <v>27</v>
      </c>
      <c r="I1481" t="s">
        <v>19</v>
      </c>
      <c r="J1481">
        <v>2007</v>
      </c>
      <c r="K1481">
        <v>2007</v>
      </c>
      <c r="L1481" t="s">
        <v>20</v>
      </c>
      <c r="M1481">
        <v>33678</v>
      </c>
      <c r="N1481">
        <v>250</v>
      </c>
    </row>
    <row r="1482" spans="1:14" x14ac:dyDescent="0.35">
      <c r="A1482" t="s">
        <v>1550</v>
      </c>
      <c r="B1482" t="s">
        <v>15</v>
      </c>
      <c r="C1482" t="s">
        <v>16</v>
      </c>
      <c r="D1482">
        <v>108</v>
      </c>
      <c r="E1482" t="s">
        <v>1535</v>
      </c>
      <c r="F1482">
        <v>5419</v>
      </c>
      <c r="G1482" t="s">
        <v>18</v>
      </c>
      <c r="H1482">
        <v>27</v>
      </c>
      <c r="I1482" t="s">
        <v>19</v>
      </c>
      <c r="J1482">
        <v>2008</v>
      </c>
      <c r="K1482">
        <v>2008</v>
      </c>
      <c r="L1482" t="s">
        <v>20</v>
      </c>
      <c r="M1482">
        <v>33736</v>
      </c>
      <c r="N1482">
        <v>250</v>
      </c>
    </row>
    <row r="1483" spans="1:14" x14ac:dyDescent="0.35">
      <c r="A1483" t="s">
        <v>1551</v>
      </c>
      <c r="B1483" t="s">
        <v>15</v>
      </c>
      <c r="C1483" t="s">
        <v>16</v>
      </c>
      <c r="D1483">
        <v>108</v>
      </c>
      <c r="E1483" t="s">
        <v>1535</v>
      </c>
      <c r="F1483">
        <v>5419</v>
      </c>
      <c r="G1483" t="s">
        <v>18</v>
      </c>
      <c r="H1483">
        <v>27</v>
      </c>
      <c r="I1483" t="s">
        <v>19</v>
      </c>
      <c r="J1483">
        <v>2009</v>
      </c>
      <c r="K1483">
        <v>2009</v>
      </c>
      <c r="L1483" t="s">
        <v>20</v>
      </c>
      <c r="M1483">
        <v>35323</v>
      </c>
      <c r="N1483">
        <v>250</v>
      </c>
    </row>
    <row r="1484" spans="1:14" x14ac:dyDescent="0.35">
      <c r="A1484" t="s">
        <v>1552</v>
      </c>
      <c r="B1484" t="s">
        <v>15</v>
      </c>
      <c r="C1484" t="s">
        <v>16</v>
      </c>
      <c r="D1484">
        <v>108</v>
      </c>
      <c r="E1484" t="s">
        <v>1535</v>
      </c>
      <c r="F1484">
        <v>5419</v>
      </c>
      <c r="G1484" t="s">
        <v>18</v>
      </c>
      <c r="H1484">
        <v>27</v>
      </c>
      <c r="I1484" t="s">
        <v>19</v>
      </c>
      <c r="J1484">
        <v>2010</v>
      </c>
      <c r="K1484">
        <v>2010</v>
      </c>
      <c r="L1484" t="s">
        <v>20</v>
      </c>
      <c r="M1484">
        <v>39697</v>
      </c>
      <c r="N1484">
        <v>250</v>
      </c>
    </row>
    <row r="1485" spans="1:14" x14ac:dyDescent="0.35">
      <c r="A1485" t="s">
        <v>1553</v>
      </c>
      <c r="B1485" t="s">
        <v>15</v>
      </c>
      <c r="C1485" t="s">
        <v>16</v>
      </c>
      <c r="D1485">
        <v>108</v>
      </c>
      <c r="E1485" t="s">
        <v>1535</v>
      </c>
      <c r="F1485">
        <v>5419</v>
      </c>
      <c r="G1485" t="s">
        <v>18</v>
      </c>
      <c r="H1485">
        <v>27</v>
      </c>
      <c r="I1485" t="s">
        <v>19</v>
      </c>
      <c r="J1485">
        <v>2011</v>
      </c>
      <c r="K1485">
        <v>2011</v>
      </c>
      <c r="L1485" t="s">
        <v>20</v>
      </c>
      <c r="M1485">
        <v>37152</v>
      </c>
      <c r="N1485">
        <v>250</v>
      </c>
    </row>
    <row r="1486" spans="1:14" x14ac:dyDescent="0.35">
      <c r="A1486" t="s">
        <v>1554</v>
      </c>
      <c r="B1486" t="s">
        <v>15</v>
      </c>
      <c r="C1486" t="s">
        <v>16</v>
      </c>
      <c r="D1486">
        <v>108</v>
      </c>
      <c r="E1486" t="s">
        <v>1535</v>
      </c>
      <c r="F1486">
        <v>5419</v>
      </c>
      <c r="G1486" t="s">
        <v>18</v>
      </c>
      <c r="H1486">
        <v>27</v>
      </c>
      <c r="I1486" t="s">
        <v>19</v>
      </c>
      <c r="J1486">
        <v>2012</v>
      </c>
      <c r="K1486">
        <v>2012</v>
      </c>
      <c r="L1486" t="s">
        <v>20</v>
      </c>
      <c r="M1486">
        <v>37712</v>
      </c>
      <c r="N1486">
        <v>250</v>
      </c>
    </row>
    <row r="1487" spans="1:14" x14ac:dyDescent="0.35">
      <c r="A1487" t="s">
        <v>1555</v>
      </c>
      <c r="B1487" t="s">
        <v>15</v>
      </c>
      <c r="C1487" t="s">
        <v>16</v>
      </c>
      <c r="D1487">
        <v>108</v>
      </c>
      <c r="E1487" t="s">
        <v>1535</v>
      </c>
      <c r="F1487">
        <v>5419</v>
      </c>
      <c r="G1487" t="s">
        <v>18</v>
      </c>
      <c r="H1487">
        <v>27</v>
      </c>
      <c r="I1487" t="s">
        <v>19</v>
      </c>
      <c r="J1487">
        <v>2013</v>
      </c>
      <c r="K1487">
        <v>2013</v>
      </c>
      <c r="L1487" t="s">
        <v>20</v>
      </c>
      <c r="M1487">
        <v>38500</v>
      </c>
      <c r="N1487">
        <v>250</v>
      </c>
    </row>
    <row r="1488" spans="1:14" x14ac:dyDescent="0.35">
      <c r="A1488" t="s">
        <v>1556</v>
      </c>
      <c r="B1488" t="s">
        <v>15</v>
      </c>
      <c r="C1488" t="s">
        <v>16</v>
      </c>
      <c r="D1488">
        <v>108</v>
      </c>
      <c r="E1488" t="s">
        <v>1535</v>
      </c>
      <c r="F1488">
        <v>5419</v>
      </c>
      <c r="G1488" t="s">
        <v>18</v>
      </c>
      <c r="H1488">
        <v>27</v>
      </c>
      <c r="I1488" t="s">
        <v>19</v>
      </c>
      <c r="J1488">
        <v>2014</v>
      </c>
      <c r="K1488">
        <v>2014</v>
      </c>
      <c r="L1488" t="s">
        <v>20</v>
      </c>
      <c r="M1488">
        <v>39573</v>
      </c>
      <c r="N1488">
        <v>250</v>
      </c>
    </row>
    <row r="1489" spans="1:14" x14ac:dyDescent="0.35">
      <c r="A1489" t="s">
        <v>1557</v>
      </c>
      <c r="B1489" t="s">
        <v>15</v>
      </c>
      <c r="C1489" t="s">
        <v>16</v>
      </c>
      <c r="D1489">
        <v>108</v>
      </c>
      <c r="E1489" t="s">
        <v>1535</v>
      </c>
      <c r="F1489">
        <v>5419</v>
      </c>
      <c r="G1489" t="s">
        <v>18</v>
      </c>
      <c r="H1489">
        <v>27</v>
      </c>
      <c r="I1489" t="s">
        <v>19</v>
      </c>
      <c r="J1489">
        <v>2015</v>
      </c>
      <c r="K1489">
        <v>2015</v>
      </c>
      <c r="L1489" t="s">
        <v>20</v>
      </c>
      <c r="M1489">
        <v>42756</v>
      </c>
      <c r="N1489">
        <v>250</v>
      </c>
    </row>
    <row r="1490" spans="1:14" x14ac:dyDescent="0.35">
      <c r="A1490" t="s">
        <v>1558</v>
      </c>
      <c r="B1490" t="s">
        <v>15</v>
      </c>
      <c r="C1490" t="s">
        <v>16</v>
      </c>
      <c r="D1490">
        <v>108</v>
      </c>
      <c r="E1490" t="s">
        <v>1535</v>
      </c>
      <c r="F1490">
        <v>5419</v>
      </c>
      <c r="G1490" t="s">
        <v>18</v>
      </c>
      <c r="H1490">
        <v>27</v>
      </c>
      <c r="I1490" t="s">
        <v>19</v>
      </c>
      <c r="J1490">
        <v>2016</v>
      </c>
      <c r="K1490">
        <v>2016</v>
      </c>
      <c r="L1490" t="s">
        <v>20</v>
      </c>
      <c r="M1490">
        <v>47480</v>
      </c>
      <c r="N1490">
        <v>250</v>
      </c>
    </row>
    <row r="1491" spans="1:14" x14ac:dyDescent="0.35">
      <c r="A1491" t="s">
        <v>1559</v>
      </c>
      <c r="B1491" t="s">
        <v>15</v>
      </c>
      <c r="C1491" t="s">
        <v>16</v>
      </c>
      <c r="D1491">
        <v>114</v>
      </c>
      <c r="E1491" t="s">
        <v>1560</v>
      </c>
      <c r="F1491">
        <v>5419</v>
      </c>
      <c r="G1491" t="s">
        <v>18</v>
      </c>
      <c r="H1491">
        <v>27</v>
      </c>
      <c r="I1491" t="s">
        <v>19</v>
      </c>
      <c r="J1491">
        <v>1985</v>
      </c>
      <c r="K1491">
        <v>1985</v>
      </c>
      <c r="L1491" t="s">
        <v>20</v>
      </c>
      <c r="M1491">
        <v>26700</v>
      </c>
      <c r="N1491">
        <v>630</v>
      </c>
    </row>
    <row r="1492" spans="1:14" x14ac:dyDescent="0.35">
      <c r="A1492" t="s">
        <v>1561</v>
      </c>
      <c r="B1492" t="s">
        <v>15</v>
      </c>
      <c r="C1492" t="s">
        <v>16</v>
      </c>
      <c r="D1492">
        <v>114</v>
      </c>
      <c r="E1492" t="s">
        <v>1560</v>
      </c>
      <c r="F1492">
        <v>5419</v>
      </c>
      <c r="G1492" t="s">
        <v>18</v>
      </c>
      <c r="H1492">
        <v>27</v>
      </c>
      <c r="I1492" t="s">
        <v>19</v>
      </c>
      <c r="J1492">
        <v>1986</v>
      </c>
      <c r="K1492">
        <v>1986</v>
      </c>
      <c r="L1492" t="s">
        <v>20</v>
      </c>
      <c r="M1492">
        <v>31491</v>
      </c>
      <c r="N1492">
        <v>630</v>
      </c>
    </row>
    <row r="1493" spans="1:14" x14ac:dyDescent="0.35">
      <c r="A1493" t="s">
        <v>1562</v>
      </c>
      <c r="B1493" t="s">
        <v>15</v>
      </c>
      <c r="C1493" t="s">
        <v>16</v>
      </c>
      <c r="D1493">
        <v>114</v>
      </c>
      <c r="E1493" t="s">
        <v>1560</v>
      </c>
      <c r="F1493">
        <v>5419</v>
      </c>
      <c r="G1493" t="s">
        <v>18</v>
      </c>
      <c r="H1493">
        <v>27</v>
      </c>
      <c r="I1493" t="s">
        <v>19</v>
      </c>
      <c r="J1493">
        <v>1987</v>
      </c>
      <c r="K1493">
        <v>1987</v>
      </c>
      <c r="L1493" t="s">
        <v>20</v>
      </c>
      <c r="M1493">
        <v>31034</v>
      </c>
      <c r="N1493">
        <v>630</v>
      </c>
    </row>
    <row r="1494" spans="1:14" x14ac:dyDescent="0.35">
      <c r="A1494" t="s">
        <v>1563</v>
      </c>
      <c r="B1494" t="s">
        <v>15</v>
      </c>
      <c r="C1494" t="s">
        <v>16</v>
      </c>
      <c r="D1494">
        <v>114</v>
      </c>
      <c r="E1494" t="s">
        <v>1560</v>
      </c>
      <c r="F1494">
        <v>5419</v>
      </c>
      <c r="G1494" t="s">
        <v>18</v>
      </c>
      <c r="H1494">
        <v>27</v>
      </c>
      <c r="I1494" t="s">
        <v>19</v>
      </c>
      <c r="J1494">
        <v>1989</v>
      </c>
      <c r="K1494">
        <v>1989</v>
      </c>
      <c r="L1494" t="s">
        <v>20</v>
      </c>
      <c r="M1494">
        <v>39859</v>
      </c>
      <c r="N1494">
        <v>630</v>
      </c>
    </row>
    <row r="1495" spans="1:14" x14ac:dyDescent="0.35">
      <c r="A1495" t="s">
        <v>1564</v>
      </c>
      <c r="B1495" t="s">
        <v>15</v>
      </c>
      <c r="C1495" t="s">
        <v>16</v>
      </c>
      <c r="D1495">
        <v>114</v>
      </c>
      <c r="E1495" t="s">
        <v>1560</v>
      </c>
      <c r="F1495">
        <v>5419</v>
      </c>
      <c r="G1495" t="s">
        <v>18</v>
      </c>
      <c r="H1495">
        <v>27</v>
      </c>
      <c r="I1495" t="s">
        <v>19</v>
      </c>
      <c r="J1495">
        <v>1990</v>
      </c>
      <c r="K1495">
        <v>1990</v>
      </c>
      <c r="L1495" t="s">
        <v>20</v>
      </c>
      <c r="M1495">
        <v>30984</v>
      </c>
      <c r="N1495">
        <v>630</v>
      </c>
    </row>
    <row r="1496" spans="1:14" x14ac:dyDescent="0.35">
      <c r="A1496" t="s">
        <v>1565</v>
      </c>
      <c r="B1496" t="s">
        <v>15</v>
      </c>
      <c r="C1496" t="s">
        <v>16</v>
      </c>
      <c r="D1496">
        <v>114</v>
      </c>
      <c r="E1496" t="s">
        <v>1560</v>
      </c>
      <c r="F1496">
        <v>5419</v>
      </c>
      <c r="G1496" t="s">
        <v>18</v>
      </c>
      <c r="H1496">
        <v>27</v>
      </c>
      <c r="I1496" t="s">
        <v>19</v>
      </c>
      <c r="J1496">
        <v>1991</v>
      </c>
      <c r="K1496">
        <v>1991</v>
      </c>
      <c r="L1496" t="s">
        <v>20</v>
      </c>
      <c r="M1496">
        <v>38846</v>
      </c>
      <c r="N1496">
        <v>630</v>
      </c>
    </row>
    <row r="1497" spans="1:14" x14ac:dyDescent="0.35">
      <c r="A1497" t="s">
        <v>1566</v>
      </c>
      <c r="B1497" t="s">
        <v>15</v>
      </c>
      <c r="C1497" t="s">
        <v>16</v>
      </c>
      <c r="D1497">
        <v>114</v>
      </c>
      <c r="E1497" t="s">
        <v>1560</v>
      </c>
      <c r="F1497">
        <v>5419</v>
      </c>
      <c r="G1497" t="s">
        <v>18</v>
      </c>
      <c r="H1497">
        <v>27</v>
      </c>
      <c r="I1497" t="s">
        <v>19</v>
      </c>
      <c r="J1497">
        <v>1992</v>
      </c>
      <c r="K1497">
        <v>1992</v>
      </c>
      <c r="L1497" t="s">
        <v>20</v>
      </c>
      <c r="M1497">
        <v>35362</v>
      </c>
      <c r="N1497">
        <v>630</v>
      </c>
    </row>
    <row r="1498" spans="1:14" x14ac:dyDescent="0.35">
      <c r="A1498" t="s">
        <v>1567</v>
      </c>
      <c r="B1498" t="s">
        <v>15</v>
      </c>
      <c r="C1498" t="s">
        <v>16</v>
      </c>
      <c r="D1498">
        <v>114</v>
      </c>
      <c r="E1498" t="s">
        <v>1560</v>
      </c>
      <c r="F1498">
        <v>5419</v>
      </c>
      <c r="G1498" t="s">
        <v>18</v>
      </c>
      <c r="H1498">
        <v>27</v>
      </c>
      <c r="I1498" t="s">
        <v>19</v>
      </c>
      <c r="J1498">
        <v>1993</v>
      </c>
      <c r="K1498">
        <v>1993</v>
      </c>
      <c r="L1498" t="s">
        <v>20</v>
      </c>
      <c r="M1498">
        <v>41483</v>
      </c>
      <c r="N1498">
        <v>630</v>
      </c>
    </row>
    <row r="1499" spans="1:14" x14ac:dyDescent="0.35">
      <c r="A1499" t="s">
        <v>1568</v>
      </c>
      <c r="B1499" t="s">
        <v>15</v>
      </c>
      <c r="C1499" t="s">
        <v>16</v>
      </c>
      <c r="D1499">
        <v>114</v>
      </c>
      <c r="E1499" t="s">
        <v>1560</v>
      </c>
      <c r="F1499">
        <v>5419</v>
      </c>
      <c r="G1499" t="s">
        <v>18</v>
      </c>
      <c r="H1499">
        <v>27</v>
      </c>
      <c r="I1499" t="s">
        <v>19</v>
      </c>
      <c r="J1499">
        <v>1994</v>
      </c>
      <c r="K1499">
        <v>1994</v>
      </c>
      <c r="L1499" t="s">
        <v>20</v>
      </c>
      <c r="M1499">
        <v>43559</v>
      </c>
      <c r="N1499">
        <v>630</v>
      </c>
    </row>
    <row r="1500" spans="1:14" x14ac:dyDescent="0.35">
      <c r="A1500" t="s">
        <v>1569</v>
      </c>
      <c r="B1500" t="s">
        <v>15</v>
      </c>
      <c r="C1500" t="s">
        <v>16</v>
      </c>
      <c r="D1500">
        <v>114</v>
      </c>
      <c r="E1500" t="s">
        <v>1560</v>
      </c>
      <c r="F1500">
        <v>5419</v>
      </c>
      <c r="G1500" t="s">
        <v>18</v>
      </c>
      <c r="H1500">
        <v>27</v>
      </c>
      <c r="I1500" t="s">
        <v>19</v>
      </c>
      <c r="J1500">
        <v>1995</v>
      </c>
      <c r="K1500">
        <v>1995</v>
      </c>
      <c r="L1500" t="s">
        <v>20</v>
      </c>
      <c r="M1500">
        <v>40000</v>
      </c>
      <c r="N1500">
        <v>630</v>
      </c>
    </row>
    <row r="1501" spans="1:14" x14ac:dyDescent="0.35">
      <c r="A1501" t="s">
        <v>1570</v>
      </c>
      <c r="B1501" t="s">
        <v>15</v>
      </c>
      <c r="C1501" t="s">
        <v>16</v>
      </c>
      <c r="D1501">
        <v>114</v>
      </c>
      <c r="E1501" t="s">
        <v>1560</v>
      </c>
      <c r="F1501">
        <v>5419</v>
      </c>
      <c r="G1501" t="s">
        <v>18</v>
      </c>
      <c r="H1501">
        <v>27</v>
      </c>
      <c r="I1501" t="s">
        <v>19</v>
      </c>
      <c r="J1501">
        <v>1996</v>
      </c>
      <c r="K1501">
        <v>1996</v>
      </c>
      <c r="L1501" t="s">
        <v>20</v>
      </c>
      <c r="M1501">
        <v>40000</v>
      </c>
      <c r="N1501">
        <v>630</v>
      </c>
    </row>
    <row r="1502" spans="1:14" x14ac:dyDescent="0.35">
      <c r="A1502" t="s">
        <v>1571</v>
      </c>
      <c r="B1502" t="s">
        <v>15</v>
      </c>
      <c r="C1502" t="s">
        <v>16</v>
      </c>
      <c r="D1502">
        <v>114</v>
      </c>
      <c r="E1502" t="s">
        <v>1560</v>
      </c>
      <c r="F1502">
        <v>5419</v>
      </c>
      <c r="G1502" t="s">
        <v>18</v>
      </c>
      <c r="H1502">
        <v>27</v>
      </c>
      <c r="I1502" t="s">
        <v>19</v>
      </c>
      <c r="J1502">
        <v>1997</v>
      </c>
      <c r="K1502">
        <v>1997</v>
      </c>
      <c r="L1502" t="s">
        <v>20</v>
      </c>
      <c r="M1502">
        <v>39724</v>
      </c>
      <c r="N1502">
        <v>630</v>
      </c>
    </row>
    <row r="1503" spans="1:14" x14ac:dyDescent="0.35">
      <c r="A1503" t="s">
        <v>1572</v>
      </c>
      <c r="B1503" t="s">
        <v>15</v>
      </c>
      <c r="C1503" t="s">
        <v>16</v>
      </c>
      <c r="D1503">
        <v>114</v>
      </c>
      <c r="E1503" t="s">
        <v>1560</v>
      </c>
      <c r="F1503">
        <v>5419</v>
      </c>
      <c r="G1503" t="s">
        <v>18</v>
      </c>
      <c r="H1503">
        <v>27</v>
      </c>
      <c r="I1503" t="s">
        <v>19</v>
      </c>
      <c r="J1503">
        <v>1998</v>
      </c>
      <c r="K1503">
        <v>1998</v>
      </c>
      <c r="L1503" t="s">
        <v>20</v>
      </c>
      <c r="M1503">
        <v>48419</v>
      </c>
      <c r="N1503">
        <v>630</v>
      </c>
    </row>
    <row r="1504" spans="1:14" x14ac:dyDescent="0.35">
      <c r="A1504" t="s">
        <v>1573</v>
      </c>
      <c r="B1504" t="s">
        <v>15</v>
      </c>
      <c r="C1504" t="s">
        <v>16</v>
      </c>
      <c r="D1504">
        <v>114</v>
      </c>
      <c r="E1504" t="s">
        <v>1560</v>
      </c>
      <c r="F1504">
        <v>5419</v>
      </c>
      <c r="G1504" t="s">
        <v>18</v>
      </c>
      <c r="H1504">
        <v>27</v>
      </c>
      <c r="I1504" t="s">
        <v>19</v>
      </c>
      <c r="J1504">
        <v>1999</v>
      </c>
      <c r="K1504">
        <v>1999</v>
      </c>
      <c r="L1504" t="s">
        <v>20</v>
      </c>
      <c r="M1504">
        <v>39845</v>
      </c>
      <c r="N1504">
        <v>630</v>
      </c>
    </row>
    <row r="1505" spans="1:14" x14ac:dyDescent="0.35">
      <c r="A1505" t="s">
        <v>1574</v>
      </c>
      <c r="B1505" t="s">
        <v>15</v>
      </c>
      <c r="C1505" t="s">
        <v>16</v>
      </c>
      <c r="D1505">
        <v>114</v>
      </c>
      <c r="E1505" t="s">
        <v>1560</v>
      </c>
      <c r="F1505">
        <v>5419</v>
      </c>
      <c r="G1505" t="s">
        <v>18</v>
      </c>
      <c r="H1505">
        <v>27</v>
      </c>
      <c r="I1505" t="s">
        <v>19</v>
      </c>
      <c r="J1505">
        <v>2000</v>
      </c>
      <c r="K1505">
        <v>2000</v>
      </c>
      <c r="L1505" t="s">
        <v>20</v>
      </c>
      <c r="M1505">
        <v>37710</v>
      </c>
      <c r="N1505">
        <v>630</v>
      </c>
    </row>
    <row r="1506" spans="1:14" x14ac:dyDescent="0.35">
      <c r="A1506" t="s">
        <v>1575</v>
      </c>
      <c r="B1506" t="s">
        <v>15</v>
      </c>
      <c r="C1506" t="s">
        <v>16</v>
      </c>
      <c r="D1506">
        <v>114</v>
      </c>
      <c r="E1506" t="s">
        <v>1560</v>
      </c>
      <c r="F1506">
        <v>5419</v>
      </c>
      <c r="G1506" t="s">
        <v>18</v>
      </c>
      <c r="H1506">
        <v>27</v>
      </c>
      <c r="I1506" t="s">
        <v>19</v>
      </c>
      <c r="J1506">
        <v>2001</v>
      </c>
      <c r="K1506">
        <v>2001</v>
      </c>
      <c r="L1506" t="s">
        <v>20</v>
      </c>
      <c r="M1506">
        <v>34091</v>
      </c>
      <c r="N1506">
        <v>630</v>
      </c>
    </row>
    <row r="1507" spans="1:14" x14ac:dyDescent="0.35">
      <c r="A1507" t="s">
        <v>1576</v>
      </c>
      <c r="B1507" t="s">
        <v>15</v>
      </c>
      <c r="C1507" t="s">
        <v>16</v>
      </c>
      <c r="D1507">
        <v>114</v>
      </c>
      <c r="E1507" t="s">
        <v>1560</v>
      </c>
      <c r="F1507">
        <v>5419</v>
      </c>
      <c r="G1507" t="s">
        <v>18</v>
      </c>
      <c r="H1507">
        <v>27</v>
      </c>
      <c r="I1507" t="s">
        <v>19</v>
      </c>
      <c r="J1507">
        <v>2002</v>
      </c>
      <c r="K1507">
        <v>2002</v>
      </c>
      <c r="L1507" t="s">
        <v>20</v>
      </c>
      <c r="M1507">
        <v>34615</v>
      </c>
      <c r="N1507">
        <v>630</v>
      </c>
    </row>
    <row r="1508" spans="1:14" x14ac:dyDescent="0.35">
      <c r="A1508" t="s">
        <v>1577</v>
      </c>
      <c r="B1508" t="s">
        <v>15</v>
      </c>
      <c r="C1508" t="s">
        <v>16</v>
      </c>
      <c r="D1508">
        <v>114</v>
      </c>
      <c r="E1508" t="s">
        <v>1560</v>
      </c>
      <c r="F1508">
        <v>5419</v>
      </c>
      <c r="G1508" t="s">
        <v>18</v>
      </c>
      <c r="H1508">
        <v>27</v>
      </c>
      <c r="I1508" t="s">
        <v>19</v>
      </c>
      <c r="J1508">
        <v>2004</v>
      </c>
      <c r="K1508">
        <v>2004</v>
      </c>
      <c r="L1508" t="s">
        <v>20</v>
      </c>
      <c r="M1508">
        <v>37280</v>
      </c>
      <c r="N1508">
        <v>630</v>
      </c>
    </row>
    <row r="1509" spans="1:14" x14ac:dyDescent="0.35">
      <c r="A1509" t="s">
        <v>1578</v>
      </c>
      <c r="B1509" t="s">
        <v>15</v>
      </c>
      <c r="C1509" t="s">
        <v>16</v>
      </c>
      <c r="D1509">
        <v>114</v>
      </c>
      <c r="E1509" t="s">
        <v>1560</v>
      </c>
      <c r="F1509">
        <v>5419</v>
      </c>
      <c r="G1509" t="s">
        <v>18</v>
      </c>
      <c r="H1509">
        <v>27</v>
      </c>
      <c r="I1509" t="s">
        <v>19</v>
      </c>
      <c r="J1509">
        <v>2005</v>
      </c>
      <c r="K1509">
        <v>2005</v>
      </c>
      <c r="L1509" t="s">
        <v>20</v>
      </c>
      <c r="M1509">
        <v>39321</v>
      </c>
      <c r="N1509">
        <v>630</v>
      </c>
    </row>
    <row r="1510" spans="1:14" x14ac:dyDescent="0.35">
      <c r="A1510" t="s">
        <v>1579</v>
      </c>
      <c r="B1510" t="s">
        <v>15</v>
      </c>
      <c r="C1510" t="s">
        <v>16</v>
      </c>
      <c r="D1510">
        <v>114</v>
      </c>
      <c r="E1510" t="s">
        <v>1560</v>
      </c>
      <c r="F1510">
        <v>5419</v>
      </c>
      <c r="G1510" t="s">
        <v>18</v>
      </c>
      <c r="H1510">
        <v>27</v>
      </c>
      <c r="I1510" t="s">
        <v>19</v>
      </c>
      <c r="J1510">
        <v>2006</v>
      </c>
      <c r="K1510">
        <v>2006</v>
      </c>
      <c r="L1510" t="s">
        <v>20</v>
      </c>
      <c r="M1510">
        <v>28062</v>
      </c>
      <c r="N1510">
        <v>630</v>
      </c>
    </row>
    <row r="1511" spans="1:14" x14ac:dyDescent="0.35">
      <c r="A1511" t="s">
        <v>1580</v>
      </c>
      <c r="B1511" t="s">
        <v>15</v>
      </c>
      <c r="C1511" t="s">
        <v>16</v>
      </c>
      <c r="D1511">
        <v>114</v>
      </c>
      <c r="E1511" t="s">
        <v>1560</v>
      </c>
      <c r="F1511">
        <v>5419</v>
      </c>
      <c r="G1511" t="s">
        <v>18</v>
      </c>
      <c r="H1511">
        <v>27</v>
      </c>
      <c r="I1511" t="s">
        <v>19</v>
      </c>
      <c r="J1511">
        <v>2007</v>
      </c>
      <c r="K1511">
        <v>2007</v>
      </c>
      <c r="L1511" t="s">
        <v>20</v>
      </c>
      <c r="M1511">
        <v>28715</v>
      </c>
      <c r="N1511">
        <v>630</v>
      </c>
    </row>
    <row r="1512" spans="1:14" x14ac:dyDescent="0.35">
      <c r="A1512" t="s">
        <v>1581</v>
      </c>
      <c r="B1512" t="s">
        <v>15</v>
      </c>
      <c r="C1512" t="s">
        <v>16</v>
      </c>
      <c r="D1512">
        <v>114</v>
      </c>
      <c r="E1512" t="s">
        <v>1560</v>
      </c>
      <c r="F1512">
        <v>5419</v>
      </c>
      <c r="G1512" t="s">
        <v>18</v>
      </c>
      <c r="H1512">
        <v>27</v>
      </c>
      <c r="I1512" t="s">
        <v>19</v>
      </c>
      <c r="J1512">
        <v>2008</v>
      </c>
      <c r="K1512">
        <v>2008</v>
      </c>
      <c r="L1512" t="s">
        <v>20</v>
      </c>
      <c r="M1512">
        <v>13076</v>
      </c>
      <c r="N1512">
        <v>630</v>
      </c>
    </row>
    <row r="1513" spans="1:14" x14ac:dyDescent="0.35">
      <c r="A1513" t="s">
        <v>1582</v>
      </c>
      <c r="B1513" t="s">
        <v>15</v>
      </c>
      <c r="C1513" t="s">
        <v>16</v>
      </c>
      <c r="D1513">
        <v>114</v>
      </c>
      <c r="E1513" t="s">
        <v>1560</v>
      </c>
      <c r="F1513">
        <v>5419</v>
      </c>
      <c r="G1513" t="s">
        <v>18</v>
      </c>
      <c r="H1513">
        <v>27</v>
      </c>
      <c r="I1513" t="s">
        <v>19</v>
      </c>
      <c r="J1513">
        <v>2009</v>
      </c>
      <c r="K1513">
        <v>2009</v>
      </c>
      <c r="L1513" t="s">
        <v>20</v>
      </c>
      <c r="M1513">
        <v>19333</v>
      </c>
      <c r="N1513">
        <v>630</v>
      </c>
    </row>
    <row r="1514" spans="1:14" x14ac:dyDescent="0.35">
      <c r="A1514" t="s">
        <v>1583</v>
      </c>
      <c r="B1514" t="s">
        <v>15</v>
      </c>
      <c r="C1514" t="s">
        <v>16</v>
      </c>
      <c r="D1514">
        <v>114</v>
      </c>
      <c r="E1514" t="s">
        <v>1560</v>
      </c>
      <c r="F1514">
        <v>5419</v>
      </c>
      <c r="G1514" t="s">
        <v>18</v>
      </c>
      <c r="H1514">
        <v>27</v>
      </c>
      <c r="I1514" t="s">
        <v>19</v>
      </c>
      <c r="J1514">
        <v>2010</v>
      </c>
      <c r="K1514">
        <v>2010</v>
      </c>
      <c r="L1514" t="s">
        <v>20</v>
      </c>
      <c r="M1514">
        <v>42384</v>
      </c>
      <c r="N1514">
        <v>630</v>
      </c>
    </row>
    <row r="1515" spans="1:14" x14ac:dyDescent="0.35">
      <c r="A1515" t="s">
        <v>1584</v>
      </c>
      <c r="B1515" t="s">
        <v>15</v>
      </c>
      <c r="C1515" t="s">
        <v>16</v>
      </c>
      <c r="D1515">
        <v>114</v>
      </c>
      <c r="E1515" t="s">
        <v>1560</v>
      </c>
      <c r="F1515">
        <v>5419</v>
      </c>
      <c r="G1515" t="s">
        <v>18</v>
      </c>
      <c r="H1515">
        <v>27</v>
      </c>
      <c r="I1515" t="s">
        <v>19</v>
      </c>
      <c r="J1515">
        <v>2011</v>
      </c>
      <c r="K1515">
        <v>2011</v>
      </c>
      <c r="L1515" t="s">
        <v>20</v>
      </c>
      <c r="M1515">
        <v>39676</v>
      </c>
      <c r="N1515">
        <v>630</v>
      </c>
    </row>
    <row r="1516" spans="1:14" x14ac:dyDescent="0.35">
      <c r="A1516" t="s">
        <v>1585</v>
      </c>
      <c r="B1516" t="s">
        <v>15</v>
      </c>
      <c r="C1516" t="s">
        <v>16</v>
      </c>
      <c r="D1516">
        <v>114</v>
      </c>
      <c r="E1516" t="s">
        <v>1560</v>
      </c>
      <c r="F1516">
        <v>5419</v>
      </c>
      <c r="G1516" t="s">
        <v>18</v>
      </c>
      <c r="H1516">
        <v>27</v>
      </c>
      <c r="I1516" t="s">
        <v>19</v>
      </c>
      <c r="J1516">
        <v>2012</v>
      </c>
      <c r="K1516">
        <v>2012</v>
      </c>
      <c r="L1516" t="s">
        <v>20</v>
      </c>
      <c r="M1516">
        <v>46643</v>
      </c>
      <c r="N1516">
        <v>630</v>
      </c>
    </row>
    <row r="1517" spans="1:14" x14ac:dyDescent="0.35">
      <c r="A1517" t="s">
        <v>1586</v>
      </c>
      <c r="B1517" t="s">
        <v>15</v>
      </c>
      <c r="C1517" t="s">
        <v>16</v>
      </c>
      <c r="D1517">
        <v>114</v>
      </c>
      <c r="E1517" t="s">
        <v>1560</v>
      </c>
      <c r="F1517">
        <v>5419</v>
      </c>
      <c r="G1517" t="s">
        <v>18</v>
      </c>
      <c r="H1517">
        <v>27</v>
      </c>
      <c r="I1517" t="s">
        <v>19</v>
      </c>
      <c r="J1517">
        <v>2013</v>
      </c>
      <c r="K1517">
        <v>2013</v>
      </c>
      <c r="L1517" t="s">
        <v>20</v>
      </c>
      <c r="M1517">
        <v>39955</v>
      </c>
      <c r="N1517">
        <v>630</v>
      </c>
    </row>
    <row r="1518" spans="1:14" x14ac:dyDescent="0.35">
      <c r="A1518" t="s">
        <v>1587</v>
      </c>
      <c r="B1518" t="s">
        <v>15</v>
      </c>
      <c r="C1518" t="s">
        <v>16</v>
      </c>
      <c r="D1518">
        <v>114</v>
      </c>
      <c r="E1518" t="s">
        <v>1560</v>
      </c>
      <c r="F1518">
        <v>5419</v>
      </c>
      <c r="G1518" t="s">
        <v>18</v>
      </c>
      <c r="H1518">
        <v>27</v>
      </c>
      <c r="I1518" t="s">
        <v>19</v>
      </c>
      <c r="J1518">
        <v>2014</v>
      </c>
      <c r="K1518">
        <v>2014</v>
      </c>
      <c r="L1518" t="s">
        <v>20</v>
      </c>
      <c r="M1518">
        <v>39543</v>
      </c>
      <c r="N1518">
        <v>630</v>
      </c>
    </row>
    <row r="1519" spans="1:14" x14ac:dyDescent="0.35">
      <c r="A1519" t="s">
        <v>1588</v>
      </c>
      <c r="B1519" t="s">
        <v>15</v>
      </c>
      <c r="C1519" t="s">
        <v>16</v>
      </c>
      <c r="D1519">
        <v>114</v>
      </c>
      <c r="E1519" t="s">
        <v>1560</v>
      </c>
      <c r="F1519">
        <v>5419</v>
      </c>
      <c r="G1519" t="s">
        <v>18</v>
      </c>
      <c r="H1519">
        <v>27</v>
      </c>
      <c r="I1519" t="s">
        <v>19</v>
      </c>
      <c r="J1519">
        <v>2015</v>
      </c>
      <c r="K1519">
        <v>2015</v>
      </c>
      <c r="L1519" t="s">
        <v>20</v>
      </c>
      <c r="M1519">
        <v>39566</v>
      </c>
      <c r="N1519">
        <v>630</v>
      </c>
    </row>
    <row r="1520" spans="1:14" x14ac:dyDescent="0.35">
      <c r="A1520" t="s">
        <v>1589</v>
      </c>
      <c r="B1520" t="s">
        <v>15</v>
      </c>
      <c r="C1520" t="s">
        <v>16</v>
      </c>
      <c r="D1520">
        <v>114</v>
      </c>
      <c r="E1520" t="s">
        <v>1560</v>
      </c>
      <c r="F1520">
        <v>5419</v>
      </c>
      <c r="G1520" t="s">
        <v>18</v>
      </c>
      <c r="H1520">
        <v>27</v>
      </c>
      <c r="I1520" t="s">
        <v>19</v>
      </c>
      <c r="J1520">
        <v>2016</v>
      </c>
      <c r="K1520">
        <v>2016</v>
      </c>
      <c r="L1520" t="s">
        <v>20</v>
      </c>
      <c r="M1520">
        <v>40273</v>
      </c>
      <c r="N1520">
        <v>630</v>
      </c>
    </row>
    <row r="1521" spans="1:14" x14ac:dyDescent="0.35">
      <c r="A1521" t="s">
        <v>1590</v>
      </c>
      <c r="B1521" t="s">
        <v>15</v>
      </c>
      <c r="C1521" t="s">
        <v>16</v>
      </c>
      <c r="D1521">
        <v>123</v>
      </c>
      <c r="E1521" t="s">
        <v>1591</v>
      </c>
      <c r="F1521">
        <v>5419</v>
      </c>
      <c r="G1521" t="s">
        <v>18</v>
      </c>
      <c r="H1521">
        <v>27</v>
      </c>
      <c r="I1521" t="s">
        <v>19</v>
      </c>
      <c r="J1521">
        <v>1985</v>
      </c>
      <c r="K1521">
        <v>1985</v>
      </c>
      <c r="L1521" t="s">
        <v>20</v>
      </c>
      <c r="M1521">
        <v>12525</v>
      </c>
      <c r="N1521">
        <v>2391</v>
      </c>
    </row>
    <row r="1522" spans="1:14" x14ac:dyDescent="0.35">
      <c r="A1522" t="s">
        <v>1592</v>
      </c>
      <c r="B1522" t="s">
        <v>15</v>
      </c>
      <c r="C1522" t="s">
        <v>16</v>
      </c>
      <c r="D1522">
        <v>123</v>
      </c>
      <c r="E1522" t="s">
        <v>1591</v>
      </c>
      <c r="F1522">
        <v>5419</v>
      </c>
      <c r="G1522" t="s">
        <v>18</v>
      </c>
      <c r="H1522">
        <v>27</v>
      </c>
      <c r="I1522" t="s">
        <v>19</v>
      </c>
      <c r="J1522">
        <v>1986</v>
      </c>
      <c r="K1522">
        <v>1986</v>
      </c>
      <c r="L1522" t="s">
        <v>20</v>
      </c>
      <c r="M1522">
        <v>12355</v>
      </c>
      <c r="N1522">
        <v>2391</v>
      </c>
    </row>
    <row r="1523" spans="1:14" x14ac:dyDescent="0.35">
      <c r="A1523" t="s">
        <v>1593</v>
      </c>
      <c r="B1523" t="s">
        <v>15</v>
      </c>
      <c r="C1523" t="s">
        <v>16</v>
      </c>
      <c r="D1523">
        <v>123</v>
      </c>
      <c r="E1523" t="s">
        <v>1591</v>
      </c>
      <c r="F1523">
        <v>5419</v>
      </c>
      <c r="G1523" t="s">
        <v>18</v>
      </c>
      <c r="H1523">
        <v>27</v>
      </c>
      <c r="I1523" t="s">
        <v>19</v>
      </c>
      <c r="J1523">
        <v>1987</v>
      </c>
      <c r="K1523">
        <v>1987</v>
      </c>
      <c r="L1523" t="s">
        <v>20</v>
      </c>
      <c r="M1523">
        <v>12623</v>
      </c>
      <c r="N1523">
        <v>2391</v>
      </c>
    </row>
    <row r="1524" spans="1:14" x14ac:dyDescent="0.35">
      <c r="A1524" t="s">
        <v>1594</v>
      </c>
      <c r="B1524" t="s">
        <v>15</v>
      </c>
      <c r="C1524" t="s">
        <v>16</v>
      </c>
      <c r="D1524">
        <v>123</v>
      </c>
      <c r="E1524" t="s">
        <v>1591</v>
      </c>
      <c r="F1524">
        <v>5419</v>
      </c>
      <c r="G1524" t="s">
        <v>18</v>
      </c>
      <c r="H1524">
        <v>27</v>
      </c>
      <c r="I1524" t="s">
        <v>19</v>
      </c>
      <c r="J1524">
        <v>1989</v>
      </c>
      <c r="K1524">
        <v>1989</v>
      </c>
      <c r="L1524" t="s">
        <v>20</v>
      </c>
      <c r="M1524">
        <v>11661</v>
      </c>
      <c r="N1524">
        <v>2391</v>
      </c>
    </row>
    <row r="1525" spans="1:14" x14ac:dyDescent="0.35">
      <c r="A1525" t="s">
        <v>1595</v>
      </c>
      <c r="B1525" t="s">
        <v>15</v>
      </c>
      <c r="C1525" t="s">
        <v>16</v>
      </c>
      <c r="D1525">
        <v>123</v>
      </c>
      <c r="E1525" t="s">
        <v>1591</v>
      </c>
      <c r="F1525">
        <v>5419</v>
      </c>
      <c r="G1525" t="s">
        <v>18</v>
      </c>
      <c r="H1525">
        <v>27</v>
      </c>
      <c r="I1525" t="s">
        <v>19</v>
      </c>
      <c r="J1525">
        <v>1990</v>
      </c>
      <c r="K1525">
        <v>1990</v>
      </c>
      <c r="L1525" t="s">
        <v>20</v>
      </c>
      <c r="M1525">
        <v>10286</v>
      </c>
      <c r="N1525">
        <v>2391</v>
      </c>
    </row>
    <row r="1526" spans="1:14" x14ac:dyDescent="0.35">
      <c r="A1526" t="s">
        <v>1596</v>
      </c>
      <c r="B1526" t="s">
        <v>15</v>
      </c>
      <c r="C1526" t="s">
        <v>16</v>
      </c>
      <c r="D1526">
        <v>123</v>
      </c>
      <c r="E1526" t="s">
        <v>1591</v>
      </c>
      <c r="F1526">
        <v>5419</v>
      </c>
      <c r="G1526" t="s">
        <v>18</v>
      </c>
      <c r="H1526">
        <v>27</v>
      </c>
      <c r="I1526" t="s">
        <v>19</v>
      </c>
      <c r="J1526">
        <v>1991</v>
      </c>
      <c r="K1526">
        <v>1991</v>
      </c>
      <c r="L1526" t="s">
        <v>20</v>
      </c>
      <c r="M1526">
        <v>9091</v>
      </c>
      <c r="N1526">
        <v>2391</v>
      </c>
    </row>
    <row r="1527" spans="1:14" x14ac:dyDescent="0.35">
      <c r="A1527" t="s">
        <v>1597</v>
      </c>
      <c r="B1527" t="s">
        <v>15</v>
      </c>
      <c r="C1527" t="s">
        <v>16</v>
      </c>
      <c r="D1527">
        <v>123</v>
      </c>
      <c r="E1527" t="s">
        <v>1591</v>
      </c>
      <c r="F1527">
        <v>5419</v>
      </c>
      <c r="G1527" t="s">
        <v>18</v>
      </c>
      <c r="H1527">
        <v>27</v>
      </c>
      <c r="I1527" t="s">
        <v>19</v>
      </c>
      <c r="J1527">
        <v>1992</v>
      </c>
      <c r="K1527">
        <v>1992</v>
      </c>
      <c r="L1527" t="s">
        <v>20</v>
      </c>
      <c r="M1527">
        <v>9167</v>
      </c>
      <c r="N1527">
        <v>2391</v>
      </c>
    </row>
    <row r="1528" spans="1:14" x14ac:dyDescent="0.35">
      <c r="A1528" t="s">
        <v>1598</v>
      </c>
      <c r="B1528" t="s">
        <v>15</v>
      </c>
      <c r="C1528" t="s">
        <v>16</v>
      </c>
      <c r="D1528">
        <v>123</v>
      </c>
      <c r="E1528" t="s">
        <v>1591</v>
      </c>
      <c r="F1528">
        <v>5419</v>
      </c>
      <c r="G1528" t="s">
        <v>18</v>
      </c>
      <c r="H1528">
        <v>27</v>
      </c>
      <c r="I1528" t="s">
        <v>19</v>
      </c>
      <c r="J1528">
        <v>1993</v>
      </c>
      <c r="K1528">
        <v>1993</v>
      </c>
      <c r="L1528" t="s">
        <v>20</v>
      </c>
      <c r="M1528">
        <v>10833</v>
      </c>
      <c r="N1528">
        <v>2391</v>
      </c>
    </row>
    <row r="1529" spans="1:14" x14ac:dyDescent="0.35">
      <c r="A1529" t="s">
        <v>1599</v>
      </c>
      <c r="B1529" t="s">
        <v>15</v>
      </c>
      <c r="C1529" t="s">
        <v>16</v>
      </c>
      <c r="D1529">
        <v>123</v>
      </c>
      <c r="E1529" t="s">
        <v>1591</v>
      </c>
      <c r="F1529">
        <v>5419</v>
      </c>
      <c r="G1529" t="s">
        <v>18</v>
      </c>
      <c r="H1529">
        <v>27</v>
      </c>
      <c r="I1529" t="s">
        <v>19</v>
      </c>
      <c r="J1529">
        <v>1994</v>
      </c>
      <c r="K1529">
        <v>1994</v>
      </c>
      <c r="L1529" t="s">
        <v>20</v>
      </c>
      <c r="M1529">
        <v>11111</v>
      </c>
      <c r="N1529">
        <v>2391</v>
      </c>
    </row>
    <row r="1530" spans="1:14" x14ac:dyDescent="0.35">
      <c r="A1530" t="s">
        <v>1600</v>
      </c>
      <c r="B1530" t="s">
        <v>15</v>
      </c>
      <c r="C1530" t="s">
        <v>16</v>
      </c>
      <c r="D1530">
        <v>123</v>
      </c>
      <c r="E1530" t="s">
        <v>1591</v>
      </c>
      <c r="F1530">
        <v>5419</v>
      </c>
      <c r="G1530" t="s">
        <v>18</v>
      </c>
      <c r="H1530">
        <v>27</v>
      </c>
      <c r="I1530" t="s">
        <v>19</v>
      </c>
      <c r="J1530">
        <v>1995</v>
      </c>
      <c r="K1530">
        <v>1995</v>
      </c>
      <c r="L1530" t="s">
        <v>20</v>
      </c>
      <c r="M1530">
        <v>11240</v>
      </c>
      <c r="N1530">
        <v>2391</v>
      </c>
    </row>
    <row r="1531" spans="1:14" x14ac:dyDescent="0.35">
      <c r="A1531" t="s">
        <v>1601</v>
      </c>
      <c r="B1531" t="s">
        <v>15</v>
      </c>
      <c r="C1531" t="s">
        <v>16</v>
      </c>
      <c r="D1531">
        <v>123</v>
      </c>
      <c r="E1531" t="s">
        <v>1591</v>
      </c>
      <c r="F1531">
        <v>5419</v>
      </c>
      <c r="G1531" t="s">
        <v>18</v>
      </c>
      <c r="H1531">
        <v>27</v>
      </c>
      <c r="I1531" t="s">
        <v>19</v>
      </c>
      <c r="J1531">
        <v>1996</v>
      </c>
      <c r="K1531">
        <v>1996</v>
      </c>
      <c r="L1531" t="s">
        <v>20</v>
      </c>
      <c r="M1531">
        <v>12493</v>
      </c>
      <c r="N1531">
        <v>2391</v>
      </c>
    </row>
    <row r="1532" spans="1:14" x14ac:dyDescent="0.35">
      <c r="A1532" t="s">
        <v>1602</v>
      </c>
      <c r="B1532" t="s">
        <v>15</v>
      </c>
      <c r="C1532" t="s">
        <v>16</v>
      </c>
      <c r="D1532">
        <v>123</v>
      </c>
      <c r="E1532" t="s">
        <v>1591</v>
      </c>
      <c r="F1532">
        <v>5419</v>
      </c>
      <c r="G1532" t="s">
        <v>18</v>
      </c>
      <c r="H1532">
        <v>27</v>
      </c>
      <c r="I1532" t="s">
        <v>19</v>
      </c>
      <c r="J1532">
        <v>1997</v>
      </c>
      <c r="K1532">
        <v>1997</v>
      </c>
      <c r="L1532" t="s">
        <v>20</v>
      </c>
      <c r="M1532">
        <v>12456</v>
      </c>
      <c r="N1532">
        <v>2391</v>
      </c>
    </row>
    <row r="1533" spans="1:14" x14ac:dyDescent="0.35">
      <c r="A1533" t="s">
        <v>1603</v>
      </c>
      <c r="B1533" t="s">
        <v>15</v>
      </c>
      <c r="C1533" t="s">
        <v>16</v>
      </c>
      <c r="D1533">
        <v>123</v>
      </c>
      <c r="E1533" t="s">
        <v>1591</v>
      </c>
      <c r="F1533">
        <v>5419</v>
      </c>
      <c r="G1533" t="s">
        <v>18</v>
      </c>
      <c r="H1533">
        <v>27</v>
      </c>
      <c r="I1533" t="s">
        <v>19</v>
      </c>
      <c r="J1533">
        <v>1998</v>
      </c>
      <c r="K1533">
        <v>1998</v>
      </c>
      <c r="L1533" t="s">
        <v>20</v>
      </c>
      <c r="M1533">
        <v>12934</v>
      </c>
      <c r="N1533">
        <v>2391</v>
      </c>
    </row>
    <row r="1534" spans="1:14" x14ac:dyDescent="0.35">
      <c r="A1534" t="s">
        <v>1604</v>
      </c>
      <c r="B1534" t="s">
        <v>15</v>
      </c>
      <c r="C1534" t="s">
        <v>16</v>
      </c>
      <c r="D1534">
        <v>123</v>
      </c>
      <c r="E1534" t="s">
        <v>1591</v>
      </c>
      <c r="F1534">
        <v>5419</v>
      </c>
      <c r="G1534" t="s">
        <v>18</v>
      </c>
      <c r="H1534">
        <v>27</v>
      </c>
      <c r="I1534" t="s">
        <v>19</v>
      </c>
      <c r="J1534">
        <v>1999</v>
      </c>
      <c r="K1534">
        <v>1999</v>
      </c>
      <c r="L1534" t="s">
        <v>20</v>
      </c>
      <c r="M1534">
        <v>12772</v>
      </c>
      <c r="N1534">
        <v>2391</v>
      </c>
    </row>
    <row r="1535" spans="1:14" x14ac:dyDescent="0.35">
      <c r="A1535" t="s">
        <v>1605</v>
      </c>
      <c r="B1535" t="s">
        <v>15</v>
      </c>
      <c r="C1535" t="s">
        <v>16</v>
      </c>
      <c r="D1535">
        <v>123</v>
      </c>
      <c r="E1535" t="s">
        <v>1591</v>
      </c>
      <c r="F1535">
        <v>5419</v>
      </c>
      <c r="G1535" t="s">
        <v>18</v>
      </c>
      <c r="H1535">
        <v>27</v>
      </c>
      <c r="I1535" t="s">
        <v>19</v>
      </c>
      <c r="J1535">
        <v>2000</v>
      </c>
      <c r="K1535">
        <v>2000</v>
      </c>
      <c r="L1535" t="s">
        <v>20</v>
      </c>
      <c r="M1535">
        <v>12780</v>
      </c>
      <c r="N1535">
        <v>2391</v>
      </c>
    </row>
    <row r="1536" spans="1:14" x14ac:dyDescent="0.35">
      <c r="A1536" t="s">
        <v>1606</v>
      </c>
      <c r="B1536" t="s">
        <v>15</v>
      </c>
      <c r="C1536" t="s">
        <v>16</v>
      </c>
      <c r="D1536">
        <v>123</v>
      </c>
      <c r="E1536" t="s">
        <v>1591</v>
      </c>
      <c r="F1536">
        <v>5419</v>
      </c>
      <c r="G1536" t="s">
        <v>18</v>
      </c>
      <c r="H1536">
        <v>27</v>
      </c>
      <c r="I1536" t="s">
        <v>19</v>
      </c>
      <c r="J1536">
        <v>2001</v>
      </c>
      <c r="K1536">
        <v>2001</v>
      </c>
      <c r="L1536" t="s">
        <v>20</v>
      </c>
      <c r="M1536">
        <v>11154</v>
      </c>
      <c r="N1536">
        <v>2391</v>
      </c>
    </row>
    <row r="1537" spans="1:14" x14ac:dyDescent="0.35">
      <c r="A1537" t="s">
        <v>1607</v>
      </c>
      <c r="B1537" t="s">
        <v>15</v>
      </c>
      <c r="C1537" t="s">
        <v>16</v>
      </c>
      <c r="D1537">
        <v>123</v>
      </c>
      <c r="E1537" t="s">
        <v>1591</v>
      </c>
      <c r="F1537">
        <v>5419</v>
      </c>
      <c r="G1537" t="s">
        <v>18</v>
      </c>
      <c r="H1537">
        <v>27</v>
      </c>
      <c r="I1537" t="s">
        <v>19</v>
      </c>
      <c r="J1537">
        <v>2002</v>
      </c>
      <c r="K1537">
        <v>2002</v>
      </c>
      <c r="L1537" t="s">
        <v>20</v>
      </c>
      <c r="M1537">
        <v>9167</v>
      </c>
      <c r="N1537">
        <v>2391</v>
      </c>
    </row>
    <row r="1538" spans="1:14" x14ac:dyDescent="0.35">
      <c r="A1538" t="s">
        <v>1608</v>
      </c>
      <c r="B1538" t="s">
        <v>15</v>
      </c>
      <c r="C1538" t="s">
        <v>16</v>
      </c>
      <c r="D1538">
        <v>123</v>
      </c>
      <c r="E1538" t="s">
        <v>1591</v>
      </c>
      <c r="F1538">
        <v>5419</v>
      </c>
      <c r="G1538" t="s">
        <v>18</v>
      </c>
      <c r="H1538">
        <v>27</v>
      </c>
      <c r="I1538" t="s">
        <v>19</v>
      </c>
      <c r="J1538">
        <v>2004</v>
      </c>
      <c r="K1538">
        <v>2004</v>
      </c>
      <c r="L1538" t="s">
        <v>20</v>
      </c>
      <c r="M1538">
        <v>9167</v>
      </c>
      <c r="N1538">
        <v>2391</v>
      </c>
    </row>
    <row r="1539" spans="1:14" x14ac:dyDescent="0.35">
      <c r="A1539" t="s">
        <v>1609</v>
      </c>
      <c r="B1539" t="s">
        <v>15</v>
      </c>
      <c r="C1539" t="s">
        <v>16</v>
      </c>
      <c r="D1539">
        <v>123</v>
      </c>
      <c r="E1539" t="s">
        <v>1591</v>
      </c>
      <c r="F1539">
        <v>5419</v>
      </c>
      <c r="G1539" t="s">
        <v>18</v>
      </c>
      <c r="H1539">
        <v>27</v>
      </c>
      <c r="I1539" t="s">
        <v>19</v>
      </c>
      <c r="J1539">
        <v>2005</v>
      </c>
      <c r="K1539">
        <v>2005</v>
      </c>
      <c r="L1539" t="s">
        <v>20</v>
      </c>
      <c r="M1539">
        <v>12900</v>
      </c>
      <c r="N1539">
        <v>2391</v>
      </c>
    </row>
    <row r="1540" spans="1:14" x14ac:dyDescent="0.35">
      <c r="A1540" t="s">
        <v>1610</v>
      </c>
      <c r="B1540" t="s">
        <v>15</v>
      </c>
      <c r="C1540" t="s">
        <v>16</v>
      </c>
      <c r="D1540">
        <v>123</v>
      </c>
      <c r="E1540" t="s">
        <v>1591</v>
      </c>
      <c r="F1540">
        <v>5419</v>
      </c>
      <c r="G1540" t="s">
        <v>18</v>
      </c>
      <c r="H1540">
        <v>27</v>
      </c>
      <c r="I1540" t="s">
        <v>19</v>
      </c>
      <c r="J1540">
        <v>2006</v>
      </c>
      <c r="K1540">
        <v>2006</v>
      </c>
      <c r="L1540" t="s">
        <v>20</v>
      </c>
      <c r="M1540">
        <v>12615</v>
      </c>
      <c r="N1540">
        <v>2391</v>
      </c>
    </row>
    <row r="1541" spans="1:14" x14ac:dyDescent="0.35">
      <c r="A1541" t="s">
        <v>1611</v>
      </c>
      <c r="B1541" t="s">
        <v>15</v>
      </c>
      <c r="C1541" t="s">
        <v>16</v>
      </c>
      <c r="D1541">
        <v>123</v>
      </c>
      <c r="E1541" t="s">
        <v>1591</v>
      </c>
      <c r="F1541">
        <v>5419</v>
      </c>
      <c r="G1541" t="s">
        <v>18</v>
      </c>
      <c r="H1541">
        <v>27</v>
      </c>
      <c r="I1541" t="s">
        <v>19</v>
      </c>
      <c r="J1541">
        <v>2007</v>
      </c>
      <c r="K1541">
        <v>2007</v>
      </c>
      <c r="L1541" t="s">
        <v>20</v>
      </c>
      <c r="M1541">
        <v>14488</v>
      </c>
      <c r="N1541">
        <v>2391</v>
      </c>
    </row>
    <row r="1542" spans="1:14" x14ac:dyDescent="0.35">
      <c r="A1542" t="s">
        <v>1612</v>
      </c>
      <c r="B1542" t="s">
        <v>15</v>
      </c>
      <c r="C1542" t="s">
        <v>16</v>
      </c>
      <c r="D1542">
        <v>123</v>
      </c>
      <c r="E1542" t="s">
        <v>1591</v>
      </c>
      <c r="F1542">
        <v>5419</v>
      </c>
      <c r="G1542" t="s">
        <v>18</v>
      </c>
      <c r="H1542">
        <v>27</v>
      </c>
      <c r="I1542" t="s">
        <v>19</v>
      </c>
      <c r="J1542">
        <v>2008</v>
      </c>
      <c r="K1542">
        <v>2008</v>
      </c>
      <c r="L1542" t="s">
        <v>20</v>
      </c>
      <c r="M1542">
        <v>15534</v>
      </c>
      <c r="N1542">
        <v>2391</v>
      </c>
    </row>
    <row r="1543" spans="1:14" x14ac:dyDescent="0.35">
      <c r="A1543" t="s">
        <v>1613</v>
      </c>
      <c r="B1543" t="s">
        <v>15</v>
      </c>
      <c r="C1543" t="s">
        <v>16</v>
      </c>
      <c r="D1543">
        <v>123</v>
      </c>
      <c r="E1543" t="s">
        <v>1591</v>
      </c>
      <c r="F1543">
        <v>5419</v>
      </c>
      <c r="G1543" t="s">
        <v>18</v>
      </c>
      <c r="H1543">
        <v>27</v>
      </c>
      <c r="I1543" t="s">
        <v>19</v>
      </c>
      <c r="J1543">
        <v>2009</v>
      </c>
      <c r="K1543">
        <v>2009</v>
      </c>
      <c r="L1543" t="s">
        <v>20</v>
      </c>
      <c r="M1543">
        <v>11835</v>
      </c>
      <c r="N1543">
        <v>2391</v>
      </c>
    </row>
    <row r="1544" spans="1:14" x14ac:dyDescent="0.35">
      <c r="A1544" t="s">
        <v>1614</v>
      </c>
      <c r="B1544" t="s">
        <v>15</v>
      </c>
      <c r="C1544" t="s">
        <v>16</v>
      </c>
      <c r="D1544">
        <v>123</v>
      </c>
      <c r="E1544" t="s">
        <v>1591</v>
      </c>
      <c r="F1544">
        <v>5419</v>
      </c>
      <c r="G1544" t="s">
        <v>18</v>
      </c>
      <c r="H1544">
        <v>27</v>
      </c>
      <c r="I1544" t="s">
        <v>19</v>
      </c>
      <c r="J1544">
        <v>2010</v>
      </c>
      <c r="K1544">
        <v>2010</v>
      </c>
      <c r="L1544" t="s">
        <v>20</v>
      </c>
      <c r="M1544">
        <v>11786</v>
      </c>
      <c r="N1544">
        <v>2391</v>
      </c>
    </row>
    <row r="1545" spans="1:14" x14ac:dyDescent="0.35">
      <c r="A1545" t="s">
        <v>1615</v>
      </c>
      <c r="B1545" t="s">
        <v>15</v>
      </c>
      <c r="C1545" t="s">
        <v>16</v>
      </c>
      <c r="D1545">
        <v>123</v>
      </c>
      <c r="E1545" t="s">
        <v>1591</v>
      </c>
      <c r="F1545">
        <v>5419</v>
      </c>
      <c r="G1545" t="s">
        <v>18</v>
      </c>
      <c r="H1545">
        <v>27</v>
      </c>
      <c r="I1545" t="s">
        <v>19</v>
      </c>
      <c r="J1545">
        <v>2011</v>
      </c>
      <c r="K1545">
        <v>2011</v>
      </c>
      <c r="L1545" t="s">
        <v>20</v>
      </c>
      <c r="M1545">
        <v>11993</v>
      </c>
      <c r="N1545">
        <v>2391</v>
      </c>
    </row>
    <row r="1546" spans="1:14" x14ac:dyDescent="0.35">
      <c r="A1546" t="s">
        <v>1616</v>
      </c>
      <c r="B1546" t="s">
        <v>15</v>
      </c>
      <c r="C1546" t="s">
        <v>16</v>
      </c>
      <c r="D1546">
        <v>123</v>
      </c>
      <c r="E1546" t="s">
        <v>1591</v>
      </c>
      <c r="F1546">
        <v>5419</v>
      </c>
      <c r="G1546" t="s">
        <v>18</v>
      </c>
      <c r="H1546">
        <v>27</v>
      </c>
      <c r="I1546" t="s">
        <v>19</v>
      </c>
      <c r="J1546">
        <v>2012</v>
      </c>
      <c r="K1546">
        <v>2012</v>
      </c>
      <c r="L1546" t="s">
        <v>20</v>
      </c>
      <c r="M1546">
        <v>12853</v>
      </c>
      <c r="N1546">
        <v>2391</v>
      </c>
    </row>
    <row r="1547" spans="1:14" x14ac:dyDescent="0.35">
      <c r="A1547" t="s">
        <v>1617</v>
      </c>
      <c r="B1547" t="s">
        <v>15</v>
      </c>
      <c r="C1547" t="s">
        <v>16</v>
      </c>
      <c r="D1547">
        <v>123</v>
      </c>
      <c r="E1547" t="s">
        <v>1591</v>
      </c>
      <c r="F1547">
        <v>5419</v>
      </c>
      <c r="G1547" t="s">
        <v>18</v>
      </c>
      <c r="H1547">
        <v>27</v>
      </c>
      <c r="I1547" t="s">
        <v>19</v>
      </c>
      <c r="J1547">
        <v>2013</v>
      </c>
      <c r="K1547">
        <v>2013</v>
      </c>
      <c r="L1547" t="s">
        <v>20</v>
      </c>
      <c r="M1547">
        <v>12892</v>
      </c>
      <c r="N1547">
        <v>2391</v>
      </c>
    </row>
    <row r="1548" spans="1:14" x14ac:dyDescent="0.35">
      <c r="A1548" t="s">
        <v>1618</v>
      </c>
      <c r="B1548" t="s">
        <v>15</v>
      </c>
      <c r="C1548" t="s">
        <v>16</v>
      </c>
      <c r="D1548">
        <v>123</v>
      </c>
      <c r="E1548" t="s">
        <v>1591</v>
      </c>
      <c r="F1548">
        <v>5419</v>
      </c>
      <c r="G1548" t="s">
        <v>18</v>
      </c>
      <c r="H1548">
        <v>27</v>
      </c>
      <c r="I1548" t="s">
        <v>19</v>
      </c>
      <c r="J1548">
        <v>2014</v>
      </c>
      <c r="K1548">
        <v>2014</v>
      </c>
      <c r="L1548" t="s">
        <v>20</v>
      </c>
      <c r="M1548">
        <v>12989</v>
      </c>
      <c r="N1548">
        <v>2391</v>
      </c>
    </row>
    <row r="1549" spans="1:14" x14ac:dyDescent="0.35">
      <c r="A1549" t="s">
        <v>1619</v>
      </c>
      <c r="B1549" t="s">
        <v>15</v>
      </c>
      <c r="C1549" t="s">
        <v>16</v>
      </c>
      <c r="D1549">
        <v>123</v>
      </c>
      <c r="E1549" t="s">
        <v>1591</v>
      </c>
      <c r="F1549">
        <v>5419</v>
      </c>
      <c r="G1549" t="s">
        <v>18</v>
      </c>
      <c r="H1549">
        <v>27</v>
      </c>
      <c r="I1549" t="s">
        <v>19</v>
      </c>
      <c r="J1549">
        <v>2015</v>
      </c>
      <c r="K1549">
        <v>2015</v>
      </c>
      <c r="L1549" t="s">
        <v>20</v>
      </c>
      <c r="M1549">
        <v>13101</v>
      </c>
      <c r="N1549">
        <v>2391</v>
      </c>
    </row>
    <row r="1550" spans="1:14" x14ac:dyDescent="0.35">
      <c r="A1550" t="s">
        <v>1620</v>
      </c>
      <c r="B1550" t="s">
        <v>15</v>
      </c>
      <c r="C1550" t="s">
        <v>16</v>
      </c>
      <c r="D1550">
        <v>123</v>
      </c>
      <c r="E1550" t="s">
        <v>1591</v>
      </c>
      <c r="F1550">
        <v>5419</v>
      </c>
      <c r="G1550" t="s">
        <v>18</v>
      </c>
      <c r="H1550">
        <v>27</v>
      </c>
      <c r="I1550" t="s">
        <v>19</v>
      </c>
      <c r="J1550">
        <v>2016</v>
      </c>
      <c r="K1550">
        <v>2016</v>
      </c>
      <c r="L1550" t="s">
        <v>20</v>
      </c>
      <c r="M1550">
        <v>13223</v>
      </c>
      <c r="N1550">
        <v>2391</v>
      </c>
    </row>
    <row r="1551" spans="1:14" x14ac:dyDescent="0.35">
      <c r="A1551" t="s">
        <v>1621</v>
      </c>
      <c r="B1551" t="s">
        <v>15</v>
      </c>
      <c r="C1551" t="s">
        <v>16</v>
      </c>
      <c r="D1551">
        <v>129</v>
      </c>
      <c r="E1551" t="s">
        <v>1622</v>
      </c>
      <c r="F1551">
        <v>5419</v>
      </c>
      <c r="G1551" t="s">
        <v>18</v>
      </c>
      <c r="H1551">
        <v>27</v>
      </c>
      <c r="I1551" t="s">
        <v>19</v>
      </c>
      <c r="J1551">
        <v>1985</v>
      </c>
      <c r="K1551">
        <v>1985</v>
      </c>
      <c r="L1551" t="s">
        <v>20</v>
      </c>
      <c r="M1551">
        <v>18400</v>
      </c>
      <c r="N1551">
        <v>1513</v>
      </c>
    </row>
    <row r="1552" spans="1:14" x14ac:dyDescent="0.35">
      <c r="A1552" t="s">
        <v>1623</v>
      </c>
      <c r="B1552" t="s">
        <v>15</v>
      </c>
      <c r="C1552" t="s">
        <v>16</v>
      </c>
      <c r="D1552">
        <v>129</v>
      </c>
      <c r="E1552" t="s">
        <v>1622</v>
      </c>
      <c r="F1552">
        <v>5419</v>
      </c>
      <c r="G1552" t="s">
        <v>18</v>
      </c>
      <c r="H1552">
        <v>27</v>
      </c>
      <c r="I1552" t="s">
        <v>19</v>
      </c>
      <c r="J1552">
        <v>1986</v>
      </c>
      <c r="K1552">
        <v>1986</v>
      </c>
      <c r="L1552" t="s">
        <v>20</v>
      </c>
      <c r="M1552">
        <v>18780</v>
      </c>
      <c r="N1552">
        <v>1513</v>
      </c>
    </row>
    <row r="1553" spans="1:14" x14ac:dyDescent="0.35">
      <c r="A1553" t="s">
        <v>1624</v>
      </c>
      <c r="B1553" t="s">
        <v>15</v>
      </c>
      <c r="C1553" t="s">
        <v>16</v>
      </c>
      <c r="D1553">
        <v>129</v>
      </c>
      <c r="E1553" t="s">
        <v>1622</v>
      </c>
      <c r="F1553">
        <v>5419</v>
      </c>
      <c r="G1553" t="s">
        <v>18</v>
      </c>
      <c r="H1553">
        <v>27</v>
      </c>
      <c r="I1553" t="s">
        <v>19</v>
      </c>
      <c r="J1553">
        <v>1987</v>
      </c>
      <c r="K1553">
        <v>1987</v>
      </c>
      <c r="L1553" t="s">
        <v>20</v>
      </c>
      <c r="M1553">
        <v>19836</v>
      </c>
      <c r="N1553">
        <v>1513</v>
      </c>
    </row>
    <row r="1554" spans="1:14" x14ac:dyDescent="0.35">
      <c r="A1554" t="s">
        <v>1625</v>
      </c>
      <c r="B1554" t="s">
        <v>15</v>
      </c>
      <c r="C1554" t="s">
        <v>16</v>
      </c>
      <c r="D1554">
        <v>129</v>
      </c>
      <c r="E1554" t="s">
        <v>1622</v>
      </c>
      <c r="F1554">
        <v>5419</v>
      </c>
      <c r="G1554" t="s">
        <v>18</v>
      </c>
      <c r="H1554">
        <v>27</v>
      </c>
      <c r="I1554" t="s">
        <v>19</v>
      </c>
      <c r="J1554">
        <v>1989</v>
      </c>
      <c r="K1554">
        <v>1989</v>
      </c>
      <c r="L1554" t="s">
        <v>20</v>
      </c>
      <c r="M1554">
        <v>20768</v>
      </c>
      <c r="N1554">
        <v>1513</v>
      </c>
    </row>
    <row r="1555" spans="1:14" x14ac:dyDescent="0.35">
      <c r="A1555" t="s">
        <v>1626</v>
      </c>
      <c r="B1555" t="s">
        <v>15</v>
      </c>
      <c r="C1555" t="s">
        <v>16</v>
      </c>
      <c r="D1555">
        <v>129</v>
      </c>
      <c r="E1555" t="s">
        <v>1622</v>
      </c>
      <c r="F1555">
        <v>5419</v>
      </c>
      <c r="G1555" t="s">
        <v>18</v>
      </c>
      <c r="H1555">
        <v>27</v>
      </c>
      <c r="I1555" t="s">
        <v>19</v>
      </c>
      <c r="J1555">
        <v>1990</v>
      </c>
      <c r="K1555">
        <v>1990</v>
      </c>
      <c r="L1555" t="s">
        <v>20</v>
      </c>
      <c r="M1555">
        <v>20773</v>
      </c>
      <c r="N1555">
        <v>1513</v>
      </c>
    </row>
    <row r="1556" spans="1:14" x14ac:dyDescent="0.35">
      <c r="A1556" t="s">
        <v>1627</v>
      </c>
      <c r="B1556" t="s">
        <v>15</v>
      </c>
      <c r="C1556" t="s">
        <v>16</v>
      </c>
      <c r="D1556">
        <v>129</v>
      </c>
      <c r="E1556" t="s">
        <v>1622</v>
      </c>
      <c r="F1556">
        <v>5419</v>
      </c>
      <c r="G1556" t="s">
        <v>18</v>
      </c>
      <c r="H1556">
        <v>27</v>
      </c>
      <c r="I1556" t="s">
        <v>19</v>
      </c>
      <c r="J1556">
        <v>1991</v>
      </c>
      <c r="K1556">
        <v>1991</v>
      </c>
      <c r="L1556" t="s">
        <v>20</v>
      </c>
      <c r="M1556">
        <v>20546</v>
      </c>
      <c r="N1556">
        <v>1513</v>
      </c>
    </row>
    <row r="1557" spans="1:14" x14ac:dyDescent="0.35">
      <c r="A1557" t="s">
        <v>1628</v>
      </c>
      <c r="B1557" t="s">
        <v>15</v>
      </c>
      <c r="C1557" t="s">
        <v>16</v>
      </c>
      <c r="D1557">
        <v>129</v>
      </c>
      <c r="E1557" t="s">
        <v>1622</v>
      </c>
      <c r="F1557">
        <v>5419</v>
      </c>
      <c r="G1557" t="s">
        <v>18</v>
      </c>
      <c r="H1557">
        <v>27</v>
      </c>
      <c r="I1557" t="s">
        <v>19</v>
      </c>
      <c r="J1557">
        <v>1992</v>
      </c>
      <c r="K1557">
        <v>1992</v>
      </c>
      <c r="L1557" t="s">
        <v>20</v>
      </c>
      <c r="M1557">
        <v>20869</v>
      </c>
      <c r="N1557">
        <v>1513</v>
      </c>
    </row>
    <row r="1558" spans="1:14" x14ac:dyDescent="0.35">
      <c r="A1558" t="s">
        <v>1629</v>
      </c>
      <c r="B1558" t="s">
        <v>15</v>
      </c>
      <c r="C1558" t="s">
        <v>16</v>
      </c>
      <c r="D1558">
        <v>129</v>
      </c>
      <c r="E1558" t="s">
        <v>1622</v>
      </c>
      <c r="F1558">
        <v>5419</v>
      </c>
      <c r="G1558" t="s">
        <v>18</v>
      </c>
      <c r="H1558">
        <v>27</v>
      </c>
      <c r="I1558" t="s">
        <v>19</v>
      </c>
      <c r="J1558">
        <v>1993</v>
      </c>
      <c r="K1558">
        <v>1993</v>
      </c>
      <c r="L1558" t="s">
        <v>20</v>
      </c>
      <c r="M1558">
        <v>20782</v>
      </c>
      <c r="N1558">
        <v>1513</v>
      </c>
    </row>
    <row r="1559" spans="1:14" x14ac:dyDescent="0.35">
      <c r="A1559" t="s">
        <v>1630</v>
      </c>
      <c r="B1559" t="s">
        <v>15</v>
      </c>
      <c r="C1559" t="s">
        <v>16</v>
      </c>
      <c r="D1559">
        <v>129</v>
      </c>
      <c r="E1559" t="s">
        <v>1622</v>
      </c>
      <c r="F1559">
        <v>5419</v>
      </c>
      <c r="G1559" t="s">
        <v>18</v>
      </c>
      <c r="H1559">
        <v>27</v>
      </c>
      <c r="I1559" t="s">
        <v>19</v>
      </c>
      <c r="J1559">
        <v>1994</v>
      </c>
      <c r="K1559">
        <v>1994</v>
      </c>
      <c r="L1559" t="s">
        <v>20</v>
      </c>
      <c r="M1559">
        <v>20694</v>
      </c>
      <c r="N1559">
        <v>1513</v>
      </c>
    </row>
    <row r="1560" spans="1:14" x14ac:dyDescent="0.35">
      <c r="A1560" t="s">
        <v>1631</v>
      </c>
      <c r="B1560" t="s">
        <v>15</v>
      </c>
      <c r="C1560" t="s">
        <v>16</v>
      </c>
      <c r="D1560">
        <v>129</v>
      </c>
      <c r="E1560" t="s">
        <v>1622</v>
      </c>
      <c r="F1560">
        <v>5419</v>
      </c>
      <c r="G1560" t="s">
        <v>18</v>
      </c>
      <c r="H1560">
        <v>27</v>
      </c>
      <c r="I1560" t="s">
        <v>19</v>
      </c>
      <c r="J1560">
        <v>1995</v>
      </c>
      <c r="K1560">
        <v>1995</v>
      </c>
      <c r="L1560" t="s">
        <v>20</v>
      </c>
      <c r="M1560">
        <v>21304</v>
      </c>
      <c r="N1560">
        <v>1513</v>
      </c>
    </row>
    <row r="1561" spans="1:14" x14ac:dyDescent="0.35">
      <c r="A1561" t="s">
        <v>1632</v>
      </c>
      <c r="B1561" t="s">
        <v>15</v>
      </c>
      <c r="C1561" t="s">
        <v>16</v>
      </c>
      <c r="D1561">
        <v>129</v>
      </c>
      <c r="E1561" t="s">
        <v>1622</v>
      </c>
      <c r="F1561">
        <v>5419</v>
      </c>
      <c r="G1561" t="s">
        <v>18</v>
      </c>
      <c r="H1561">
        <v>27</v>
      </c>
      <c r="I1561" t="s">
        <v>19</v>
      </c>
      <c r="J1561">
        <v>1996</v>
      </c>
      <c r="K1561">
        <v>1996</v>
      </c>
      <c r="L1561" t="s">
        <v>20</v>
      </c>
      <c r="M1561">
        <v>21930</v>
      </c>
      <c r="N1561">
        <v>1513</v>
      </c>
    </row>
    <row r="1562" spans="1:14" x14ac:dyDescent="0.35">
      <c r="A1562" t="s">
        <v>1633</v>
      </c>
      <c r="B1562" t="s">
        <v>15</v>
      </c>
      <c r="C1562" t="s">
        <v>16</v>
      </c>
      <c r="D1562">
        <v>129</v>
      </c>
      <c r="E1562" t="s">
        <v>1622</v>
      </c>
      <c r="F1562">
        <v>5419</v>
      </c>
      <c r="G1562" t="s">
        <v>18</v>
      </c>
      <c r="H1562">
        <v>27</v>
      </c>
      <c r="I1562" t="s">
        <v>19</v>
      </c>
      <c r="J1562">
        <v>1997</v>
      </c>
      <c r="K1562">
        <v>1997</v>
      </c>
      <c r="L1562" t="s">
        <v>20</v>
      </c>
      <c r="M1562">
        <v>21737</v>
      </c>
      <c r="N1562">
        <v>1513</v>
      </c>
    </row>
    <row r="1563" spans="1:14" x14ac:dyDescent="0.35">
      <c r="A1563" t="s">
        <v>1634</v>
      </c>
      <c r="B1563" t="s">
        <v>15</v>
      </c>
      <c r="C1563" t="s">
        <v>16</v>
      </c>
      <c r="D1563">
        <v>129</v>
      </c>
      <c r="E1563" t="s">
        <v>1622</v>
      </c>
      <c r="F1563">
        <v>5419</v>
      </c>
      <c r="G1563" t="s">
        <v>18</v>
      </c>
      <c r="H1563">
        <v>27</v>
      </c>
      <c r="I1563" t="s">
        <v>19</v>
      </c>
      <c r="J1563">
        <v>1998</v>
      </c>
      <c r="K1563">
        <v>1998</v>
      </c>
      <c r="L1563" t="s">
        <v>20</v>
      </c>
      <c r="M1563">
        <v>20341</v>
      </c>
      <c r="N1563">
        <v>1513</v>
      </c>
    </row>
    <row r="1564" spans="1:14" x14ac:dyDescent="0.35">
      <c r="A1564" t="s">
        <v>1635</v>
      </c>
      <c r="B1564" t="s">
        <v>15</v>
      </c>
      <c r="C1564" t="s">
        <v>16</v>
      </c>
      <c r="D1564">
        <v>129</v>
      </c>
      <c r="E1564" t="s">
        <v>1622</v>
      </c>
      <c r="F1564">
        <v>5419</v>
      </c>
      <c r="G1564" t="s">
        <v>18</v>
      </c>
      <c r="H1564">
        <v>27</v>
      </c>
      <c r="I1564" t="s">
        <v>19</v>
      </c>
      <c r="J1564">
        <v>1999</v>
      </c>
      <c r="K1564">
        <v>1999</v>
      </c>
      <c r="L1564" t="s">
        <v>20</v>
      </c>
      <c r="M1564">
        <v>21284</v>
      </c>
      <c r="N1564">
        <v>1513</v>
      </c>
    </row>
    <row r="1565" spans="1:14" x14ac:dyDescent="0.35">
      <c r="A1565" t="s">
        <v>1636</v>
      </c>
      <c r="B1565" t="s">
        <v>15</v>
      </c>
      <c r="C1565" t="s">
        <v>16</v>
      </c>
      <c r="D1565">
        <v>129</v>
      </c>
      <c r="E1565" t="s">
        <v>1622</v>
      </c>
      <c r="F1565">
        <v>5419</v>
      </c>
      <c r="G1565" t="s">
        <v>18</v>
      </c>
      <c r="H1565">
        <v>27</v>
      </c>
      <c r="I1565" t="s">
        <v>19</v>
      </c>
      <c r="J1565">
        <v>2000</v>
      </c>
      <c r="K1565">
        <v>2000</v>
      </c>
      <c r="L1565" t="s">
        <v>20</v>
      </c>
      <c r="M1565">
        <v>20512</v>
      </c>
      <c r="N1565">
        <v>1513</v>
      </c>
    </row>
    <row r="1566" spans="1:14" x14ac:dyDescent="0.35">
      <c r="A1566" t="s">
        <v>1637</v>
      </c>
      <c r="B1566" t="s">
        <v>15</v>
      </c>
      <c r="C1566" t="s">
        <v>16</v>
      </c>
      <c r="D1566">
        <v>129</v>
      </c>
      <c r="E1566" t="s">
        <v>1622</v>
      </c>
      <c r="F1566">
        <v>5419</v>
      </c>
      <c r="G1566" t="s">
        <v>18</v>
      </c>
      <c r="H1566">
        <v>27</v>
      </c>
      <c r="I1566" t="s">
        <v>19</v>
      </c>
      <c r="J1566">
        <v>2001</v>
      </c>
      <c r="K1566">
        <v>2001</v>
      </c>
      <c r="L1566" t="s">
        <v>20</v>
      </c>
      <c r="M1566">
        <v>21956</v>
      </c>
      <c r="N1566">
        <v>1513</v>
      </c>
    </row>
    <row r="1567" spans="1:14" x14ac:dyDescent="0.35">
      <c r="A1567" t="s">
        <v>1638</v>
      </c>
      <c r="B1567" t="s">
        <v>15</v>
      </c>
      <c r="C1567" t="s">
        <v>16</v>
      </c>
      <c r="D1567">
        <v>129</v>
      </c>
      <c r="E1567" t="s">
        <v>1622</v>
      </c>
      <c r="F1567">
        <v>5419</v>
      </c>
      <c r="G1567" t="s">
        <v>18</v>
      </c>
      <c r="H1567">
        <v>27</v>
      </c>
      <c r="I1567" t="s">
        <v>19</v>
      </c>
      <c r="J1567">
        <v>2002</v>
      </c>
      <c r="K1567">
        <v>2002</v>
      </c>
      <c r="L1567" t="s">
        <v>20</v>
      </c>
      <c r="M1567">
        <v>21414</v>
      </c>
      <c r="N1567">
        <v>1513</v>
      </c>
    </row>
    <row r="1568" spans="1:14" x14ac:dyDescent="0.35">
      <c r="A1568" t="s">
        <v>1639</v>
      </c>
      <c r="B1568" t="s">
        <v>15</v>
      </c>
      <c r="C1568" t="s">
        <v>16</v>
      </c>
      <c r="D1568">
        <v>129</v>
      </c>
      <c r="E1568" t="s">
        <v>1622</v>
      </c>
      <c r="F1568">
        <v>5419</v>
      </c>
      <c r="G1568" t="s">
        <v>18</v>
      </c>
      <c r="H1568">
        <v>27</v>
      </c>
      <c r="I1568" t="s">
        <v>19</v>
      </c>
      <c r="J1568">
        <v>2004</v>
      </c>
      <c r="K1568">
        <v>2004</v>
      </c>
      <c r="L1568" t="s">
        <v>20</v>
      </c>
      <c r="M1568">
        <v>24475</v>
      </c>
      <c r="N1568">
        <v>1513</v>
      </c>
    </row>
    <row r="1569" spans="1:14" x14ac:dyDescent="0.35">
      <c r="A1569" t="s">
        <v>1640</v>
      </c>
      <c r="B1569" t="s">
        <v>15</v>
      </c>
      <c r="C1569" t="s">
        <v>16</v>
      </c>
      <c r="D1569">
        <v>129</v>
      </c>
      <c r="E1569" t="s">
        <v>1622</v>
      </c>
      <c r="F1569">
        <v>5419</v>
      </c>
      <c r="G1569" t="s">
        <v>18</v>
      </c>
      <c r="H1569">
        <v>27</v>
      </c>
      <c r="I1569" t="s">
        <v>19</v>
      </c>
      <c r="J1569">
        <v>2005</v>
      </c>
      <c r="K1569">
        <v>2005</v>
      </c>
      <c r="L1569" t="s">
        <v>20</v>
      </c>
      <c r="M1569">
        <v>27140</v>
      </c>
      <c r="N1569">
        <v>1513</v>
      </c>
    </row>
    <row r="1570" spans="1:14" x14ac:dyDescent="0.35">
      <c r="A1570" t="s">
        <v>1641</v>
      </c>
      <c r="B1570" t="s">
        <v>15</v>
      </c>
      <c r="C1570" t="s">
        <v>16</v>
      </c>
      <c r="D1570">
        <v>129</v>
      </c>
      <c r="E1570" t="s">
        <v>1622</v>
      </c>
      <c r="F1570">
        <v>5419</v>
      </c>
      <c r="G1570" t="s">
        <v>18</v>
      </c>
      <c r="H1570">
        <v>27</v>
      </c>
      <c r="I1570" t="s">
        <v>19</v>
      </c>
      <c r="J1570">
        <v>2006</v>
      </c>
      <c r="K1570">
        <v>2006</v>
      </c>
      <c r="L1570" t="s">
        <v>20</v>
      </c>
      <c r="M1570">
        <v>27667</v>
      </c>
      <c r="N1570">
        <v>1513</v>
      </c>
    </row>
    <row r="1571" spans="1:14" x14ac:dyDescent="0.35">
      <c r="A1571" t="s">
        <v>1642</v>
      </c>
      <c r="B1571" t="s">
        <v>15</v>
      </c>
      <c r="C1571" t="s">
        <v>16</v>
      </c>
      <c r="D1571">
        <v>129</v>
      </c>
      <c r="E1571" t="s">
        <v>1622</v>
      </c>
      <c r="F1571">
        <v>5419</v>
      </c>
      <c r="G1571" t="s">
        <v>18</v>
      </c>
      <c r="H1571">
        <v>27</v>
      </c>
      <c r="I1571" t="s">
        <v>19</v>
      </c>
      <c r="J1571">
        <v>2007</v>
      </c>
      <c r="K1571">
        <v>2007</v>
      </c>
      <c r="L1571" t="s">
        <v>20</v>
      </c>
      <c r="M1571">
        <v>28268</v>
      </c>
      <c r="N1571">
        <v>1513</v>
      </c>
    </row>
    <row r="1572" spans="1:14" x14ac:dyDescent="0.35">
      <c r="A1572" t="s">
        <v>1643</v>
      </c>
      <c r="B1572" t="s">
        <v>15</v>
      </c>
      <c r="C1572" t="s">
        <v>16</v>
      </c>
      <c r="D1572">
        <v>129</v>
      </c>
      <c r="E1572" t="s">
        <v>1622</v>
      </c>
      <c r="F1572">
        <v>5419</v>
      </c>
      <c r="G1572" t="s">
        <v>18</v>
      </c>
      <c r="H1572">
        <v>27</v>
      </c>
      <c r="I1572" t="s">
        <v>19</v>
      </c>
      <c r="J1572">
        <v>2008</v>
      </c>
      <c r="K1572">
        <v>2008</v>
      </c>
      <c r="L1572" t="s">
        <v>20</v>
      </c>
      <c r="M1572">
        <v>30495</v>
      </c>
      <c r="N1572">
        <v>1513</v>
      </c>
    </row>
    <row r="1573" spans="1:14" x14ac:dyDescent="0.35">
      <c r="A1573" t="s">
        <v>1644</v>
      </c>
      <c r="B1573" t="s">
        <v>15</v>
      </c>
      <c r="C1573" t="s">
        <v>16</v>
      </c>
      <c r="D1573">
        <v>129</v>
      </c>
      <c r="E1573" t="s">
        <v>1622</v>
      </c>
      <c r="F1573">
        <v>5419</v>
      </c>
      <c r="G1573" t="s">
        <v>18</v>
      </c>
      <c r="H1573">
        <v>27</v>
      </c>
      <c r="I1573" t="s">
        <v>19</v>
      </c>
      <c r="J1573">
        <v>2009</v>
      </c>
      <c r="K1573">
        <v>2009</v>
      </c>
      <c r="L1573" t="s">
        <v>20</v>
      </c>
      <c r="M1573">
        <v>35056</v>
      </c>
      <c r="N1573">
        <v>1513</v>
      </c>
    </row>
    <row r="1574" spans="1:14" x14ac:dyDescent="0.35">
      <c r="A1574" t="s">
        <v>1645</v>
      </c>
      <c r="B1574" t="s">
        <v>15</v>
      </c>
      <c r="C1574" t="s">
        <v>16</v>
      </c>
      <c r="D1574">
        <v>129</v>
      </c>
      <c r="E1574" t="s">
        <v>1622</v>
      </c>
      <c r="F1574">
        <v>5419</v>
      </c>
      <c r="G1574" t="s">
        <v>18</v>
      </c>
      <c r="H1574">
        <v>27</v>
      </c>
      <c r="I1574" t="s">
        <v>19</v>
      </c>
      <c r="J1574">
        <v>2010</v>
      </c>
      <c r="K1574">
        <v>2010</v>
      </c>
      <c r="L1574" t="s">
        <v>20</v>
      </c>
      <c r="M1574">
        <v>36249</v>
      </c>
      <c r="N1574">
        <v>1513</v>
      </c>
    </row>
    <row r="1575" spans="1:14" x14ac:dyDescent="0.35">
      <c r="A1575" t="s">
        <v>1646</v>
      </c>
      <c r="B1575" t="s">
        <v>15</v>
      </c>
      <c r="C1575" t="s">
        <v>16</v>
      </c>
      <c r="D1575">
        <v>129</v>
      </c>
      <c r="E1575" t="s">
        <v>1622</v>
      </c>
      <c r="F1575">
        <v>5419</v>
      </c>
      <c r="G1575" t="s">
        <v>18</v>
      </c>
      <c r="H1575">
        <v>27</v>
      </c>
      <c r="I1575" t="s">
        <v>19</v>
      </c>
      <c r="J1575">
        <v>2011</v>
      </c>
      <c r="K1575">
        <v>2011</v>
      </c>
      <c r="L1575" t="s">
        <v>20</v>
      </c>
      <c r="M1575">
        <v>37806</v>
      </c>
      <c r="N1575">
        <v>1513</v>
      </c>
    </row>
    <row r="1576" spans="1:14" x14ac:dyDescent="0.35">
      <c r="A1576" t="s">
        <v>1647</v>
      </c>
      <c r="B1576" t="s">
        <v>15</v>
      </c>
      <c r="C1576" t="s">
        <v>16</v>
      </c>
      <c r="D1576">
        <v>129</v>
      </c>
      <c r="E1576" t="s">
        <v>1622</v>
      </c>
      <c r="F1576">
        <v>5419</v>
      </c>
      <c r="G1576" t="s">
        <v>18</v>
      </c>
      <c r="H1576">
        <v>27</v>
      </c>
      <c r="I1576" t="s">
        <v>19</v>
      </c>
      <c r="J1576">
        <v>2012</v>
      </c>
      <c r="K1576">
        <v>2012</v>
      </c>
      <c r="L1576" t="s">
        <v>20</v>
      </c>
      <c r="M1576">
        <v>37661</v>
      </c>
      <c r="N1576">
        <v>1513</v>
      </c>
    </row>
    <row r="1577" spans="1:14" x14ac:dyDescent="0.35">
      <c r="A1577" t="s">
        <v>1648</v>
      </c>
      <c r="B1577" t="s">
        <v>15</v>
      </c>
      <c r="C1577" t="s">
        <v>16</v>
      </c>
      <c r="D1577">
        <v>129</v>
      </c>
      <c r="E1577" t="s">
        <v>1622</v>
      </c>
      <c r="F1577">
        <v>5419</v>
      </c>
      <c r="G1577" t="s">
        <v>18</v>
      </c>
      <c r="H1577">
        <v>27</v>
      </c>
      <c r="I1577" t="s">
        <v>19</v>
      </c>
      <c r="J1577">
        <v>2013</v>
      </c>
      <c r="K1577">
        <v>2013</v>
      </c>
      <c r="L1577" t="s">
        <v>20</v>
      </c>
      <c r="M1577">
        <v>39449</v>
      </c>
      <c r="N1577">
        <v>1513</v>
      </c>
    </row>
    <row r="1578" spans="1:14" x14ac:dyDescent="0.35">
      <c r="A1578" t="s">
        <v>1649</v>
      </c>
      <c r="B1578" t="s">
        <v>15</v>
      </c>
      <c r="C1578" t="s">
        <v>16</v>
      </c>
      <c r="D1578">
        <v>129</v>
      </c>
      <c r="E1578" t="s">
        <v>1622</v>
      </c>
      <c r="F1578">
        <v>5419</v>
      </c>
      <c r="G1578" t="s">
        <v>18</v>
      </c>
      <c r="H1578">
        <v>27</v>
      </c>
      <c r="I1578" t="s">
        <v>19</v>
      </c>
      <c r="J1578">
        <v>2014</v>
      </c>
      <c r="K1578">
        <v>2014</v>
      </c>
      <c r="L1578" t="s">
        <v>20</v>
      </c>
      <c r="M1578">
        <v>41062</v>
      </c>
      <c r="N1578">
        <v>1513</v>
      </c>
    </row>
    <row r="1579" spans="1:14" x14ac:dyDescent="0.35">
      <c r="A1579" t="s">
        <v>1650</v>
      </c>
      <c r="B1579" t="s">
        <v>15</v>
      </c>
      <c r="C1579" t="s">
        <v>16</v>
      </c>
      <c r="D1579">
        <v>129</v>
      </c>
      <c r="E1579" t="s">
        <v>1622</v>
      </c>
      <c r="F1579">
        <v>5419</v>
      </c>
      <c r="G1579" t="s">
        <v>18</v>
      </c>
      <c r="H1579">
        <v>27</v>
      </c>
      <c r="I1579" t="s">
        <v>19</v>
      </c>
      <c r="J1579">
        <v>2015</v>
      </c>
      <c r="K1579">
        <v>2015</v>
      </c>
      <c r="L1579" t="s">
        <v>20</v>
      </c>
      <c r="M1579">
        <v>42674</v>
      </c>
      <c r="N1579">
        <v>1513</v>
      </c>
    </row>
    <row r="1580" spans="1:14" x14ac:dyDescent="0.35">
      <c r="A1580" t="s">
        <v>1651</v>
      </c>
      <c r="B1580" t="s">
        <v>15</v>
      </c>
      <c r="C1580" t="s">
        <v>16</v>
      </c>
      <c r="D1580">
        <v>129</v>
      </c>
      <c r="E1580" t="s">
        <v>1622</v>
      </c>
      <c r="F1580">
        <v>5419</v>
      </c>
      <c r="G1580" t="s">
        <v>18</v>
      </c>
      <c r="H1580">
        <v>27</v>
      </c>
      <c r="I1580" t="s">
        <v>19</v>
      </c>
      <c r="J1580">
        <v>2016</v>
      </c>
      <c r="K1580">
        <v>2016</v>
      </c>
      <c r="L1580" t="s">
        <v>20</v>
      </c>
      <c r="M1580">
        <v>44287</v>
      </c>
      <c r="N1580">
        <v>1513</v>
      </c>
    </row>
    <row r="1581" spans="1:14" x14ac:dyDescent="0.35">
      <c r="A1581" t="s">
        <v>1652</v>
      </c>
      <c r="B1581" t="s">
        <v>15</v>
      </c>
      <c r="C1581" t="s">
        <v>16</v>
      </c>
      <c r="D1581">
        <v>130</v>
      </c>
      <c r="E1581" t="s">
        <v>1653</v>
      </c>
      <c r="F1581">
        <v>5419</v>
      </c>
      <c r="G1581" t="s">
        <v>18</v>
      </c>
      <c r="H1581">
        <v>27</v>
      </c>
      <c r="I1581" t="s">
        <v>19</v>
      </c>
      <c r="J1581">
        <v>1985</v>
      </c>
      <c r="K1581">
        <v>1985</v>
      </c>
      <c r="L1581" t="s">
        <v>20</v>
      </c>
      <c r="M1581">
        <v>16468</v>
      </c>
      <c r="N1581">
        <v>1181</v>
      </c>
    </row>
    <row r="1582" spans="1:14" x14ac:dyDescent="0.35">
      <c r="A1582" t="s">
        <v>1654</v>
      </c>
      <c r="B1582" t="s">
        <v>15</v>
      </c>
      <c r="C1582" t="s">
        <v>16</v>
      </c>
      <c r="D1582">
        <v>130</v>
      </c>
      <c r="E1582" t="s">
        <v>1653</v>
      </c>
      <c r="F1582">
        <v>5419</v>
      </c>
      <c r="G1582" t="s">
        <v>18</v>
      </c>
      <c r="H1582">
        <v>27</v>
      </c>
      <c r="I1582" t="s">
        <v>19</v>
      </c>
      <c r="J1582">
        <v>1986</v>
      </c>
      <c r="K1582">
        <v>1986</v>
      </c>
      <c r="L1582" t="s">
        <v>20</v>
      </c>
      <c r="M1582">
        <v>16354</v>
      </c>
      <c r="N1582">
        <v>1181</v>
      </c>
    </row>
    <row r="1583" spans="1:14" x14ac:dyDescent="0.35">
      <c r="A1583" t="s">
        <v>1655</v>
      </c>
      <c r="B1583" t="s">
        <v>15</v>
      </c>
      <c r="C1583" t="s">
        <v>16</v>
      </c>
      <c r="D1583">
        <v>130</v>
      </c>
      <c r="E1583" t="s">
        <v>1653</v>
      </c>
      <c r="F1583">
        <v>5419</v>
      </c>
      <c r="G1583" t="s">
        <v>18</v>
      </c>
      <c r="H1583">
        <v>27</v>
      </c>
      <c r="I1583" t="s">
        <v>19</v>
      </c>
      <c r="J1583">
        <v>1987</v>
      </c>
      <c r="K1583">
        <v>1987</v>
      </c>
      <c r="L1583" t="s">
        <v>20</v>
      </c>
      <c r="M1583">
        <v>14905</v>
      </c>
      <c r="N1583">
        <v>1181</v>
      </c>
    </row>
    <row r="1584" spans="1:14" x14ac:dyDescent="0.35">
      <c r="A1584" t="s">
        <v>1656</v>
      </c>
      <c r="B1584" t="s">
        <v>15</v>
      </c>
      <c r="C1584" t="s">
        <v>16</v>
      </c>
      <c r="D1584">
        <v>130</v>
      </c>
      <c r="E1584" t="s">
        <v>1653</v>
      </c>
      <c r="F1584">
        <v>5419</v>
      </c>
      <c r="G1584" t="s">
        <v>18</v>
      </c>
      <c r="H1584">
        <v>27</v>
      </c>
      <c r="I1584" t="s">
        <v>19</v>
      </c>
      <c r="J1584">
        <v>1989</v>
      </c>
      <c r="K1584">
        <v>1989</v>
      </c>
      <c r="L1584" t="s">
        <v>20</v>
      </c>
      <c r="M1584">
        <v>17866</v>
      </c>
      <c r="N1584">
        <v>1181</v>
      </c>
    </row>
    <row r="1585" spans="1:14" x14ac:dyDescent="0.35">
      <c r="A1585" t="s">
        <v>1657</v>
      </c>
      <c r="B1585" t="s">
        <v>15</v>
      </c>
      <c r="C1585" t="s">
        <v>16</v>
      </c>
      <c r="D1585">
        <v>130</v>
      </c>
      <c r="E1585" t="s">
        <v>1653</v>
      </c>
      <c r="F1585">
        <v>5419</v>
      </c>
      <c r="G1585" t="s">
        <v>18</v>
      </c>
      <c r="H1585">
        <v>27</v>
      </c>
      <c r="I1585" t="s">
        <v>19</v>
      </c>
      <c r="J1585">
        <v>1990</v>
      </c>
      <c r="K1585">
        <v>1990</v>
      </c>
      <c r="L1585" t="s">
        <v>20</v>
      </c>
      <c r="M1585">
        <v>14903</v>
      </c>
      <c r="N1585">
        <v>1181</v>
      </c>
    </row>
    <row r="1586" spans="1:14" x14ac:dyDescent="0.35">
      <c r="A1586" t="s">
        <v>1658</v>
      </c>
      <c r="B1586" t="s">
        <v>15</v>
      </c>
      <c r="C1586" t="s">
        <v>16</v>
      </c>
      <c r="D1586">
        <v>130</v>
      </c>
      <c r="E1586" t="s">
        <v>1653</v>
      </c>
      <c r="F1586">
        <v>5419</v>
      </c>
      <c r="G1586" t="s">
        <v>18</v>
      </c>
      <c r="H1586">
        <v>27</v>
      </c>
      <c r="I1586" t="s">
        <v>19</v>
      </c>
      <c r="J1586">
        <v>1991</v>
      </c>
      <c r="K1586">
        <v>1991</v>
      </c>
      <c r="L1586" t="s">
        <v>20</v>
      </c>
      <c r="M1586">
        <v>19237</v>
      </c>
      <c r="N1586">
        <v>1181</v>
      </c>
    </row>
    <row r="1587" spans="1:14" x14ac:dyDescent="0.35">
      <c r="A1587" t="s">
        <v>1659</v>
      </c>
      <c r="B1587" t="s">
        <v>15</v>
      </c>
      <c r="C1587" t="s">
        <v>16</v>
      </c>
      <c r="D1587">
        <v>130</v>
      </c>
      <c r="E1587" t="s">
        <v>1653</v>
      </c>
      <c r="F1587">
        <v>5419</v>
      </c>
      <c r="G1587" t="s">
        <v>18</v>
      </c>
      <c r="H1587">
        <v>27</v>
      </c>
      <c r="I1587" t="s">
        <v>19</v>
      </c>
      <c r="J1587">
        <v>1992</v>
      </c>
      <c r="K1587">
        <v>1992</v>
      </c>
      <c r="L1587" t="s">
        <v>20</v>
      </c>
      <c r="M1587">
        <v>13046</v>
      </c>
      <c r="N1587">
        <v>1181</v>
      </c>
    </row>
    <row r="1588" spans="1:14" x14ac:dyDescent="0.35">
      <c r="A1588" t="s">
        <v>1660</v>
      </c>
      <c r="B1588" t="s">
        <v>15</v>
      </c>
      <c r="C1588" t="s">
        <v>16</v>
      </c>
      <c r="D1588">
        <v>130</v>
      </c>
      <c r="E1588" t="s">
        <v>1653</v>
      </c>
      <c r="F1588">
        <v>5419</v>
      </c>
      <c r="G1588" t="s">
        <v>18</v>
      </c>
      <c r="H1588">
        <v>27</v>
      </c>
      <c r="I1588" t="s">
        <v>19</v>
      </c>
      <c r="J1588">
        <v>1993</v>
      </c>
      <c r="K1588">
        <v>1993</v>
      </c>
      <c r="L1588" t="s">
        <v>20</v>
      </c>
      <c r="M1588">
        <v>16834</v>
      </c>
      <c r="N1588">
        <v>1181</v>
      </c>
    </row>
    <row r="1589" spans="1:14" x14ac:dyDescent="0.35">
      <c r="A1589" t="s">
        <v>1661</v>
      </c>
      <c r="B1589" t="s">
        <v>15</v>
      </c>
      <c r="C1589" t="s">
        <v>16</v>
      </c>
      <c r="D1589">
        <v>130</v>
      </c>
      <c r="E1589" t="s">
        <v>1653</v>
      </c>
      <c r="F1589">
        <v>5419</v>
      </c>
      <c r="G1589" t="s">
        <v>18</v>
      </c>
      <c r="H1589">
        <v>27</v>
      </c>
      <c r="I1589" t="s">
        <v>19</v>
      </c>
      <c r="J1589">
        <v>1994</v>
      </c>
      <c r="K1589">
        <v>1994</v>
      </c>
      <c r="L1589" t="s">
        <v>20</v>
      </c>
      <c r="M1589">
        <v>15195</v>
      </c>
      <c r="N1589">
        <v>1181</v>
      </c>
    </row>
    <row r="1590" spans="1:14" x14ac:dyDescent="0.35">
      <c r="A1590" t="s">
        <v>1662</v>
      </c>
      <c r="B1590" t="s">
        <v>15</v>
      </c>
      <c r="C1590" t="s">
        <v>16</v>
      </c>
      <c r="D1590">
        <v>130</v>
      </c>
      <c r="E1590" t="s">
        <v>1653</v>
      </c>
      <c r="F1590">
        <v>5419</v>
      </c>
      <c r="G1590" t="s">
        <v>18</v>
      </c>
      <c r="H1590">
        <v>27</v>
      </c>
      <c r="I1590" t="s">
        <v>19</v>
      </c>
      <c r="J1590">
        <v>1995</v>
      </c>
      <c r="K1590">
        <v>1995</v>
      </c>
      <c r="L1590" t="s">
        <v>20</v>
      </c>
      <c r="M1590">
        <v>15635</v>
      </c>
      <c r="N1590">
        <v>1181</v>
      </c>
    </row>
    <row r="1591" spans="1:14" x14ac:dyDescent="0.35">
      <c r="A1591" t="s">
        <v>1663</v>
      </c>
      <c r="B1591" t="s">
        <v>15</v>
      </c>
      <c r="C1591" t="s">
        <v>16</v>
      </c>
      <c r="D1591">
        <v>130</v>
      </c>
      <c r="E1591" t="s">
        <v>1653</v>
      </c>
      <c r="F1591">
        <v>5419</v>
      </c>
      <c r="G1591" t="s">
        <v>18</v>
      </c>
      <c r="H1591">
        <v>27</v>
      </c>
      <c r="I1591" t="s">
        <v>19</v>
      </c>
      <c r="J1591">
        <v>1996</v>
      </c>
      <c r="K1591">
        <v>1996</v>
      </c>
      <c r="L1591" t="s">
        <v>20</v>
      </c>
      <c r="M1591">
        <v>17619</v>
      </c>
      <c r="N1591">
        <v>1181</v>
      </c>
    </row>
    <row r="1592" spans="1:14" x14ac:dyDescent="0.35">
      <c r="A1592" t="s">
        <v>1664</v>
      </c>
      <c r="B1592" t="s">
        <v>15</v>
      </c>
      <c r="C1592" t="s">
        <v>16</v>
      </c>
      <c r="D1592">
        <v>130</v>
      </c>
      <c r="E1592" t="s">
        <v>1653</v>
      </c>
      <c r="F1592">
        <v>5419</v>
      </c>
      <c r="G1592" t="s">
        <v>18</v>
      </c>
      <c r="H1592">
        <v>27</v>
      </c>
      <c r="I1592" t="s">
        <v>19</v>
      </c>
      <c r="J1592">
        <v>1997</v>
      </c>
      <c r="K1592">
        <v>1997</v>
      </c>
      <c r="L1592" t="s">
        <v>20</v>
      </c>
      <c r="M1592">
        <v>16273</v>
      </c>
      <c r="N1592">
        <v>1181</v>
      </c>
    </row>
    <row r="1593" spans="1:14" x14ac:dyDescent="0.35">
      <c r="A1593" t="s">
        <v>1665</v>
      </c>
      <c r="B1593" t="s">
        <v>15</v>
      </c>
      <c r="C1593" t="s">
        <v>16</v>
      </c>
      <c r="D1593">
        <v>130</v>
      </c>
      <c r="E1593" t="s">
        <v>1653</v>
      </c>
      <c r="F1593">
        <v>5419</v>
      </c>
      <c r="G1593" t="s">
        <v>18</v>
      </c>
      <c r="H1593">
        <v>27</v>
      </c>
      <c r="I1593" t="s">
        <v>19</v>
      </c>
      <c r="J1593">
        <v>1998</v>
      </c>
      <c r="K1593">
        <v>1998</v>
      </c>
      <c r="L1593" t="s">
        <v>20</v>
      </c>
      <c r="M1593">
        <v>16409</v>
      </c>
      <c r="N1593">
        <v>1181</v>
      </c>
    </row>
    <row r="1594" spans="1:14" x14ac:dyDescent="0.35">
      <c r="A1594" t="s">
        <v>1666</v>
      </c>
      <c r="B1594" t="s">
        <v>15</v>
      </c>
      <c r="C1594" t="s">
        <v>16</v>
      </c>
      <c r="D1594">
        <v>130</v>
      </c>
      <c r="E1594" t="s">
        <v>1653</v>
      </c>
      <c r="F1594">
        <v>5419</v>
      </c>
      <c r="G1594" t="s">
        <v>18</v>
      </c>
      <c r="H1594">
        <v>27</v>
      </c>
      <c r="I1594" t="s">
        <v>19</v>
      </c>
      <c r="J1594">
        <v>1999</v>
      </c>
      <c r="K1594">
        <v>1999</v>
      </c>
      <c r="L1594" t="s">
        <v>20</v>
      </c>
      <c r="M1594">
        <v>20279</v>
      </c>
      <c r="N1594">
        <v>1181</v>
      </c>
    </row>
    <row r="1595" spans="1:14" x14ac:dyDescent="0.35">
      <c r="A1595" t="s">
        <v>1667</v>
      </c>
      <c r="B1595" t="s">
        <v>15</v>
      </c>
      <c r="C1595" t="s">
        <v>16</v>
      </c>
      <c r="D1595">
        <v>130</v>
      </c>
      <c r="E1595" t="s">
        <v>1653</v>
      </c>
      <c r="F1595">
        <v>5419</v>
      </c>
      <c r="G1595" t="s">
        <v>18</v>
      </c>
      <c r="H1595">
        <v>27</v>
      </c>
      <c r="I1595" t="s">
        <v>19</v>
      </c>
      <c r="J1595">
        <v>2000</v>
      </c>
      <c r="K1595">
        <v>2000</v>
      </c>
      <c r="L1595" t="s">
        <v>20</v>
      </c>
      <c r="M1595">
        <v>16451</v>
      </c>
      <c r="N1595">
        <v>1181</v>
      </c>
    </row>
    <row r="1596" spans="1:14" x14ac:dyDescent="0.35">
      <c r="A1596" t="s">
        <v>1668</v>
      </c>
      <c r="B1596" t="s">
        <v>15</v>
      </c>
      <c r="C1596" t="s">
        <v>16</v>
      </c>
      <c r="D1596">
        <v>130</v>
      </c>
      <c r="E1596" t="s">
        <v>1653</v>
      </c>
      <c r="F1596">
        <v>5419</v>
      </c>
      <c r="G1596" t="s">
        <v>18</v>
      </c>
      <c r="H1596">
        <v>27</v>
      </c>
      <c r="I1596" t="s">
        <v>19</v>
      </c>
      <c r="J1596">
        <v>2001</v>
      </c>
      <c r="K1596">
        <v>2001</v>
      </c>
      <c r="L1596" t="s">
        <v>20</v>
      </c>
      <c r="M1596">
        <v>18576</v>
      </c>
      <c r="N1596">
        <v>1181</v>
      </c>
    </row>
    <row r="1597" spans="1:14" x14ac:dyDescent="0.35">
      <c r="A1597" t="s">
        <v>1669</v>
      </c>
      <c r="B1597" t="s">
        <v>15</v>
      </c>
      <c r="C1597" t="s">
        <v>16</v>
      </c>
      <c r="D1597">
        <v>130</v>
      </c>
      <c r="E1597" t="s">
        <v>1653</v>
      </c>
      <c r="F1597">
        <v>5419</v>
      </c>
      <c r="G1597" t="s">
        <v>18</v>
      </c>
      <c r="H1597">
        <v>27</v>
      </c>
      <c r="I1597" t="s">
        <v>19</v>
      </c>
      <c r="J1597">
        <v>2002</v>
      </c>
      <c r="K1597">
        <v>2002</v>
      </c>
      <c r="L1597" t="s">
        <v>20</v>
      </c>
      <c r="M1597">
        <v>16425</v>
      </c>
      <c r="N1597">
        <v>1181</v>
      </c>
    </row>
    <row r="1598" spans="1:14" x14ac:dyDescent="0.35">
      <c r="A1598" t="s">
        <v>1670</v>
      </c>
      <c r="B1598" t="s">
        <v>15</v>
      </c>
      <c r="C1598" t="s">
        <v>16</v>
      </c>
      <c r="D1598">
        <v>130</v>
      </c>
      <c r="E1598" t="s">
        <v>1653</v>
      </c>
      <c r="F1598">
        <v>5419</v>
      </c>
      <c r="G1598" t="s">
        <v>18</v>
      </c>
      <c r="H1598">
        <v>27</v>
      </c>
      <c r="I1598" t="s">
        <v>19</v>
      </c>
      <c r="J1598">
        <v>2004</v>
      </c>
      <c r="K1598">
        <v>2004</v>
      </c>
      <c r="L1598" t="s">
        <v>20</v>
      </c>
      <c r="M1598">
        <v>11681</v>
      </c>
      <c r="N1598">
        <v>1181</v>
      </c>
    </row>
    <row r="1599" spans="1:14" x14ac:dyDescent="0.35">
      <c r="A1599" t="s">
        <v>1671</v>
      </c>
      <c r="B1599" t="s">
        <v>15</v>
      </c>
      <c r="C1599" t="s">
        <v>16</v>
      </c>
      <c r="D1599">
        <v>130</v>
      </c>
      <c r="E1599" t="s">
        <v>1653</v>
      </c>
      <c r="F1599">
        <v>5419</v>
      </c>
      <c r="G1599" t="s">
        <v>18</v>
      </c>
      <c r="H1599">
        <v>27</v>
      </c>
      <c r="I1599" t="s">
        <v>19</v>
      </c>
      <c r="J1599">
        <v>2005</v>
      </c>
      <c r="K1599">
        <v>2005</v>
      </c>
      <c r="L1599" t="s">
        <v>20</v>
      </c>
      <c r="M1599">
        <v>8424</v>
      </c>
      <c r="N1599">
        <v>1181</v>
      </c>
    </row>
    <row r="1600" spans="1:14" x14ac:dyDescent="0.35">
      <c r="A1600" t="s">
        <v>1672</v>
      </c>
      <c r="B1600" t="s">
        <v>15</v>
      </c>
      <c r="C1600" t="s">
        <v>16</v>
      </c>
      <c r="D1600">
        <v>130</v>
      </c>
      <c r="E1600" t="s">
        <v>1653</v>
      </c>
      <c r="F1600">
        <v>5419</v>
      </c>
      <c r="G1600" t="s">
        <v>18</v>
      </c>
      <c r="H1600">
        <v>27</v>
      </c>
      <c r="I1600" t="s">
        <v>19</v>
      </c>
      <c r="J1600">
        <v>2006</v>
      </c>
      <c r="K1600">
        <v>2006</v>
      </c>
      <c r="L1600" t="s">
        <v>20</v>
      </c>
      <c r="M1600">
        <v>17576</v>
      </c>
      <c r="N1600">
        <v>1181</v>
      </c>
    </row>
    <row r="1601" spans="1:14" x14ac:dyDescent="0.35">
      <c r="A1601" t="s">
        <v>1673</v>
      </c>
      <c r="B1601" t="s">
        <v>15</v>
      </c>
      <c r="C1601" t="s">
        <v>16</v>
      </c>
      <c r="D1601">
        <v>130</v>
      </c>
      <c r="E1601" t="s">
        <v>1653</v>
      </c>
      <c r="F1601">
        <v>5419</v>
      </c>
      <c r="G1601" t="s">
        <v>18</v>
      </c>
      <c r="H1601">
        <v>27</v>
      </c>
      <c r="I1601" t="s">
        <v>19</v>
      </c>
      <c r="J1601">
        <v>2007</v>
      </c>
      <c r="K1601">
        <v>2007</v>
      </c>
      <c r="L1601" t="s">
        <v>20</v>
      </c>
      <c r="M1601">
        <v>19481</v>
      </c>
      <c r="N1601">
        <v>1181</v>
      </c>
    </row>
    <row r="1602" spans="1:14" x14ac:dyDescent="0.35">
      <c r="A1602" t="s">
        <v>1674</v>
      </c>
      <c r="B1602" t="s">
        <v>15</v>
      </c>
      <c r="C1602" t="s">
        <v>16</v>
      </c>
      <c r="D1602">
        <v>130</v>
      </c>
      <c r="E1602" t="s">
        <v>1653</v>
      </c>
      <c r="F1602">
        <v>5419</v>
      </c>
      <c r="G1602" t="s">
        <v>18</v>
      </c>
      <c r="H1602">
        <v>27</v>
      </c>
      <c r="I1602" t="s">
        <v>19</v>
      </c>
      <c r="J1602">
        <v>2008</v>
      </c>
      <c r="K1602">
        <v>2008</v>
      </c>
      <c r="L1602" t="s">
        <v>20</v>
      </c>
      <c r="M1602">
        <v>18200</v>
      </c>
      <c r="N1602">
        <v>1181</v>
      </c>
    </row>
    <row r="1603" spans="1:14" x14ac:dyDescent="0.35">
      <c r="A1603" t="s">
        <v>1675</v>
      </c>
      <c r="B1603" t="s">
        <v>15</v>
      </c>
      <c r="C1603" t="s">
        <v>16</v>
      </c>
      <c r="D1603">
        <v>130</v>
      </c>
      <c r="E1603" t="s">
        <v>1653</v>
      </c>
      <c r="F1603">
        <v>5419</v>
      </c>
      <c r="G1603" t="s">
        <v>18</v>
      </c>
      <c r="H1603">
        <v>27</v>
      </c>
      <c r="I1603" t="s">
        <v>19</v>
      </c>
      <c r="J1603">
        <v>2009</v>
      </c>
      <c r="K1603">
        <v>2009</v>
      </c>
      <c r="L1603" t="s">
        <v>20</v>
      </c>
      <c r="M1603">
        <v>21259</v>
      </c>
      <c r="N1603">
        <v>1181</v>
      </c>
    </row>
    <row r="1604" spans="1:14" x14ac:dyDescent="0.35">
      <c r="A1604" t="s">
        <v>1676</v>
      </c>
      <c r="B1604" t="s">
        <v>15</v>
      </c>
      <c r="C1604" t="s">
        <v>16</v>
      </c>
      <c r="D1604">
        <v>130</v>
      </c>
      <c r="E1604" t="s">
        <v>1653</v>
      </c>
      <c r="F1604">
        <v>5419</v>
      </c>
      <c r="G1604" t="s">
        <v>18</v>
      </c>
      <c r="H1604">
        <v>27</v>
      </c>
      <c r="I1604" t="s">
        <v>19</v>
      </c>
      <c r="J1604">
        <v>2010</v>
      </c>
      <c r="K1604">
        <v>2010</v>
      </c>
      <c r="L1604" t="s">
        <v>20</v>
      </c>
      <c r="M1604">
        <v>18631</v>
      </c>
      <c r="N1604">
        <v>1181</v>
      </c>
    </row>
    <row r="1605" spans="1:14" x14ac:dyDescent="0.35">
      <c r="A1605" t="s">
        <v>1677</v>
      </c>
      <c r="B1605" t="s">
        <v>15</v>
      </c>
      <c r="C1605" t="s">
        <v>16</v>
      </c>
      <c r="D1605">
        <v>130</v>
      </c>
      <c r="E1605" t="s">
        <v>1653</v>
      </c>
      <c r="F1605">
        <v>5419</v>
      </c>
      <c r="G1605" t="s">
        <v>18</v>
      </c>
      <c r="H1605">
        <v>27</v>
      </c>
      <c r="I1605" t="s">
        <v>19</v>
      </c>
      <c r="J1605">
        <v>2011</v>
      </c>
      <c r="K1605">
        <v>2011</v>
      </c>
      <c r="L1605" t="s">
        <v>20</v>
      </c>
      <c r="M1605">
        <v>19125</v>
      </c>
      <c r="N1605">
        <v>1181</v>
      </c>
    </row>
    <row r="1606" spans="1:14" x14ac:dyDescent="0.35">
      <c r="A1606" t="s">
        <v>1678</v>
      </c>
      <c r="B1606" t="s">
        <v>15</v>
      </c>
      <c r="C1606" t="s">
        <v>16</v>
      </c>
      <c r="D1606">
        <v>130</v>
      </c>
      <c r="E1606" t="s">
        <v>1653</v>
      </c>
      <c r="F1606">
        <v>5419</v>
      </c>
      <c r="G1606" t="s">
        <v>18</v>
      </c>
      <c r="H1606">
        <v>27</v>
      </c>
      <c r="I1606" t="s">
        <v>19</v>
      </c>
      <c r="J1606">
        <v>2012</v>
      </c>
      <c r="K1606">
        <v>2012</v>
      </c>
      <c r="L1606" t="s">
        <v>20</v>
      </c>
      <c r="M1606">
        <v>18453</v>
      </c>
      <c r="N1606">
        <v>1181</v>
      </c>
    </row>
    <row r="1607" spans="1:14" x14ac:dyDescent="0.35">
      <c r="A1607" t="s">
        <v>1679</v>
      </c>
      <c r="B1607" t="s">
        <v>15</v>
      </c>
      <c r="C1607" t="s">
        <v>16</v>
      </c>
      <c r="D1607">
        <v>130</v>
      </c>
      <c r="E1607" t="s">
        <v>1653</v>
      </c>
      <c r="F1607">
        <v>5419</v>
      </c>
      <c r="G1607" t="s">
        <v>18</v>
      </c>
      <c r="H1607">
        <v>27</v>
      </c>
      <c r="I1607" t="s">
        <v>19</v>
      </c>
      <c r="J1607">
        <v>2013</v>
      </c>
      <c r="K1607">
        <v>2013</v>
      </c>
      <c r="L1607" t="s">
        <v>20</v>
      </c>
      <c r="M1607">
        <v>19174</v>
      </c>
      <c r="N1607">
        <v>1181</v>
      </c>
    </row>
    <row r="1608" spans="1:14" x14ac:dyDescent="0.35">
      <c r="A1608" t="s">
        <v>1680</v>
      </c>
      <c r="B1608" t="s">
        <v>15</v>
      </c>
      <c r="C1608" t="s">
        <v>16</v>
      </c>
      <c r="D1608">
        <v>130</v>
      </c>
      <c r="E1608" t="s">
        <v>1653</v>
      </c>
      <c r="F1608">
        <v>5419</v>
      </c>
      <c r="G1608" t="s">
        <v>18</v>
      </c>
      <c r="H1608">
        <v>27</v>
      </c>
      <c r="I1608" t="s">
        <v>19</v>
      </c>
      <c r="J1608">
        <v>2014</v>
      </c>
      <c r="K1608">
        <v>2014</v>
      </c>
      <c r="L1608" t="s">
        <v>20</v>
      </c>
      <c r="M1608">
        <v>19585</v>
      </c>
      <c r="N1608">
        <v>1181</v>
      </c>
    </row>
    <row r="1609" spans="1:14" x14ac:dyDescent="0.35">
      <c r="A1609" t="s">
        <v>1681</v>
      </c>
      <c r="B1609" t="s">
        <v>15</v>
      </c>
      <c r="C1609" t="s">
        <v>16</v>
      </c>
      <c r="D1609">
        <v>130</v>
      </c>
      <c r="E1609" t="s">
        <v>1653</v>
      </c>
      <c r="F1609">
        <v>5419</v>
      </c>
      <c r="G1609" t="s">
        <v>18</v>
      </c>
      <c r="H1609">
        <v>27</v>
      </c>
      <c r="I1609" t="s">
        <v>19</v>
      </c>
      <c r="J1609">
        <v>2015</v>
      </c>
      <c r="K1609">
        <v>2015</v>
      </c>
      <c r="L1609" t="s">
        <v>20</v>
      </c>
      <c r="M1609">
        <v>16946</v>
      </c>
      <c r="N1609">
        <v>1181</v>
      </c>
    </row>
    <row r="1610" spans="1:14" x14ac:dyDescent="0.35">
      <c r="A1610" t="s">
        <v>1682</v>
      </c>
      <c r="B1610" t="s">
        <v>15</v>
      </c>
      <c r="C1610" t="s">
        <v>16</v>
      </c>
      <c r="D1610">
        <v>130</v>
      </c>
      <c r="E1610" t="s">
        <v>1653</v>
      </c>
      <c r="F1610">
        <v>5419</v>
      </c>
      <c r="G1610" t="s">
        <v>18</v>
      </c>
      <c r="H1610">
        <v>27</v>
      </c>
      <c r="I1610" t="s">
        <v>19</v>
      </c>
      <c r="J1610">
        <v>2016</v>
      </c>
      <c r="K1610">
        <v>2016</v>
      </c>
      <c r="L1610" t="s">
        <v>20</v>
      </c>
      <c r="M1610">
        <v>15604</v>
      </c>
      <c r="N1610">
        <v>1181</v>
      </c>
    </row>
    <row r="1611" spans="1:14" x14ac:dyDescent="0.35">
      <c r="A1611" t="s">
        <v>1683</v>
      </c>
      <c r="B1611" t="s">
        <v>15</v>
      </c>
      <c r="C1611" t="s">
        <v>16</v>
      </c>
      <c r="D1611">
        <v>131</v>
      </c>
      <c r="E1611" t="s">
        <v>1684</v>
      </c>
      <c r="F1611">
        <v>5419</v>
      </c>
      <c r="G1611" t="s">
        <v>18</v>
      </c>
      <c r="H1611">
        <v>27</v>
      </c>
      <c r="I1611" t="s">
        <v>19</v>
      </c>
      <c r="J1611">
        <v>1985</v>
      </c>
      <c r="K1611">
        <v>1985</v>
      </c>
      <c r="L1611" t="s">
        <v>20</v>
      </c>
      <c r="M1611">
        <v>26648</v>
      </c>
      <c r="N1611">
        <v>2875</v>
      </c>
    </row>
    <row r="1612" spans="1:14" x14ac:dyDescent="0.35">
      <c r="A1612" t="s">
        <v>1685</v>
      </c>
      <c r="B1612" t="s">
        <v>15</v>
      </c>
      <c r="C1612" t="s">
        <v>16</v>
      </c>
      <c r="D1612">
        <v>131</v>
      </c>
      <c r="E1612" t="s">
        <v>1684</v>
      </c>
      <c r="F1612">
        <v>5419</v>
      </c>
      <c r="G1612" t="s">
        <v>18</v>
      </c>
      <c r="H1612">
        <v>27</v>
      </c>
      <c r="I1612" t="s">
        <v>19</v>
      </c>
      <c r="J1612">
        <v>1986</v>
      </c>
      <c r="K1612">
        <v>1986</v>
      </c>
      <c r="L1612" t="s">
        <v>20</v>
      </c>
      <c r="M1612">
        <v>26399</v>
      </c>
      <c r="N1612">
        <v>2875</v>
      </c>
    </row>
    <row r="1613" spans="1:14" x14ac:dyDescent="0.35">
      <c r="A1613" t="s">
        <v>1686</v>
      </c>
      <c r="B1613" t="s">
        <v>15</v>
      </c>
      <c r="C1613" t="s">
        <v>16</v>
      </c>
      <c r="D1613">
        <v>131</v>
      </c>
      <c r="E1613" t="s">
        <v>1684</v>
      </c>
      <c r="F1613">
        <v>5419</v>
      </c>
      <c r="G1613" t="s">
        <v>18</v>
      </c>
      <c r="H1613">
        <v>27</v>
      </c>
      <c r="I1613" t="s">
        <v>19</v>
      </c>
      <c r="J1613">
        <v>1987</v>
      </c>
      <c r="K1613">
        <v>1987</v>
      </c>
      <c r="L1613" t="s">
        <v>20</v>
      </c>
      <c r="M1613">
        <v>24686</v>
      </c>
      <c r="N1613">
        <v>2875</v>
      </c>
    </row>
    <row r="1614" spans="1:14" x14ac:dyDescent="0.35">
      <c r="A1614" t="s">
        <v>1687</v>
      </c>
      <c r="B1614" t="s">
        <v>15</v>
      </c>
      <c r="C1614" t="s">
        <v>16</v>
      </c>
      <c r="D1614">
        <v>131</v>
      </c>
      <c r="E1614" t="s">
        <v>1684</v>
      </c>
      <c r="F1614">
        <v>5419</v>
      </c>
      <c r="G1614" t="s">
        <v>18</v>
      </c>
      <c r="H1614">
        <v>27</v>
      </c>
      <c r="I1614" t="s">
        <v>19</v>
      </c>
      <c r="J1614">
        <v>1989</v>
      </c>
      <c r="K1614">
        <v>1989</v>
      </c>
      <c r="L1614" t="s">
        <v>20</v>
      </c>
      <c r="M1614">
        <v>26251</v>
      </c>
      <c r="N1614">
        <v>2875</v>
      </c>
    </row>
    <row r="1615" spans="1:14" x14ac:dyDescent="0.35">
      <c r="A1615" t="s">
        <v>1688</v>
      </c>
      <c r="B1615" t="s">
        <v>15</v>
      </c>
      <c r="C1615" t="s">
        <v>16</v>
      </c>
      <c r="D1615">
        <v>131</v>
      </c>
      <c r="E1615" t="s">
        <v>1684</v>
      </c>
      <c r="F1615">
        <v>5419</v>
      </c>
      <c r="G1615" t="s">
        <v>18</v>
      </c>
      <c r="H1615">
        <v>27</v>
      </c>
      <c r="I1615" t="s">
        <v>19</v>
      </c>
      <c r="J1615">
        <v>1990</v>
      </c>
      <c r="K1615">
        <v>1990</v>
      </c>
      <c r="L1615" t="s">
        <v>20</v>
      </c>
      <c r="M1615">
        <v>27694</v>
      </c>
      <c r="N1615">
        <v>2875</v>
      </c>
    </row>
    <row r="1616" spans="1:14" x14ac:dyDescent="0.35">
      <c r="A1616" t="s">
        <v>1689</v>
      </c>
      <c r="B1616" t="s">
        <v>15</v>
      </c>
      <c r="C1616" t="s">
        <v>16</v>
      </c>
      <c r="D1616">
        <v>131</v>
      </c>
      <c r="E1616" t="s">
        <v>1684</v>
      </c>
      <c r="F1616">
        <v>5419</v>
      </c>
      <c r="G1616" t="s">
        <v>18</v>
      </c>
      <c r="H1616">
        <v>27</v>
      </c>
      <c r="I1616" t="s">
        <v>19</v>
      </c>
      <c r="J1616">
        <v>1991</v>
      </c>
      <c r="K1616">
        <v>1991</v>
      </c>
      <c r="L1616" t="s">
        <v>20</v>
      </c>
      <c r="M1616">
        <v>28178</v>
      </c>
      <c r="N1616">
        <v>2875</v>
      </c>
    </row>
    <row r="1617" spans="1:14" x14ac:dyDescent="0.35">
      <c r="A1617" t="s">
        <v>1690</v>
      </c>
      <c r="B1617" t="s">
        <v>15</v>
      </c>
      <c r="C1617" t="s">
        <v>16</v>
      </c>
      <c r="D1617">
        <v>131</v>
      </c>
      <c r="E1617" t="s">
        <v>1684</v>
      </c>
      <c r="F1617">
        <v>5419</v>
      </c>
      <c r="G1617" t="s">
        <v>18</v>
      </c>
      <c r="H1617">
        <v>27</v>
      </c>
      <c r="I1617" t="s">
        <v>19</v>
      </c>
      <c r="J1617">
        <v>1992</v>
      </c>
      <c r="K1617">
        <v>1992</v>
      </c>
      <c r="L1617" t="s">
        <v>20</v>
      </c>
      <c r="M1617">
        <v>29918</v>
      </c>
      <c r="N1617">
        <v>2875</v>
      </c>
    </row>
    <row r="1618" spans="1:14" x14ac:dyDescent="0.35">
      <c r="A1618" t="s">
        <v>1691</v>
      </c>
      <c r="B1618" t="s">
        <v>15</v>
      </c>
      <c r="C1618" t="s">
        <v>16</v>
      </c>
      <c r="D1618">
        <v>131</v>
      </c>
      <c r="E1618" t="s">
        <v>1684</v>
      </c>
      <c r="F1618">
        <v>5419</v>
      </c>
      <c r="G1618" t="s">
        <v>18</v>
      </c>
      <c r="H1618">
        <v>27</v>
      </c>
      <c r="I1618" t="s">
        <v>19</v>
      </c>
      <c r="J1618">
        <v>1993</v>
      </c>
      <c r="K1618">
        <v>1993</v>
      </c>
      <c r="L1618" t="s">
        <v>20</v>
      </c>
      <c r="M1618">
        <v>30348</v>
      </c>
      <c r="N1618">
        <v>2875</v>
      </c>
    </row>
    <row r="1619" spans="1:14" x14ac:dyDescent="0.35">
      <c r="A1619" t="s">
        <v>1692</v>
      </c>
      <c r="B1619" t="s">
        <v>15</v>
      </c>
      <c r="C1619" t="s">
        <v>16</v>
      </c>
      <c r="D1619">
        <v>131</v>
      </c>
      <c r="E1619" t="s">
        <v>1684</v>
      </c>
      <c r="F1619">
        <v>5419</v>
      </c>
      <c r="G1619" t="s">
        <v>18</v>
      </c>
      <c r="H1619">
        <v>27</v>
      </c>
      <c r="I1619" t="s">
        <v>19</v>
      </c>
      <c r="J1619">
        <v>1994</v>
      </c>
      <c r="K1619">
        <v>1994</v>
      </c>
      <c r="L1619" t="s">
        <v>20</v>
      </c>
      <c r="M1619">
        <v>30614</v>
      </c>
      <c r="N1619">
        <v>2875</v>
      </c>
    </row>
    <row r="1620" spans="1:14" x14ac:dyDescent="0.35">
      <c r="A1620" t="s">
        <v>1693</v>
      </c>
      <c r="B1620" t="s">
        <v>15</v>
      </c>
      <c r="C1620" t="s">
        <v>16</v>
      </c>
      <c r="D1620">
        <v>131</v>
      </c>
      <c r="E1620" t="s">
        <v>1684</v>
      </c>
      <c r="F1620">
        <v>5419</v>
      </c>
      <c r="G1620" t="s">
        <v>18</v>
      </c>
      <c r="H1620">
        <v>27</v>
      </c>
      <c r="I1620" t="s">
        <v>19</v>
      </c>
      <c r="J1620">
        <v>1995</v>
      </c>
      <c r="K1620">
        <v>1995</v>
      </c>
      <c r="L1620" t="s">
        <v>20</v>
      </c>
      <c r="M1620">
        <v>31619</v>
      </c>
      <c r="N1620">
        <v>2875</v>
      </c>
    </row>
    <row r="1621" spans="1:14" x14ac:dyDescent="0.35">
      <c r="A1621" t="s">
        <v>1694</v>
      </c>
      <c r="B1621" t="s">
        <v>15</v>
      </c>
      <c r="C1621" t="s">
        <v>16</v>
      </c>
      <c r="D1621">
        <v>131</v>
      </c>
      <c r="E1621" t="s">
        <v>1684</v>
      </c>
      <c r="F1621">
        <v>5419</v>
      </c>
      <c r="G1621" t="s">
        <v>18</v>
      </c>
      <c r="H1621">
        <v>27</v>
      </c>
      <c r="I1621" t="s">
        <v>19</v>
      </c>
      <c r="J1621">
        <v>1996</v>
      </c>
      <c r="K1621">
        <v>1996</v>
      </c>
      <c r="L1621" t="s">
        <v>20</v>
      </c>
      <c r="M1621">
        <v>32510</v>
      </c>
      <c r="N1621">
        <v>2875</v>
      </c>
    </row>
    <row r="1622" spans="1:14" x14ac:dyDescent="0.35">
      <c r="A1622" t="s">
        <v>1695</v>
      </c>
      <c r="B1622" t="s">
        <v>15</v>
      </c>
      <c r="C1622" t="s">
        <v>16</v>
      </c>
      <c r="D1622">
        <v>131</v>
      </c>
      <c r="E1622" t="s">
        <v>1684</v>
      </c>
      <c r="F1622">
        <v>5419</v>
      </c>
      <c r="G1622" t="s">
        <v>18</v>
      </c>
      <c r="H1622">
        <v>27</v>
      </c>
      <c r="I1622" t="s">
        <v>19</v>
      </c>
      <c r="J1622">
        <v>1997</v>
      </c>
      <c r="K1622">
        <v>1997</v>
      </c>
      <c r="L1622" t="s">
        <v>20</v>
      </c>
      <c r="M1622">
        <v>30676</v>
      </c>
      <c r="N1622">
        <v>2875</v>
      </c>
    </row>
    <row r="1623" spans="1:14" x14ac:dyDescent="0.35">
      <c r="A1623" t="s">
        <v>1696</v>
      </c>
      <c r="B1623" t="s">
        <v>15</v>
      </c>
      <c r="C1623" t="s">
        <v>16</v>
      </c>
      <c r="D1623">
        <v>131</v>
      </c>
      <c r="E1623" t="s">
        <v>1684</v>
      </c>
      <c r="F1623">
        <v>5419</v>
      </c>
      <c r="G1623" t="s">
        <v>18</v>
      </c>
      <c r="H1623">
        <v>27</v>
      </c>
      <c r="I1623" t="s">
        <v>19</v>
      </c>
      <c r="J1623">
        <v>1998</v>
      </c>
      <c r="K1623">
        <v>1998</v>
      </c>
      <c r="L1623" t="s">
        <v>20</v>
      </c>
      <c r="M1623">
        <v>28829</v>
      </c>
      <c r="N1623">
        <v>2875</v>
      </c>
    </row>
    <row r="1624" spans="1:14" x14ac:dyDescent="0.35">
      <c r="A1624" t="s">
        <v>1697</v>
      </c>
      <c r="B1624" t="s">
        <v>15</v>
      </c>
      <c r="C1624" t="s">
        <v>16</v>
      </c>
      <c r="D1624">
        <v>131</v>
      </c>
      <c r="E1624" t="s">
        <v>1684</v>
      </c>
      <c r="F1624">
        <v>5419</v>
      </c>
      <c r="G1624" t="s">
        <v>18</v>
      </c>
      <c r="H1624">
        <v>27</v>
      </c>
      <c r="I1624" t="s">
        <v>19</v>
      </c>
      <c r="J1624">
        <v>1999</v>
      </c>
      <c r="K1624">
        <v>1999</v>
      </c>
      <c r="L1624" t="s">
        <v>20</v>
      </c>
      <c r="M1624">
        <v>29415</v>
      </c>
      <c r="N1624">
        <v>2875</v>
      </c>
    </row>
    <row r="1625" spans="1:14" x14ac:dyDescent="0.35">
      <c r="A1625" t="s">
        <v>1698</v>
      </c>
      <c r="B1625" t="s">
        <v>15</v>
      </c>
      <c r="C1625" t="s">
        <v>16</v>
      </c>
      <c r="D1625">
        <v>131</v>
      </c>
      <c r="E1625" t="s">
        <v>1684</v>
      </c>
      <c r="F1625">
        <v>5419</v>
      </c>
      <c r="G1625" t="s">
        <v>18</v>
      </c>
      <c r="H1625">
        <v>27</v>
      </c>
      <c r="I1625" t="s">
        <v>19</v>
      </c>
      <c r="J1625">
        <v>2000</v>
      </c>
      <c r="K1625">
        <v>2000</v>
      </c>
      <c r="L1625" t="s">
        <v>20</v>
      </c>
      <c r="M1625">
        <v>30640</v>
      </c>
      <c r="N1625">
        <v>2875</v>
      </c>
    </row>
    <row r="1626" spans="1:14" x14ac:dyDescent="0.35">
      <c r="A1626" t="s">
        <v>1699</v>
      </c>
      <c r="B1626" t="s">
        <v>15</v>
      </c>
      <c r="C1626" t="s">
        <v>16</v>
      </c>
      <c r="D1626">
        <v>131</v>
      </c>
      <c r="E1626" t="s">
        <v>1684</v>
      </c>
      <c r="F1626">
        <v>5419</v>
      </c>
      <c r="G1626" t="s">
        <v>18</v>
      </c>
      <c r="H1626">
        <v>27</v>
      </c>
      <c r="I1626" t="s">
        <v>19</v>
      </c>
      <c r="J1626">
        <v>2001</v>
      </c>
      <c r="K1626">
        <v>2001</v>
      </c>
      <c r="L1626" t="s">
        <v>20</v>
      </c>
      <c r="M1626">
        <v>31101</v>
      </c>
      <c r="N1626">
        <v>2875</v>
      </c>
    </row>
    <row r="1627" spans="1:14" x14ac:dyDescent="0.35">
      <c r="A1627" t="s">
        <v>1700</v>
      </c>
      <c r="B1627" t="s">
        <v>15</v>
      </c>
      <c r="C1627" t="s">
        <v>16</v>
      </c>
      <c r="D1627">
        <v>131</v>
      </c>
      <c r="E1627" t="s">
        <v>1684</v>
      </c>
      <c r="F1627">
        <v>5419</v>
      </c>
      <c r="G1627" t="s">
        <v>18</v>
      </c>
      <c r="H1627">
        <v>27</v>
      </c>
      <c r="I1627" t="s">
        <v>19</v>
      </c>
      <c r="J1627">
        <v>2002</v>
      </c>
      <c r="K1627">
        <v>2002</v>
      </c>
      <c r="L1627" t="s">
        <v>20</v>
      </c>
      <c r="M1627">
        <v>32385</v>
      </c>
      <c r="N1627">
        <v>2875</v>
      </c>
    </row>
    <row r="1628" spans="1:14" x14ac:dyDescent="0.35">
      <c r="A1628" t="s">
        <v>1701</v>
      </c>
      <c r="B1628" t="s">
        <v>15</v>
      </c>
      <c r="C1628" t="s">
        <v>16</v>
      </c>
      <c r="D1628">
        <v>131</v>
      </c>
      <c r="E1628" t="s">
        <v>1684</v>
      </c>
      <c r="F1628">
        <v>5419</v>
      </c>
      <c r="G1628" t="s">
        <v>18</v>
      </c>
      <c r="H1628">
        <v>27</v>
      </c>
      <c r="I1628" t="s">
        <v>19</v>
      </c>
      <c r="J1628">
        <v>2004</v>
      </c>
      <c r="K1628">
        <v>2004</v>
      </c>
      <c r="L1628" t="s">
        <v>20</v>
      </c>
      <c r="M1628">
        <v>33260</v>
      </c>
      <c r="N1628">
        <v>2875</v>
      </c>
    </row>
    <row r="1629" spans="1:14" x14ac:dyDescent="0.35">
      <c r="A1629" t="s">
        <v>1702</v>
      </c>
      <c r="B1629" t="s">
        <v>15</v>
      </c>
      <c r="C1629" t="s">
        <v>16</v>
      </c>
      <c r="D1629">
        <v>131</v>
      </c>
      <c r="E1629" t="s">
        <v>1684</v>
      </c>
      <c r="F1629">
        <v>5419</v>
      </c>
      <c r="G1629" t="s">
        <v>18</v>
      </c>
      <c r="H1629">
        <v>27</v>
      </c>
      <c r="I1629" t="s">
        <v>19</v>
      </c>
      <c r="J1629">
        <v>2005</v>
      </c>
      <c r="K1629">
        <v>2005</v>
      </c>
      <c r="L1629" t="s">
        <v>20</v>
      </c>
      <c r="M1629">
        <v>34221</v>
      </c>
      <c r="N1629">
        <v>2875</v>
      </c>
    </row>
    <row r="1630" spans="1:14" x14ac:dyDescent="0.35">
      <c r="A1630" t="s">
        <v>1703</v>
      </c>
      <c r="B1630" t="s">
        <v>15</v>
      </c>
      <c r="C1630" t="s">
        <v>16</v>
      </c>
      <c r="D1630">
        <v>131</v>
      </c>
      <c r="E1630" t="s">
        <v>1684</v>
      </c>
      <c r="F1630">
        <v>5419</v>
      </c>
      <c r="G1630" t="s">
        <v>18</v>
      </c>
      <c r="H1630">
        <v>27</v>
      </c>
      <c r="I1630" t="s">
        <v>19</v>
      </c>
      <c r="J1630">
        <v>2006</v>
      </c>
      <c r="K1630">
        <v>2006</v>
      </c>
      <c r="L1630" t="s">
        <v>20</v>
      </c>
      <c r="M1630">
        <v>33907</v>
      </c>
      <c r="N1630">
        <v>2875</v>
      </c>
    </row>
    <row r="1631" spans="1:14" x14ac:dyDescent="0.35">
      <c r="A1631" t="s">
        <v>1704</v>
      </c>
      <c r="B1631" t="s">
        <v>15</v>
      </c>
      <c r="C1631" t="s">
        <v>16</v>
      </c>
      <c r="D1631">
        <v>131</v>
      </c>
      <c r="E1631" t="s">
        <v>1684</v>
      </c>
      <c r="F1631">
        <v>5419</v>
      </c>
      <c r="G1631" t="s">
        <v>18</v>
      </c>
      <c r="H1631">
        <v>27</v>
      </c>
      <c r="I1631" t="s">
        <v>19</v>
      </c>
      <c r="J1631">
        <v>2007</v>
      </c>
      <c r="K1631">
        <v>2007</v>
      </c>
      <c r="L1631" t="s">
        <v>20</v>
      </c>
      <c r="M1631">
        <v>35277</v>
      </c>
      <c r="N1631">
        <v>2875</v>
      </c>
    </row>
    <row r="1632" spans="1:14" x14ac:dyDescent="0.35">
      <c r="A1632" t="s">
        <v>1705</v>
      </c>
      <c r="B1632" t="s">
        <v>15</v>
      </c>
      <c r="C1632" t="s">
        <v>16</v>
      </c>
      <c r="D1632">
        <v>131</v>
      </c>
      <c r="E1632" t="s">
        <v>1684</v>
      </c>
      <c r="F1632">
        <v>5419</v>
      </c>
      <c r="G1632" t="s">
        <v>18</v>
      </c>
      <c r="H1632">
        <v>27</v>
      </c>
      <c r="I1632" t="s">
        <v>19</v>
      </c>
      <c r="J1632">
        <v>2008</v>
      </c>
      <c r="K1632">
        <v>2008</v>
      </c>
      <c r="L1632" t="s">
        <v>20</v>
      </c>
      <c r="M1632">
        <v>35836</v>
      </c>
      <c r="N1632">
        <v>2875</v>
      </c>
    </row>
    <row r="1633" spans="1:14" x14ac:dyDescent="0.35">
      <c r="A1633" t="s">
        <v>1706</v>
      </c>
      <c r="B1633" t="s">
        <v>15</v>
      </c>
      <c r="C1633" t="s">
        <v>16</v>
      </c>
      <c r="D1633">
        <v>131</v>
      </c>
      <c r="E1633" t="s">
        <v>1684</v>
      </c>
      <c r="F1633">
        <v>5419</v>
      </c>
      <c r="G1633" t="s">
        <v>18</v>
      </c>
      <c r="H1633">
        <v>27</v>
      </c>
      <c r="I1633" t="s">
        <v>19</v>
      </c>
      <c r="J1633">
        <v>2009</v>
      </c>
      <c r="K1633">
        <v>2009</v>
      </c>
      <c r="L1633" t="s">
        <v>20</v>
      </c>
      <c r="M1633">
        <v>37205</v>
      </c>
      <c r="N1633">
        <v>2875</v>
      </c>
    </row>
    <row r="1634" spans="1:14" x14ac:dyDescent="0.35">
      <c r="A1634" t="s">
        <v>1707</v>
      </c>
      <c r="B1634" t="s">
        <v>15</v>
      </c>
      <c r="C1634" t="s">
        <v>16</v>
      </c>
      <c r="D1634">
        <v>131</v>
      </c>
      <c r="E1634" t="s">
        <v>1684</v>
      </c>
      <c r="F1634">
        <v>5419</v>
      </c>
      <c r="G1634" t="s">
        <v>18</v>
      </c>
      <c r="H1634">
        <v>27</v>
      </c>
      <c r="I1634" t="s">
        <v>19</v>
      </c>
      <c r="J1634">
        <v>2010</v>
      </c>
      <c r="K1634">
        <v>2010</v>
      </c>
      <c r="L1634" t="s">
        <v>20</v>
      </c>
      <c r="M1634">
        <v>36361</v>
      </c>
      <c r="N1634">
        <v>2875</v>
      </c>
    </row>
    <row r="1635" spans="1:14" x14ac:dyDescent="0.35">
      <c r="A1635" t="s">
        <v>1708</v>
      </c>
      <c r="B1635" t="s">
        <v>15</v>
      </c>
      <c r="C1635" t="s">
        <v>16</v>
      </c>
      <c r="D1635">
        <v>131</v>
      </c>
      <c r="E1635" t="s">
        <v>1684</v>
      </c>
      <c r="F1635">
        <v>5419</v>
      </c>
      <c r="G1635" t="s">
        <v>18</v>
      </c>
      <c r="H1635">
        <v>27</v>
      </c>
      <c r="I1635" t="s">
        <v>19</v>
      </c>
      <c r="J1635">
        <v>2011</v>
      </c>
      <c r="K1635">
        <v>2011</v>
      </c>
      <c r="L1635" t="s">
        <v>20</v>
      </c>
      <c r="M1635">
        <v>37468</v>
      </c>
      <c r="N1635">
        <v>2875</v>
      </c>
    </row>
    <row r="1636" spans="1:14" x14ac:dyDescent="0.35">
      <c r="A1636" t="s">
        <v>1709</v>
      </c>
      <c r="B1636" t="s">
        <v>15</v>
      </c>
      <c r="C1636" t="s">
        <v>16</v>
      </c>
      <c r="D1636">
        <v>131</v>
      </c>
      <c r="E1636" t="s">
        <v>1684</v>
      </c>
      <c r="F1636">
        <v>5419</v>
      </c>
      <c r="G1636" t="s">
        <v>18</v>
      </c>
      <c r="H1636">
        <v>27</v>
      </c>
      <c r="I1636" t="s">
        <v>19</v>
      </c>
      <c r="J1636">
        <v>2012</v>
      </c>
      <c r="K1636">
        <v>2012</v>
      </c>
      <c r="L1636" t="s">
        <v>20</v>
      </c>
      <c r="M1636">
        <v>37972</v>
      </c>
      <c r="N1636">
        <v>2875</v>
      </c>
    </row>
    <row r="1637" spans="1:14" x14ac:dyDescent="0.35">
      <c r="A1637" t="s">
        <v>1710</v>
      </c>
      <c r="B1637" t="s">
        <v>15</v>
      </c>
      <c r="C1637" t="s">
        <v>16</v>
      </c>
      <c r="D1637">
        <v>131</v>
      </c>
      <c r="E1637" t="s">
        <v>1684</v>
      </c>
      <c r="F1637">
        <v>5419</v>
      </c>
      <c r="G1637" t="s">
        <v>18</v>
      </c>
      <c r="H1637">
        <v>27</v>
      </c>
      <c r="I1637" t="s">
        <v>19</v>
      </c>
      <c r="J1637">
        <v>2013</v>
      </c>
      <c r="K1637">
        <v>2013</v>
      </c>
      <c r="L1637" t="s">
        <v>20</v>
      </c>
      <c r="M1637">
        <v>38763</v>
      </c>
      <c r="N1637">
        <v>2875</v>
      </c>
    </row>
    <row r="1638" spans="1:14" x14ac:dyDescent="0.35">
      <c r="A1638" t="s">
        <v>1711</v>
      </c>
      <c r="B1638" t="s">
        <v>15</v>
      </c>
      <c r="C1638" t="s">
        <v>16</v>
      </c>
      <c r="D1638">
        <v>131</v>
      </c>
      <c r="E1638" t="s">
        <v>1684</v>
      </c>
      <c r="F1638">
        <v>5419</v>
      </c>
      <c r="G1638" t="s">
        <v>18</v>
      </c>
      <c r="H1638">
        <v>27</v>
      </c>
      <c r="I1638" t="s">
        <v>19</v>
      </c>
      <c r="J1638">
        <v>2014</v>
      </c>
      <c r="K1638">
        <v>2014</v>
      </c>
      <c r="L1638" t="s">
        <v>20</v>
      </c>
      <c r="M1638">
        <v>29855</v>
      </c>
      <c r="N1638">
        <v>2875</v>
      </c>
    </row>
    <row r="1639" spans="1:14" x14ac:dyDescent="0.35">
      <c r="A1639" t="s">
        <v>1712</v>
      </c>
      <c r="B1639" t="s">
        <v>15</v>
      </c>
      <c r="C1639" t="s">
        <v>16</v>
      </c>
      <c r="D1639">
        <v>131</v>
      </c>
      <c r="E1639" t="s">
        <v>1684</v>
      </c>
      <c r="F1639">
        <v>5419</v>
      </c>
      <c r="G1639" t="s">
        <v>18</v>
      </c>
      <c r="H1639">
        <v>27</v>
      </c>
      <c r="I1639" t="s">
        <v>19</v>
      </c>
      <c r="J1639">
        <v>2015</v>
      </c>
      <c r="K1639">
        <v>2015</v>
      </c>
      <c r="L1639" t="s">
        <v>20</v>
      </c>
      <c r="M1639">
        <v>28551</v>
      </c>
      <c r="N1639">
        <v>2875</v>
      </c>
    </row>
    <row r="1640" spans="1:14" x14ac:dyDescent="0.35">
      <c r="A1640" t="s">
        <v>1713</v>
      </c>
      <c r="B1640" t="s">
        <v>15</v>
      </c>
      <c r="C1640" t="s">
        <v>16</v>
      </c>
      <c r="D1640">
        <v>131</v>
      </c>
      <c r="E1640" t="s">
        <v>1684</v>
      </c>
      <c r="F1640">
        <v>5419</v>
      </c>
      <c r="G1640" t="s">
        <v>18</v>
      </c>
      <c r="H1640">
        <v>27</v>
      </c>
      <c r="I1640" t="s">
        <v>19</v>
      </c>
      <c r="J1640">
        <v>2016</v>
      </c>
      <c r="K1640">
        <v>2016</v>
      </c>
      <c r="L1640" t="s">
        <v>20</v>
      </c>
      <c r="M1640">
        <v>31807</v>
      </c>
      <c r="N1640">
        <v>2875</v>
      </c>
    </row>
    <row r="1641" spans="1:14" x14ac:dyDescent="0.35">
      <c r="A1641" t="s">
        <v>1714</v>
      </c>
      <c r="B1641" t="s">
        <v>15</v>
      </c>
      <c r="C1641" t="s">
        <v>16</v>
      </c>
      <c r="D1641">
        <v>133</v>
      </c>
      <c r="E1641" t="s">
        <v>1715</v>
      </c>
      <c r="F1641">
        <v>5419</v>
      </c>
      <c r="G1641" t="s">
        <v>18</v>
      </c>
      <c r="H1641">
        <v>27</v>
      </c>
      <c r="I1641" t="s">
        <v>19</v>
      </c>
      <c r="J1641">
        <v>1985</v>
      </c>
      <c r="K1641">
        <v>1985</v>
      </c>
      <c r="L1641" t="s">
        <v>20</v>
      </c>
      <c r="M1641">
        <v>11569</v>
      </c>
      <c r="N1641">
        <v>282</v>
      </c>
    </row>
    <row r="1642" spans="1:14" x14ac:dyDescent="0.35">
      <c r="A1642" t="s">
        <v>1716</v>
      </c>
      <c r="B1642" t="s">
        <v>15</v>
      </c>
      <c r="C1642" t="s">
        <v>16</v>
      </c>
      <c r="D1642">
        <v>133</v>
      </c>
      <c r="E1642" t="s">
        <v>1715</v>
      </c>
      <c r="F1642">
        <v>5419</v>
      </c>
      <c r="G1642" t="s">
        <v>18</v>
      </c>
      <c r="H1642">
        <v>27</v>
      </c>
      <c r="I1642" t="s">
        <v>19</v>
      </c>
      <c r="J1642">
        <v>1986</v>
      </c>
      <c r="K1642">
        <v>1986</v>
      </c>
      <c r="L1642" t="s">
        <v>20</v>
      </c>
      <c r="M1642">
        <v>11812</v>
      </c>
      <c r="N1642">
        <v>282</v>
      </c>
    </row>
    <row r="1643" spans="1:14" x14ac:dyDescent="0.35">
      <c r="A1643" t="s">
        <v>1717</v>
      </c>
      <c r="B1643" t="s">
        <v>15</v>
      </c>
      <c r="C1643" t="s">
        <v>16</v>
      </c>
      <c r="D1643">
        <v>133</v>
      </c>
      <c r="E1643" t="s">
        <v>1715</v>
      </c>
      <c r="F1643">
        <v>5419</v>
      </c>
      <c r="G1643" t="s">
        <v>18</v>
      </c>
      <c r="H1643">
        <v>27</v>
      </c>
      <c r="I1643" t="s">
        <v>19</v>
      </c>
      <c r="J1643">
        <v>1987</v>
      </c>
      <c r="K1643">
        <v>1987</v>
      </c>
      <c r="L1643" t="s">
        <v>20</v>
      </c>
      <c r="M1643">
        <v>14506</v>
      </c>
      <c r="N1643">
        <v>282</v>
      </c>
    </row>
    <row r="1644" spans="1:14" x14ac:dyDescent="0.35">
      <c r="A1644" t="s">
        <v>1718</v>
      </c>
      <c r="B1644" t="s">
        <v>15</v>
      </c>
      <c r="C1644" t="s">
        <v>16</v>
      </c>
      <c r="D1644">
        <v>133</v>
      </c>
      <c r="E1644" t="s">
        <v>1715</v>
      </c>
      <c r="F1644">
        <v>5419</v>
      </c>
      <c r="G1644" t="s">
        <v>18</v>
      </c>
      <c r="H1644">
        <v>27</v>
      </c>
      <c r="I1644" t="s">
        <v>19</v>
      </c>
      <c r="J1644">
        <v>1989</v>
      </c>
      <c r="K1644">
        <v>1989</v>
      </c>
      <c r="L1644" t="s">
        <v>20</v>
      </c>
      <c r="M1644">
        <v>14626</v>
      </c>
      <c r="N1644">
        <v>282</v>
      </c>
    </row>
    <row r="1645" spans="1:14" x14ac:dyDescent="0.35">
      <c r="A1645" t="s">
        <v>1719</v>
      </c>
      <c r="B1645" t="s">
        <v>15</v>
      </c>
      <c r="C1645" t="s">
        <v>16</v>
      </c>
      <c r="D1645">
        <v>133</v>
      </c>
      <c r="E1645" t="s">
        <v>1715</v>
      </c>
      <c r="F1645">
        <v>5419</v>
      </c>
      <c r="G1645" t="s">
        <v>18</v>
      </c>
      <c r="H1645">
        <v>27</v>
      </c>
      <c r="I1645" t="s">
        <v>19</v>
      </c>
      <c r="J1645">
        <v>1990</v>
      </c>
      <c r="K1645">
        <v>1990</v>
      </c>
      <c r="L1645" t="s">
        <v>20</v>
      </c>
      <c r="M1645">
        <v>14360</v>
      </c>
      <c r="N1645">
        <v>282</v>
      </c>
    </row>
    <row r="1646" spans="1:14" x14ac:dyDescent="0.35">
      <c r="A1646" t="s">
        <v>1720</v>
      </c>
      <c r="B1646" t="s">
        <v>15</v>
      </c>
      <c r="C1646" t="s">
        <v>16</v>
      </c>
      <c r="D1646">
        <v>133</v>
      </c>
      <c r="E1646" t="s">
        <v>1715</v>
      </c>
      <c r="F1646">
        <v>5419</v>
      </c>
      <c r="G1646" t="s">
        <v>18</v>
      </c>
      <c r="H1646">
        <v>27</v>
      </c>
      <c r="I1646" t="s">
        <v>19</v>
      </c>
      <c r="J1646">
        <v>1991</v>
      </c>
      <c r="K1646">
        <v>1991</v>
      </c>
      <c r="L1646" t="s">
        <v>20</v>
      </c>
      <c r="M1646">
        <v>17274</v>
      </c>
      <c r="N1646">
        <v>282</v>
      </c>
    </row>
    <row r="1647" spans="1:14" x14ac:dyDescent="0.35">
      <c r="A1647" t="s">
        <v>1721</v>
      </c>
      <c r="B1647" t="s">
        <v>15</v>
      </c>
      <c r="C1647" t="s">
        <v>16</v>
      </c>
      <c r="D1647">
        <v>133</v>
      </c>
      <c r="E1647" t="s">
        <v>1715</v>
      </c>
      <c r="F1647">
        <v>5419</v>
      </c>
      <c r="G1647" t="s">
        <v>18</v>
      </c>
      <c r="H1647">
        <v>27</v>
      </c>
      <c r="I1647" t="s">
        <v>19</v>
      </c>
      <c r="J1647">
        <v>1992</v>
      </c>
      <c r="K1647">
        <v>1992</v>
      </c>
      <c r="L1647" t="s">
        <v>20</v>
      </c>
      <c r="M1647">
        <v>17583</v>
      </c>
      <c r="N1647">
        <v>282</v>
      </c>
    </row>
    <row r="1648" spans="1:14" x14ac:dyDescent="0.35">
      <c r="A1648" t="s">
        <v>1722</v>
      </c>
      <c r="B1648" t="s">
        <v>15</v>
      </c>
      <c r="C1648" t="s">
        <v>16</v>
      </c>
      <c r="D1648">
        <v>133</v>
      </c>
      <c r="E1648" t="s">
        <v>1715</v>
      </c>
      <c r="F1648">
        <v>5419</v>
      </c>
      <c r="G1648" t="s">
        <v>18</v>
      </c>
      <c r="H1648">
        <v>27</v>
      </c>
      <c r="I1648" t="s">
        <v>19</v>
      </c>
      <c r="J1648">
        <v>1993</v>
      </c>
      <c r="K1648">
        <v>1993</v>
      </c>
      <c r="L1648" t="s">
        <v>20</v>
      </c>
      <c r="M1648">
        <v>17350</v>
      </c>
      <c r="N1648">
        <v>282</v>
      </c>
    </row>
    <row r="1649" spans="1:14" x14ac:dyDescent="0.35">
      <c r="A1649" t="s">
        <v>1723</v>
      </c>
      <c r="B1649" t="s">
        <v>15</v>
      </c>
      <c r="C1649" t="s">
        <v>16</v>
      </c>
      <c r="D1649">
        <v>133</v>
      </c>
      <c r="E1649" t="s">
        <v>1715</v>
      </c>
      <c r="F1649">
        <v>5419</v>
      </c>
      <c r="G1649" t="s">
        <v>18</v>
      </c>
      <c r="H1649">
        <v>27</v>
      </c>
      <c r="I1649" t="s">
        <v>19</v>
      </c>
      <c r="J1649">
        <v>1994</v>
      </c>
      <c r="K1649">
        <v>1994</v>
      </c>
      <c r="L1649" t="s">
        <v>20</v>
      </c>
      <c r="M1649">
        <v>16518</v>
      </c>
      <c r="N1649">
        <v>282</v>
      </c>
    </row>
    <row r="1650" spans="1:14" x14ac:dyDescent="0.35">
      <c r="A1650" t="s">
        <v>1724</v>
      </c>
      <c r="B1650" t="s">
        <v>15</v>
      </c>
      <c r="C1650" t="s">
        <v>16</v>
      </c>
      <c r="D1650">
        <v>133</v>
      </c>
      <c r="E1650" t="s">
        <v>1715</v>
      </c>
      <c r="F1650">
        <v>5419</v>
      </c>
      <c r="G1650" t="s">
        <v>18</v>
      </c>
      <c r="H1650">
        <v>27</v>
      </c>
      <c r="I1650" t="s">
        <v>19</v>
      </c>
      <c r="J1650">
        <v>1995</v>
      </c>
      <c r="K1650">
        <v>1995</v>
      </c>
      <c r="L1650" t="s">
        <v>20</v>
      </c>
      <c r="M1650">
        <v>15484</v>
      </c>
      <c r="N1650">
        <v>282</v>
      </c>
    </row>
    <row r="1651" spans="1:14" x14ac:dyDescent="0.35">
      <c r="A1651" t="s">
        <v>1725</v>
      </c>
      <c r="B1651" t="s">
        <v>15</v>
      </c>
      <c r="C1651" t="s">
        <v>16</v>
      </c>
      <c r="D1651">
        <v>133</v>
      </c>
      <c r="E1651" t="s">
        <v>1715</v>
      </c>
      <c r="F1651">
        <v>5419</v>
      </c>
      <c r="G1651" t="s">
        <v>18</v>
      </c>
      <c r="H1651">
        <v>27</v>
      </c>
      <c r="I1651" t="s">
        <v>19</v>
      </c>
      <c r="J1651">
        <v>1996</v>
      </c>
      <c r="K1651">
        <v>1996</v>
      </c>
      <c r="L1651" t="s">
        <v>20</v>
      </c>
      <c r="M1651">
        <v>19140</v>
      </c>
      <c r="N1651">
        <v>282</v>
      </c>
    </row>
    <row r="1652" spans="1:14" x14ac:dyDescent="0.35">
      <c r="A1652" t="s">
        <v>1726</v>
      </c>
      <c r="B1652" t="s">
        <v>15</v>
      </c>
      <c r="C1652" t="s">
        <v>16</v>
      </c>
      <c r="D1652">
        <v>133</v>
      </c>
      <c r="E1652" t="s">
        <v>1715</v>
      </c>
      <c r="F1652">
        <v>5419</v>
      </c>
      <c r="G1652" t="s">
        <v>18</v>
      </c>
      <c r="H1652">
        <v>27</v>
      </c>
      <c r="I1652" t="s">
        <v>19</v>
      </c>
      <c r="J1652">
        <v>1997</v>
      </c>
      <c r="K1652">
        <v>1997</v>
      </c>
      <c r="L1652" t="s">
        <v>20</v>
      </c>
      <c r="M1652">
        <v>17554</v>
      </c>
      <c r="N1652">
        <v>282</v>
      </c>
    </row>
    <row r="1653" spans="1:14" x14ac:dyDescent="0.35">
      <c r="A1653" t="s">
        <v>1727</v>
      </c>
      <c r="B1653" t="s">
        <v>15</v>
      </c>
      <c r="C1653" t="s">
        <v>16</v>
      </c>
      <c r="D1653">
        <v>133</v>
      </c>
      <c r="E1653" t="s">
        <v>1715</v>
      </c>
      <c r="F1653">
        <v>5419</v>
      </c>
      <c r="G1653" t="s">
        <v>18</v>
      </c>
      <c r="H1653">
        <v>27</v>
      </c>
      <c r="I1653" t="s">
        <v>19</v>
      </c>
      <c r="J1653">
        <v>1998</v>
      </c>
      <c r="K1653">
        <v>1998</v>
      </c>
      <c r="L1653" t="s">
        <v>20</v>
      </c>
      <c r="M1653">
        <v>21991</v>
      </c>
      <c r="N1653">
        <v>282</v>
      </c>
    </row>
    <row r="1654" spans="1:14" x14ac:dyDescent="0.35">
      <c r="A1654" t="s">
        <v>1728</v>
      </c>
      <c r="B1654" t="s">
        <v>15</v>
      </c>
      <c r="C1654" t="s">
        <v>16</v>
      </c>
      <c r="D1654">
        <v>133</v>
      </c>
      <c r="E1654" t="s">
        <v>1715</v>
      </c>
      <c r="F1654">
        <v>5419</v>
      </c>
      <c r="G1654" t="s">
        <v>18</v>
      </c>
      <c r="H1654">
        <v>27</v>
      </c>
      <c r="I1654" t="s">
        <v>19</v>
      </c>
      <c r="J1654">
        <v>1999</v>
      </c>
      <c r="K1654">
        <v>1999</v>
      </c>
      <c r="L1654" t="s">
        <v>20</v>
      </c>
      <c r="M1654">
        <v>22366</v>
      </c>
      <c r="N1654">
        <v>282</v>
      </c>
    </row>
    <row r="1655" spans="1:14" x14ac:dyDescent="0.35">
      <c r="A1655" t="s">
        <v>1729</v>
      </c>
      <c r="B1655" t="s">
        <v>15</v>
      </c>
      <c r="C1655" t="s">
        <v>16</v>
      </c>
      <c r="D1655">
        <v>133</v>
      </c>
      <c r="E1655" t="s">
        <v>1715</v>
      </c>
      <c r="F1655">
        <v>5419</v>
      </c>
      <c r="G1655" t="s">
        <v>18</v>
      </c>
      <c r="H1655">
        <v>27</v>
      </c>
      <c r="I1655" t="s">
        <v>19</v>
      </c>
      <c r="J1655">
        <v>2000</v>
      </c>
      <c r="K1655">
        <v>2000</v>
      </c>
      <c r="L1655" t="s">
        <v>20</v>
      </c>
      <c r="M1655">
        <v>21058</v>
      </c>
      <c r="N1655">
        <v>282</v>
      </c>
    </row>
    <row r="1656" spans="1:14" x14ac:dyDescent="0.35">
      <c r="A1656" t="s">
        <v>1730</v>
      </c>
      <c r="B1656" t="s">
        <v>15</v>
      </c>
      <c r="C1656" t="s">
        <v>16</v>
      </c>
      <c r="D1656">
        <v>133</v>
      </c>
      <c r="E1656" t="s">
        <v>1715</v>
      </c>
      <c r="F1656">
        <v>5419</v>
      </c>
      <c r="G1656" t="s">
        <v>18</v>
      </c>
      <c r="H1656">
        <v>27</v>
      </c>
      <c r="I1656" t="s">
        <v>19</v>
      </c>
      <c r="J1656">
        <v>2001</v>
      </c>
      <c r="K1656">
        <v>2001</v>
      </c>
      <c r="L1656" t="s">
        <v>20</v>
      </c>
      <c r="M1656">
        <v>20095</v>
      </c>
      <c r="N1656">
        <v>282</v>
      </c>
    </row>
    <row r="1657" spans="1:14" x14ac:dyDescent="0.35">
      <c r="A1657" t="s">
        <v>1731</v>
      </c>
      <c r="B1657" t="s">
        <v>15</v>
      </c>
      <c r="C1657" t="s">
        <v>16</v>
      </c>
      <c r="D1657">
        <v>133</v>
      </c>
      <c r="E1657" t="s">
        <v>1715</v>
      </c>
      <c r="F1657">
        <v>5419</v>
      </c>
      <c r="G1657" t="s">
        <v>18</v>
      </c>
      <c r="H1657">
        <v>27</v>
      </c>
      <c r="I1657" t="s">
        <v>19</v>
      </c>
      <c r="J1657">
        <v>2002</v>
      </c>
      <c r="K1657">
        <v>2002</v>
      </c>
      <c r="L1657" t="s">
        <v>20</v>
      </c>
      <c r="M1657">
        <v>19439</v>
      </c>
      <c r="N1657">
        <v>282</v>
      </c>
    </row>
    <row r="1658" spans="1:14" x14ac:dyDescent="0.35">
      <c r="A1658" t="s">
        <v>1732</v>
      </c>
      <c r="B1658" t="s">
        <v>15</v>
      </c>
      <c r="C1658" t="s">
        <v>16</v>
      </c>
      <c r="D1658">
        <v>133</v>
      </c>
      <c r="E1658" t="s">
        <v>1715</v>
      </c>
      <c r="F1658">
        <v>5419</v>
      </c>
      <c r="G1658" t="s">
        <v>18</v>
      </c>
      <c r="H1658">
        <v>27</v>
      </c>
      <c r="I1658" t="s">
        <v>19</v>
      </c>
      <c r="J1658">
        <v>2004</v>
      </c>
      <c r="K1658">
        <v>2004</v>
      </c>
      <c r="L1658" t="s">
        <v>20</v>
      </c>
      <c r="M1658">
        <v>22803</v>
      </c>
      <c r="N1658">
        <v>282</v>
      </c>
    </row>
    <row r="1659" spans="1:14" x14ac:dyDescent="0.35">
      <c r="A1659" t="s">
        <v>1733</v>
      </c>
      <c r="B1659" t="s">
        <v>15</v>
      </c>
      <c r="C1659" t="s">
        <v>16</v>
      </c>
      <c r="D1659">
        <v>133</v>
      </c>
      <c r="E1659" t="s">
        <v>1715</v>
      </c>
      <c r="F1659">
        <v>5419</v>
      </c>
      <c r="G1659" t="s">
        <v>18</v>
      </c>
      <c r="H1659">
        <v>27</v>
      </c>
      <c r="I1659" t="s">
        <v>19</v>
      </c>
      <c r="J1659">
        <v>2005</v>
      </c>
      <c r="K1659">
        <v>2005</v>
      </c>
      <c r="L1659" t="s">
        <v>20</v>
      </c>
      <c r="M1659">
        <v>22845</v>
      </c>
      <c r="N1659">
        <v>282</v>
      </c>
    </row>
    <row r="1660" spans="1:14" x14ac:dyDescent="0.35">
      <c r="A1660" t="s">
        <v>1734</v>
      </c>
      <c r="B1660" t="s">
        <v>15</v>
      </c>
      <c r="C1660" t="s">
        <v>16</v>
      </c>
      <c r="D1660">
        <v>133</v>
      </c>
      <c r="E1660" t="s">
        <v>1715</v>
      </c>
      <c r="F1660">
        <v>5419</v>
      </c>
      <c r="G1660" t="s">
        <v>18</v>
      </c>
      <c r="H1660">
        <v>27</v>
      </c>
      <c r="I1660" t="s">
        <v>19</v>
      </c>
      <c r="J1660">
        <v>2006</v>
      </c>
      <c r="K1660">
        <v>2006</v>
      </c>
      <c r="L1660" t="s">
        <v>20</v>
      </c>
      <c r="M1660">
        <v>25783</v>
      </c>
      <c r="N1660">
        <v>282</v>
      </c>
    </row>
    <row r="1661" spans="1:14" x14ac:dyDescent="0.35">
      <c r="A1661" t="s">
        <v>1735</v>
      </c>
      <c r="B1661" t="s">
        <v>15</v>
      </c>
      <c r="C1661" t="s">
        <v>16</v>
      </c>
      <c r="D1661">
        <v>133</v>
      </c>
      <c r="E1661" t="s">
        <v>1715</v>
      </c>
      <c r="F1661">
        <v>5419</v>
      </c>
      <c r="G1661" t="s">
        <v>18</v>
      </c>
      <c r="H1661">
        <v>27</v>
      </c>
      <c r="I1661" t="s">
        <v>19</v>
      </c>
      <c r="J1661">
        <v>2007</v>
      </c>
      <c r="K1661">
        <v>2007</v>
      </c>
      <c r="L1661" t="s">
        <v>20</v>
      </c>
      <c r="M1661">
        <v>27621</v>
      </c>
      <c r="N1661">
        <v>282</v>
      </c>
    </row>
    <row r="1662" spans="1:14" x14ac:dyDescent="0.35">
      <c r="A1662" t="s">
        <v>1736</v>
      </c>
      <c r="B1662" t="s">
        <v>15</v>
      </c>
      <c r="C1662" t="s">
        <v>16</v>
      </c>
      <c r="D1662">
        <v>133</v>
      </c>
      <c r="E1662" t="s">
        <v>1715</v>
      </c>
      <c r="F1662">
        <v>5419</v>
      </c>
      <c r="G1662" t="s">
        <v>18</v>
      </c>
      <c r="H1662">
        <v>27</v>
      </c>
      <c r="I1662" t="s">
        <v>19</v>
      </c>
      <c r="J1662">
        <v>2008</v>
      </c>
      <c r="K1662">
        <v>2008</v>
      </c>
      <c r="L1662" t="s">
        <v>20</v>
      </c>
      <c r="M1662">
        <v>33660</v>
      </c>
      <c r="N1662">
        <v>282</v>
      </c>
    </row>
    <row r="1663" spans="1:14" x14ac:dyDescent="0.35">
      <c r="A1663" t="s">
        <v>1737</v>
      </c>
      <c r="B1663" t="s">
        <v>15</v>
      </c>
      <c r="C1663" t="s">
        <v>16</v>
      </c>
      <c r="D1663">
        <v>133</v>
      </c>
      <c r="E1663" t="s">
        <v>1715</v>
      </c>
      <c r="F1663">
        <v>5419</v>
      </c>
      <c r="G1663" t="s">
        <v>18</v>
      </c>
      <c r="H1663">
        <v>27</v>
      </c>
      <c r="I1663" t="s">
        <v>19</v>
      </c>
      <c r="J1663">
        <v>2009</v>
      </c>
      <c r="K1663">
        <v>2009</v>
      </c>
      <c r="L1663" t="s">
        <v>20</v>
      </c>
      <c r="M1663">
        <v>30646</v>
      </c>
      <c r="N1663">
        <v>282</v>
      </c>
    </row>
    <row r="1664" spans="1:14" x14ac:dyDescent="0.35">
      <c r="A1664" t="s">
        <v>1738</v>
      </c>
      <c r="B1664" t="s">
        <v>15</v>
      </c>
      <c r="C1664" t="s">
        <v>16</v>
      </c>
      <c r="D1664">
        <v>133</v>
      </c>
      <c r="E1664" t="s">
        <v>1715</v>
      </c>
      <c r="F1664">
        <v>5419</v>
      </c>
      <c r="G1664" t="s">
        <v>18</v>
      </c>
      <c r="H1664">
        <v>27</v>
      </c>
      <c r="I1664" t="s">
        <v>19</v>
      </c>
      <c r="J1664">
        <v>2010</v>
      </c>
      <c r="K1664">
        <v>2010</v>
      </c>
      <c r="L1664" t="s">
        <v>20</v>
      </c>
      <c r="M1664">
        <v>21044</v>
      </c>
      <c r="N1664">
        <v>282</v>
      </c>
    </row>
    <row r="1665" spans="1:14" x14ac:dyDescent="0.35">
      <c r="A1665" t="s">
        <v>1739</v>
      </c>
      <c r="B1665" t="s">
        <v>15</v>
      </c>
      <c r="C1665" t="s">
        <v>16</v>
      </c>
      <c r="D1665">
        <v>133</v>
      </c>
      <c r="E1665" t="s">
        <v>1715</v>
      </c>
      <c r="F1665">
        <v>5419</v>
      </c>
      <c r="G1665" t="s">
        <v>18</v>
      </c>
      <c r="H1665">
        <v>27</v>
      </c>
      <c r="I1665" t="s">
        <v>19</v>
      </c>
      <c r="J1665">
        <v>2011</v>
      </c>
      <c r="K1665">
        <v>2011</v>
      </c>
      <c r="L1665" t="s">
        <v>20</v>
      </c>
      <c r="M1665">
        <v>30210</v>
      </c>
      <c r="N1665">
        <v>282</v>
      </c>
    </row>
    <row r="1666" spans="1:14" x14ac:dyDescent="0.35">
      <c r="A1666" t="s">
        <v>1740</v>
      </c>
      <c r="B1666" t="s">
        <v>15</v>
      </c>
      <c r="C1666" t="s">
        <v>16</v>
      </c>
      <c r="D1666">
        <v>133</v>
      </c>
      <c r="E1666" t="s">
        <v>1715</v>
      </c>
      <c r="F1666">
        <v>5419</v>
      </c>
      <c r="G1666" t="s">
        <v>18</v>
      </c>
      <c r="H1666">
        <v>27</v>
      </c>
      <c r="I1666" t="s">
        <v>19</v>
      </c>
      <c r="J1666">
        <v>2012</v>
      </c>
      <c r="K1666">
        <v>2012</v>
      </c>
      <c r="L1666" t="s">
        <v>20</v>
      </c>
      <c r="M1666">
        <v>34486</v>
      </c>
      <c r="N1666">
        <v>282</v>
      </c>
    </row>
    <row r="1667" spans="1:14" x14ac:dyDescent="0.35">
      <c r="A1667" t="s">
        <v>1741</v>
      </c>
      <c r="B1667" t="s">
        <v>15</v>
      </c>
      <c r="C1667" t="s">
        <v>16</v>
      </c>
      <c r="D1667">
        <v>133</v>
      </c>
      <c r="E1667" t="s">
        <v>1715</v>
      </c>
      <c r="F1667">
        <v>5419</v>
      </c>
      <c r="G1667" t="s">
        <v>18</v>
      </c>
      <c r="H1667">
        <v>27</v>
      </c>
      <c r="I1667" t="s">
        <v>19</v>
      </c>
      <c r="J1667">
        <v>2013</v>
      </c>
      <c r="K1667">
        <v>2013</v>
      </c>
      <c r="L1667" t="s">
        <v>20</v>
      </c>
      <c r="M1667">
        <v>30009</v>
      </c>
      <c r="N1667">
        <v>282</v>
      </c>
    </row>
    <row r="1668" spans="1:14" x14ac:dyDescent="0.35">
      <c r="A1668" t="s">
        <v>1742</v>
      </c>
      <c r="B1668" t="s">
        <v>15</v>
      </c>
      <c r="C1668" t="s">
        <v>16</v>
      </c>
      <c r="D1668">
        <v>133</v>
      </c>
      <c r="E1668" t="s">
        <v>1715</v>
      </c>
      <c r="F1668">
        <v>5419</v>
      </c>
      <c r="G1668" t="s">
        <v>18</v>
      </c>
      <c r="H1668">
        <v>27</v>
      </c>
      <c r="I1668" t="s">
        <v>19</v>
      </c>
      <c r="J1668">
        <v>2014</v>
      </c>
      <c r="K1668">
        <v>2014</v>
      </c>
      <c r="L1668" t="s">
        <v>20</v>
      </c>
      <c r="M1668">
        <v>31670</v>
      </c>
      <c r="N1668">
        <v>282</v>
      </c>
    </row>
    <row r="1669" spans="1:14" x14ac:dyDescent="0.35">
      <c r="A1669" t="s">
        <v>1743</v>
      </c>
      <c r="B1669" t="s">
        <v>15</v>
      </c>
      <c r="C1669" t="s">
        <v>16</v>
      </c>
      <c r="D1669">
        <v>133</v>
      </c>
      <c r="E1669" t="s">
        <v>1715</v>
      </c>
      <c r="F1669">
        <v>5419</v>
      </c>
      <c r="G1669" t="s">
        <v>18</v>
      </c>
      <c r="H1669">
        <v>27</v>
      </c>
      <c r="I1669" t="s">
        <v>19</v>
      </c>
      <c r="J1669">
        <v>2015</v>
      </c>
      <c r="K1669">
        <v>2015</v>
      </c>
      <c r="L1669" t="s">
        <v>20</v>
      </c>
      <c r="M1669">
        <v>30586</v>
      </c>
      <c r="N1669">
        <v>282</v>
      </c>
    </row>
    <row r="1670" spans="1:14" x14ac:dyDescent="0.35">
      <c r="A1670" t="s">
        <v>1744</v>
      </c>
      <c r="B1670" t="s">
        <v>15</v>
      </c>
      <c r="C1670" t="s">
        <v>16</v>
      </c>
      <c r="D1670">
        <v>133</v>
      </c>
      <c r="E1670" t="s">
        <v>1715</v>
      </c>
      <c r="F1670">
        <v>5419</v>
      </c>
      <c r="G1670" t="s">
        <v>18</v>
      </c>
      <c r="H1670">
        <v>27</v>
      </c>
      <c r="I1670" t="s">
        <v>19</v>
      </c>
      <c r="J1670">
        <v>2016</v>
      </c>
      <c r="K1670">
        <v>2016</v>
      </c>
      <c r="L1670" t="s">
        <v>20</v>
      </c>
      <c r="M1670">
        <v>33318</v>
      </c>
      <c r="N1670">
        <v>282</v>
      </c>
    </row>
    <row r="1671" spans="1:14" x14ac:dyDescent="0.35">
      <c r="A1671" t="s">
        <v>1745</v>
      </c>
      <c r="B1671" t="s">
        <v>15</v>
      </c>
      <c r="C1671" t="s">
        <v>16</v>
      </c>
      <c r="D1671">
        <v>136</v>
      </c>
      <c r="E1671" t="s">
        <v>1746</v>
      </c>
      <c r="F1671">
        <v>5419</v>
      </c>
      <c r="G1671" t="s">
        <v>18</v>
      </c>
      <c r="H1671">
        <v>27</v>
      </c>
      <c r="I1671" t="s">
        <v>19</v>
      </c>
      <c r="J1671">
        <v>1985</v>
      </c>
      <c r="K1671">
        <v>1985</v>
      </c>
      <c r="L1671" t="s">
        <v>20</v>
      </c>
      <c r="M1671">
        <v>50000</v>
      </c>
      <c r="N1671">
        <v>92</v>
      </c>
    </row>
    <row r="1672" spans="1:14" x14ac:dyDescent="0.35">
      <c r="A1672" t="s">
        <v>1747</v>
      </c>
      <c r="B1672" t="s">
        <v>15</v>
      </c>
      <c r="C1672" t="s">
        <v>16</v>
      </c>
      <c r="D1672">
        <v>136</v>
      </c>
      <c r="E1672" t="s">
        <v>1746</v>
      </c>
      <c r="F1672">
        <v>5419</v>
      </c>
      <c r="G1672" t="s">
        <v>18</v>
      </c>
      <c r="H1672">
        <v>27</v>
      </c>
      <c r="I1672" t="s">
        <v>19</v>
      </c>
      <c r="J1672">
        <v>1986</v>
      </c>
      <c r="K1672">
        <v>1986</v>
      </c>
      <c r="L1672" t="s">
        <v>20</v>
      </c>
      <c r="M1672">
        <v>50000</v>
      </c>
      <c r="N1672">
        <v>92</v>
      </c>
    </row>
    <row r="1673" spans="1:14" x14ac:dyDescent="0.35">
      <c r="A1673" t="s">
        <v>1748</v>
      </c>
      <c r="B1673" t="s">
        <v>15</v>
      </c>
      <c r="C1673" t="s">
        <v>16</v>
      </c>
      <c r="D1673">
        <v>136</v>
      </c>
      <c r="E1673" t="s">
        <v>1746</v>
      </c>
      <c r="F1673">
        <v>5419</v>
      </c>
      <c r="G1673" t="s">
        <v>18</v>
      </c>
      <c r="H1673">
        <v>27</v>
      </c>
      <c r="I1673" t="s">
        <v>19</v>
      </c>
      <c r="J1673">
        <v>1987</v>
      </c>
      <c r="K1673">
        <v>1987</v>
      </c>
      <c r="L1673" t="s">
        <v>20</v>
      </c>
      <c r="M1673">
        <v>46856</v>
      </c>
      <c r="N1673">
        <v>92</v>
      </c>
    </row>
    <row r="1674" spans="1:14" x14ac:dyDescent="0.35">
      <c r="A1674" t="s">
        <v>1749</v>
      </c>
      <c r="B1674" t="s">
        <v>15</v>
      </c>
      <c r="C1674" t="s">
        <v>16</v>
      </c>
      <c r="D1674">
        <v>136</v>
      </c>
      <c r="E1674" t="s">
        <v>1746</v>
      </c>
      <c r="F1674">
        <v>5419</v>
      </c>
      <c r="G1674" t="s">
        <v>18</v>
      </c>
      <c r="H1674">
        <v>27</v>
      </c>
      <c r="I1674" t="s">
        <v>19</v>
      </c>
      <c r="J1674">
        <v>1989</v>
      </c>
      <c r="K1674">
        <v>1989</v>
      </c>
      <c r="L1674" t="s">
        <v>20</v>
      </c>
      <c r="M1674">
        <v>40342</v>
      </c>
      <c r="N1674">
        <v>92</v>
      </c>
    </row>
    <row r="1675" spans="1:14" x14ac:dyDescent="0.35">
      <c r="A1675" t="s">
        <v>1750</v>
      </c>
      <c r="B1675" t="s">
        <v>15</v>
      </c>
      <c r="C1675" t="s">
        <v>16</v>
      </c>
      <c r="D1675">
        <v>136</v>
      </c>
      <c r="E1675" t="s">
        <v>1746</v>
      </c>
      <c r="F1675">
        <v>5419</v>
      </c>
      <c r="G1675" t="s">
        <v>18</v>
      </c>
      <c r="H1675">
        <v>27</v>
      </c>
      <c r="I1675" t="s">
        <v>19</v>
      </c>
      <c r="J1675">
        <v>1990</v>
      </c>
      <c r="K1675">
        <v>1990</v>
      </c>
      <c r="L1675" t="s">
        <v>20</v>
      </c>
      <c r="M1675">
        <v>33307</v>
      </c>
      <c r="N1675">
        <v>92</v>
      </c>
    </row>
    <row r="1676" spans="1:14" x14ac:dyDescent="0.35">
      <c r="A1676" t="s">
        <v>1751</v>
      </c>
      <c r="B1676" t="s">
        <v>15</v>
      </c>
      <c r="C1676" t="s">
        <v>16</v>
      </c>
      <c r="D1676">
        <v>136</v>
      </c>
      <c r="E1676" t="s">
        <v>1746</v>
      </c>
      <c r="F1676">
        <v>5419</v>
      </c>
      <c r="G1676" t="s">
        <v>18</v>
      </c>
      <c r="H1676">
        <v>27</v>
      </c>
      <c r="I1676" t="s">
        <v>19</v>
      </c>
      <c r="J1676">
        <v>1991</v>
      </c>
      <c r="K1676">
        <v>1991</v>
      </c>
      <c r="L1676" t="s">
        <v>20</v>
      </c>
      <c r="M1676">
        <v>28127</v>
      </c>
      <c r="N1676">
        <v>92</v>
      </c>
    </row>
    <row r="1677" spans="1:14" x14ac:dyDescent="0.35">
      <c r="A1677" t="s">
        <v>1752</v>
      </c>
      <c r="B1677" t="s">
        <v>15</v>
      </c>
      <c r="C1677" t="s">
        <v>16</v>
      </c>
      <c r="D1677">
        <v>136</v>
      </c>
      <c r="E1677" t="s">
        <v>1746</v>
      </c>
      <c r="F1677">
        <v>5419</v>
      </c>
      <c r="G1677" t="s">
        <v>18</v>
      </c>
      <c r="H1677">
        <v>27</v>
      </c>
      <c r="I1677" t="s">
        <v>19</v>
      </c>
      <c r="J1677">
        <v>1992</v>
      </c>
      <c r="K1677">
        <v>1992</v>
      </c>
      <c r="L1677" t="s">
        <v>20</v>
      </c>
      <c r="M1677">
        <v>39870</v>
      </c>
      <c r="N1677">
        <v>92</v>
      </c>
    </row>
    <row r="1678" spans="1:14" x14ac:dyDescent="0.35">
      <c r="A1678" t="s">
        <v>1753</v>
      </c>
      <c r="B1678" t="s">
        <v>15</v>
      </c>
      <c r="C1678" t="s">
        <v>16</v>
      </c>
      <c r="D1678">
        <v>136</v>
      </c>
      <c r="E1678" t="s">
        <v>1746</v>
      </c>
      <c r="F1678">
        <v>5419</v>
      </c>
      <c r="G1678" t="s">
        <v>18</v>
      </c>
      <c r="H1678">
        <v>27</v>
      </c>
      <c r="I1678" t="s">
        <v>19</v>
      </c>
      <c r="J1678">
        <v>1993</v>
      </c>
      <c r="K1678">
        <v>1993</v>
      </c>
      <c r="L1678" t="s">
        <v>20</v>
      </c>
      <c r="M1678">
        <v>32860</v>
      </c>
      <c r="N1678">
        <v>92</v>
      </c>
    </row>
    <row r="1679" spans="1:14" x14ac:dyDescent="0.35">
      <c r="A1679" t="s">
        <v>1754</v>
      </c>
      <c r="B1679" t="s">
        <v>15</v>
      </c>
      <c r="C1679" t="s">
        <v>16</v>
      </c>
      <c r="D1679">
        <v>136</v>
      </c>
      <c r="E1679" t="s">
        <v>1746</v>
      </c>
      <c r="F1679">
        <v>5419</v>
      </c>
      <c r="G1679" t="s">
        <v>18</v>
      </c>
      <c r="H1679">
        <v>27</v>
      </c>
      <c r="I1679" t="s">
        <v>19</v>
      </c>
      <c r="J1679">
        <v>1994</v>
      </c>
      <c r="K1679">
        <v>1994</v>
      </c>
      <c r="L1679" t="s">
        <v>20</v>
      </c>
      <c r="M1679">
        <v>27399</v>
      </c>
      <c r="N1679">
        <v>92</v>
      </c>
    </row>
    <row r="1680" spans="1:14" x14ac:dyDescent="0.35">
      <c r="A1680" t="s">
        <v>1755</v>
      </c>
      <c r="B1680" t="s">
        <v>15</v>
      </c>
      <c r="C1680" t="s">
        <v>16</v>
      </c>
      <c r="D1680">
        <v>136</v>
      </c>
      <c r="E1680" t="s">
        <v>1746</v>
      </c>
      <c r="F1680">
        <v>5419</v>
      </c>
      <c r="G1680" t="s">
        <v>18</v>
      </c>
      <c r="H1680">
        <v>27</v>
      </c>
      <c r="I1680" t="s">
        <v>19</v>
      </c>
      <c r="J1680">
        <v>1995</v>
      </c>
      <c r="K1680">
        <v>1995</v>
      </c>
      <c r="L1680" t="s">
        <v>20</v>
      </c>
      <c r="M1680">
        <v>39360</v>
      </c>
      <c r="N1680">
        <v>92</v>
      </c>
    </row>
    <row r="1681" spans="1:14" x14ac:dyDescent="0.35">
      <c r="A1681" t="s">
        <v>1756</v>
      </c>
      <c r="B1681" t="s">
        <v>15</v>
      </c>
      <c r="C1681" t="s">
        <v>16</v>
      </c>
      <c r="D1681">
        <v>136</v>
      </c>
      <c r="E1681" t="s">
        <v>1746</v>
      </c>
      <c r="F1681">
        <v>5419</v>
      </c>
      <c r="G1681" t="s">
        <v>18</v>
      </c>
      <c r="H1681">
        <v>27</v>
      </c>
      <c r="I1681" t="s">
        <v>19</v>
      </c>
      <c r="J1681">
        <v>1996</v>
      </c>
      <c r="K1681">
        <v>1996</v>
      </c>
      <c r="L1681" t="s">
        <v>20</v>
      </c>
      <c r="M1681">
        <v>38306</v>
      </c>
      <c r="N1681">
        <v>92</v>
      </c>
    </row>
    <row r="1682" spans="1:14" x14ac:dyDescent="0.35">
      <c r="A1682" t="s">
        <v>1757</v>
      </c>
      <c r="B1682" t="s">
        <v>15</v>
      </c>
      <c r="C1682" t="s">
        <v>16</v>
      </c>
      <c r="D1682">
        <v>136</v>
      </c>
      <c r="E1682" t="s">
        <v>1746</v>
      </c>
      <c r="F1682">
        <v>5419</v>
      </c>
      <c r="G1682" t="s">
        <v>18</v>
      </c>
      <c r="H1682">
        <v>27</v>
      </c>
      <c r="I1682" t="s">
        <v>19</v>
      </c>
      <c r="J1682">
        <v>1997</v>
      </c>
      <c r="K1682">
        <v>1997</v>
      </c>
      <c r="L1682" t="s">
        <v>20</v>
      </c>
      <c r="M1682">
        <v>37189</v>
      </c>
      <c r="N1682">
        <v>92</v>
      </c>
    </row>
    <row r="1683" spans="1:14" x14ac:dyDescent="0.35">
      <c r="A1683" t="s">
        <v>1758</v>
      </c>
      <c r="B1683" t="s">
        <v>15</v>
      </c>
      <c r="C1683" t="s">
        <v>16</v>
      </c>
      <c r="D1683">
        <v>136</v>
      </c>
      <c r="E1683" t="s">
        <v>1746</v>
      </c>
      <c r="F1683">
        <v>5419</v>
      </c>
      <c r="G1683" t="s">
        <v>18</v>
      </c>
      <c r="H1683">
        <v>27</v>
      </c>
      <c r="I1683" t="s">
        <v>19</v>
      </c>
      <c r="J1683">
        <v>1998</v>
      </c>
      <c r="K1683">
        <v>1998</v>
      </c>
      <c r="L1683" t="s">
        <v>20</v>
      </c>
      <c r="M1683">
        <v>40598</v>
      </c>
      <c r="N1683">
        <v>92</v>
      </c>
    </row>
    <row r="1684" spans="1:14" x14ac:dyDescent="0.35">
      <c r="A1684" t="s">
        <v>1759</v>
      </c>
      <c r="B1684" t="s">
        <v>15</v>
      </c>
      <c r="C1684" t="s">
        <v>16</v>
      </c>
      <c r="D1684">
        <v>136</v>
      </c>
      <c r="E1684" t="s">
        <v>1746</v>
      </c>
      <c r="F1684">
        <v>5419</v>
      </c>
      <c r="G1684" t="s">
        <v>18</v>
      </c>
      <c r="H1684">
        <v>27</v>
      </c>
      <c r="I1684" t="s">
        <v>19</v>
      </c>
      <c r="J1684">
        <v>1999</v>
      </c>
      <c r="K1684">
        <v>1999</v>
      </c>
      <c r="L1684" t="s">
        <v>20</v>
      </c>
      <c r="M1684">
        <v>39680</v>
      </c>
      <c r="N1684">
        <v>92</v>
      </c>
    </row>
    <row r="1685" spans="1:14" x14ac:dyDescent="0.35">
      <c r="A1685" t="s">
        <v>1760</v>
      </c>
      <c r="B1685" t="s">
        <v>15</v>
      </c>
      <c r="C1685" t="s">
        <v>16</v>
      </c>
      <c r="D1685">
        <v>136</v>
      </c>
      <c r="E1685" t="s">
        <v>1746</v>
      </c>
      <c r="F1685">
        <v>5419</v>
      </c>
      <c r="G1685" t="s">
        <v>18</v>
      </c>
      <c r="H1685">
        <v>27</v>
      </c>
      <c r="I1685" t="s">
        <v>19</v>
      </c>
      <c r="J1685">
        <v>2000</v>
      </c>
      <c r="K1685">
        <v>2000</v>
      </c>
      <c r="L1685" t="s">
        <v>20</v>
      </c>
      <c r="M1685">
        <v>42373</v>
      </c>
      <c r="N1685">
        <v>92</v>
      </c>
    </row>
    <row r="1686" spans="1:14" x14ac:dyDescent="0.35">
      <c r="A1686" t="s">
        <v>1761</v>
      </c>
      <c r="B1686" t="s">
        <v>15</v>
      </c>
      <c r="C1686" t="s">
        <v>16</v>
      </c>
      <c r="D1686">
        <v>136</v>
      </c>
      <c r="E1686" t="s">
        <v>1746</v>
      </c>
      <c r="F1686">
        <v>5419</v>
      </c>
      <c r="G1686" t="s">
        <v>18</v>
      </c>
      <c r="H1686">
        <v>27</v>
      </c>
      <c r="I1686" t="s">
        <v>19</v>
      </c>
      <c r="J1686">
        <v>2001</v>
      </c>
      <c r="K1686">
        <v>2001</v>
      </c>
      <c r="L1686" t="s">
        <v>20</v>
      </c>
      <c r="M1686">
        <v>45266</v>
      </c>
      <c r="N1686">
        <v>92</v>
      </c>
    </row>
    <row r="1687" spans="1:14" x14ac:dyDescent="0.35">
      <c r="A1687" t="s">
        <v>1762</v>
      </c>
      <c r="B1687" t="s">
        <v>15</v>
      </c>
      <c r="C1687" t="s">
        <v>16</v>
      </c>
      <c r="D1687">
        <v>136</v>
      </c>
      <c r="E1687" t="s">
        <v>1746</v>
      </c>
      <c r="F1687">
        <v>5419</v>
      </c>
      <c r="G1687" t="s">
        <v>18</v>
      </c>
      <c r="H1687">
        <v>27</v>
      </c>
      <c r="I1687" t="s">
        <v>19</v>
      </c>
      <c r="J1687">
        <v>2002</v>
      </c>
      <c r="K1687">
        <v>2002</v>
      </c>
      <c r="L1687" t="s">
        <v>20</v>
      </c>
      <c r="M1687">
        <v>45602</v>
      </c>
      <c r="N1687">
        <v>92</v>
      </c>
    </row>
    <row r="1688" spans="1:14" x14ac:dyDescent="0.35">
      <c r="A1688" t="s">
        <v>1763</v>
      </c>
      <c r="B1688" t="s">
        <v>15</v>
      </c>
      <c r="C1688" t="s">
        <v>16</v>
      </c>
      <c r="D1688">
        <v>136</v>
      </c>
      <c r="E1688" t="s">
        <v>1746</v>
      </c>
      <c r="F1688">
        <v>5419</v>
      </c>
      <c r="G1688" t="s">
        <v>18</v>
      </c>
      <c r="H1688">
        <v>27</v>
      </c>
      <c r="I1688" t="s">
        <v>19</v>
      </c>
      <c r="J1688">
        <v>2004</v>
      </c>
      <c r="K1688">
        <v>2004</v>
      </c>
      <c r="L1688" t="s">
        <v>20</v>
      </c>
      <c r="M1688">
        <v>46995</v>
      </c>
      <c r="N1688">
        <v>92</v>
      </c>
    </row>
    <row r="1689" spans="1:14" x14ac:dyDescent="0.35">
      <c r="A1689" t="s">
        <v>1764</v>
      </c>
      <c r="B1689" t="s">
        <v>15</v>
      </c>
      <c r="C1689" t="s">
        <v>16</v>
      </c>
      <c r="D1689">
        <v>136</v>
      </c>
      <c r="E1689" t="s">
        <v>1746</v>
      </c>
      <c r="F1689">
        <v>5419</v>
      </c>
      <c r="G1689" t="s">
        <v>18</v>
      </c>
      <c r="H1689">
        <v>27</v>
      </c>
      <c r="I1689" t="s">
        <v>19</v>
      </c>
      <c r="J1689">
        <v>2005</v>
      </c>
      <c r="K1689">
        <v>2005</v>
      </c>
      <c r="L1689" t="s">
        <v>20</v>
      </c>
      <c r="M1689">
        <v>38919</v>
      </c>
      <c r="N1689">
        <v>92</v>
      </c>
    </row>
    <row r="1690" spans="1:14" x14ac:dyDescent="0.35">
      <c r="A1690" t="s">
        <v>1765</v>
      </c>
      <c r="B1690" t="s">
        <v>15</v>
      </c>
      <c r="C1690" t="s">
        <v>16</v>
      </c>
      <c r="D1690">
        <v>136</v>
      </c>
      <c r="E1690" t="s">
        <v>1746</v>
      </c>
      <c r="F1690">
        <v>5419</v>
      </c>
      <c r="G1690" t="s">
        <v>18</v>
      </c>
      <c r="H1690">
        <v>27</v>
      </c>
      <c r="I1690" t="s">
        <v>19</v>
      </c>
      <c r="J1690">
        <v>2006</v>
      </c>
      <c r="K1690">
        <v>2006</v>
      </c>
      <c r="L1690" t="s">
        <v>20</v>
      </c>
      <c r="M1690">
        <v>44809</v>
      </c>
      <c r="N1690">
        <v>92</v>
      </c>
    </row>
    <row r="1691" spans="1:14" x14ac:dyDescent="0.35">
      <c r="A1691" t="s">
        <v>1766</v>
      </c>
      <c r="B1691" t="s">
        <v>15</v>
      </c>
      <c r="C1691" t="s">
        <v>16</v>
      </c>
      <c r="D1691">
        <v>136</v>
      </c>
      <c r="E1691" t="s">
        <v>1746</v>
      </c>
      <c r="F1691">
        <v>5419</v>
      </c>
      <c r="G1691" t="s">
        <v>18</v>
      </c>
      <c r="H1691">
        <v>27</v>
      </c>
      <c r="I1691" t="s">
        <v>19</v>
      </c>
      <c r="J1691">
        <v>2007</v>
      </c>
      <c r="K1691">
        <v>2007</v>
      </c>
      <c r="L1691" t="s">
        <v>20</v>
      </c>
      <c r="M1691">
        <v>47221</v>
      </c>
      <c r="N1691">
        <v>92</v>
      </c>
    </row>
    <row r="1692" spans="1:14" x14ac:dyDescent="0.35">
      <c r="A1692" t="s">
        <v>1767</v>
      </c>
      <c r="B1692" t="s">
        <v>15</v>
      </c>
      <c r="C1692" t="s">
        <v>16</v>
      </c>
      <c r="D1692">
        <v>136</v>
      </c>
      <c r="E1692" t="s">
        <v>1746</v>
      </c>
      <c r="F1692">
        <v>5419</v>
      </c>
      <c r="G1692" t="s">
        <v>18</v>
      </c>
      <c r="H1692">
        <v>27</v>
      </c>
      <c r="I1692" t="s">
        <v>19</v>
      </c>
      <c r="J1692">
        <v>2008</v>
      </c>
      <c r="K1692">
        <v>2008</v>
      </c>
      <c r="L1692" t="s">
        <v>20</v>
      </c>
      <c r="M1692">
        <v>47631</v>
      </c>
      <c r="N1692">
        <v>92</v>
      </c>
    </row>
    <row r="1693" spans="1:14" x14ac:dyDescent="0.35">
      <c r="A1693" t="s">
        <v>1768</v>
      </c>
      <c r="B1693" t="s">
        <v>15</v>
      </c>
      <c r="C1693" t="s">
        <v>16</v>
      </c>
      <c r="D1693">
        <v>136</v>
      </c>
      <c r="E1693" t="s">
        <v>1746</v>
      </c>
      <c r="F1693">
        <v>5419</v>
      </c>
      <c r="G1693" t="s">
        <v>18</v>
      </c>
      <c r="H1693">
        <v>27</v>
      </c>
      <c r="I1693" t="s">
        <v>19</v>
      </c>
      <c r="J1693">
        <v>2009</v>
      </c>
      <c r="K1693">
        <v>2009</v>
      </c>
      <c r="L1693" t="s">
        <v>20</v>
      </c>
      <c r="M1693">
        <v>39894</v>
      </c>
      <c r="N1693">
        <v>92</v>
      </c>
    </row>
    <row r="1694" spans="1:14" x14ac:dyDescent="0.35">
      <c r="A1694" t="s">
        <v>1769</v>
      </c>
      <c r="B1694" t="s">
        <v>15</v>
      </c>
      <c r="C1694" t="s">
        <v>16</v>
      </c>
      <c r="D1694">
        <v>136</v>
      </c>
      <c r="E1694" t="s">
        <v>1746</v>
      </c>
      <c r="F1694">
        <v>5419</v>
      </c>
      <c r="G1694" t="s">
        <v>18</v>
      </c>
      <c r="H1694">
        <v>27</v>
      </c>
      <c r="I1694" t="s">
        <v>19</v>
      </c>
      <c r="J1694">
        <v>2010</v>
      </c>
      <c r="K1694">
        <v>2010</v>
      </c>
      <c r="L1694" t="s">
        <v>20</v>
      </c>
      <c r="M1694">
        <v>52310</v>
      </c>
      <c r="N1694">
        <v>92</v>
      </c>
    </row>
    <row r="1695" spans="1:14" x14ac:dyDescent="0.35">
      <c r="A1695" t="s">
        <v>1770</v>
      </c>
      <c r="B1695" t="s">
        <v>15</v>
      </c>
      <c r="C1695" t="s">
        <v>16</v>
      </c>
      <c r="D1695">
        <v>136</v>
      </c>
      <c r="E1695" t="s">
        <v>1746</v>
      </c>
      <c r="F1695">
        <v>5419</v>
      </c>
      <c r="G1695" t="s">
        <v>18</v>
      </c>
      <c r="H1695">
        <v>27</v>
      </c>
      <c r="I1695" t="s">
        <v>19</v>
      </c>
      <c r="J1695">
        <v>2011</v>
      </c>
      <c r="K1695">
        <v>2011</v>
      </c>
      <c r="L1695" t="s">
        <v>20</v>
      </c>
      <c r="M1695">
        <v>50958</v>
      </c>
      <c r="N1695">
        <v>92</v>
      </c>
    </row>
    <row r="1696" spans="1:14" x14ac:dyDescent="0.35">
      <c r="A1696" t="s">
        <v>1771</v>
      </c>
      <c r="B1696" t="s">
        <v>15</v>
      </c>
      <c r="C1696" t="s">
        <v>16</v>
      </c>
      <c r="D1696">
        <v>136</v>
      </c>
      <c r="E1696" t="s">
        <v>1746</v>
      </c>
      <c r="F1696">
        <v>5419</v>
      </c>
      <c r="G1696" t="s">
        <v>18</v>
      </c>
      <c r="H1696">
        <v>27</v>
      </c>
      <c r="I1696" t="s">
        <v>19</v>
      </c>
      <c r="J1696">
        <v>2012</v>
      </c>
      <c r="K1696">
        <v>2012</v>
      </c>
      <c r="L1696" t="s">
        <v>20</v>
      </c>
      <c r="M1696">
        <v>49788</v>
      </c>
      <c r="N1696">
        <v>92</v>
      </c>
    </row>
    <row r="1697" spans="1:14" x14ac:dyDescent="0.35">
      <c r="A1697" t="s">
        <v>1772</v>
      </c>
      <c r="B1697" t="s">
        <v>15</v>
      </c>
      <c r="C1697" t="s">
        <v>16</v>
      </c>
      <c r="D1697">
        <v>136</v>
      </c>
      <c r="E1697" t="s">
        <v>1746</v>
      </c>
      <c r="F1697">
        <v>5419</v>
      </c>
      <c r="G1697" t="s">
        <v>18</v>
      </c>
      <c r="H1697">
        <v>27</v>
      </c>
      <c r="I1697" t="s">
        <v>19</v>
      </c>
      <c r="J1697">
        <v>2013</v>
      </c>
      <c r="K1697">
        <v>2013</v>
      </c>
      <c r="L1697" t="s">
        <v>20</v>
      </c>
      <c r="M1697">
        <v>49522</v>
      </c>
      <c r="N1697">
        <v>92</v>
      </c>
    </row>
    <row r="1698" spans="1:14" x14ac:dyDescent="0.35">
      <c r="A1698" t="s">
        <v>1773</v>
      </c>
      <c r="B1698" t="s">
        <v>15</v>
      </c>
      <c r="C1698" t="s">
        <v>16</v>
      </c>
      <c r="D1698">
        <v>136</v>
      </c>
      <c r="E1698" t="s">
        <v>1746</v>
      </c>
      <c r="F1698">
        <v>5419</v>
      </c>
      <c r="G1698" t="s">
        <v>18</v>
      </c>
      <c r="H1698">
        <v>27</v>
      </c>
      <c r="I1698" t="s">
        <v>19</v>
      </c>
      <c r="J1698">
        <v>2014</v>
      </c>
      <c r="K1698">
        <v>2014</v>
      </c>
      <c r="L1698" t="s">
        <v>20</v>
      </c>
      <c r="M1698">
        <v>51348</v>
      </c>
      <c r="N1698">
        <v>92</v>
      </c>
    </row>
    <row r="1699" spans="1:14" x14ac:dyDescent="0.35">
      <c r="A1699" t="s">
        <v>1774</v>
      </c>
      <c r="B1699" t="s">
        <v>15</v>
      </c>
      <c r="C1699" t="s">
        <v>16</v>
      </c>
      <c r="D1699">
        <v>136</v>
      </c>
      <c r="E1699" t="s">
        <v>1746</v>
      </c>
      <c r="F1699">
        <v>5419</v>
      </c>
      <c r="G1699" t="s">
        <v>18</v>
      </c>
      <c r="H1699">
        <v>27</v>
      </c>
      <c r="I1699" t="s">
        <v>19</v>
      </c>
      <c r="J1699">
        <v>2015</v>
      </c>
      <c r="K1699">
        <v>2015</v>
      </c>
      <c r="L1699" t="s">
        <v>20</v>
      </c>
      <c r="M1699">
        <v>51557</v>
      </c>
      <c r="N1699">
        <v>92</v>
      </c>
    </row>
    <row r="1700" spans="1:14" x14ac:dyDescent="0.35">
      <c r="A1700" t="s">
        <v>1775</v>
      </c>
      <c r="B1700" t="s">
        <v>15</v>
      </c>
      <c r="C1700" t="s">
        <v>16</v>
      </c>
      <c r="D1700">
        <v>136</v>
      </c>
      <c r="E1700" t="s">
        <v>1746</v>
      </c>
      <c r="F1700">
        <v>5419</v>
      </c>
      <c r="G1700" t="s">
        <v>18</v>
      </c>
      <c r="H1700">
        <v>27</v>
      </c>
      <c r="I1700" t="s">
        <v>19</v>
      </c>
      <c r="J1700">
        <v>2016</v>
      </c>
      <c r="K1700">
        <v>2016</v>
      </c>
      <c r="L1700" t="s">
        <v>20</v>
      </c>
      <c r="M1700">
        <v>52528</v>
      </c>
      <c r="N1700">
        <v>92</v>
      </c>
    </row>
    <row r="1701" spans="1:14" x14ac:dyDescent="0.35">
      <c r="A1701" t="s">
        <v>1776</v>
      </c>
      <c r="B1701" t="s">
        <v>15</v>
      </c>
      <c r="C1701" t="s">
        <v>16</v>
      </c>
      <c r="D1701">
        <v>137</v>
      </c>
      <c r="E1701" t="s">
        <v>1777</v>
      </c>
      <c r="F1701">
        <v>5419</v>
      </c>
      <c r="G1701" t="s">
        <v>18</v>
      </c>
      <c r="H1701">
        <v>27</v>
      </c>
      <c r="I1701" t="s">
        <v>19</v>
      </c>
      <c r="J1701">
        <v>1985</v>
      </c>
      <c r="K1701">
        <v>1985</v>
      </c>
      <c r="L1701" t="s">
        <v>20</v>
      </c>
      <c r="M1701">
        <v>45000</v>
      </c>
      <c r="N1701">
        <v>2041</v>
      </c>
    </row>
    <row r="1702" spans="1:14" x14ac:dyDescent="0.35">
      <c r="A1702" t="s">
        <v>1778</v>
      </c>
      <c r="B1702" t="s">
        <v>15</v>
      </c>
      <c r="C1702" t="s">
        <v>16</v>
      </c>
      <c r="D1702">
        <v>137</v>
      </c>
      <c r="E1702" t="s">
        <v>1777</v>
      </c>
      <c r="F1702">
        <v>5419</v>
      </c>
      <c r="G1702" t="s">
        <v>18</v>
      </c>
      <c r="H1702">
        <v>27</v>
      </c>
      <c r="I1702" t="s">
        <v>19</v>
      </c>
      <c r="J1702">
        <v>1986</v>
      </c>
      <c r="K1702">
        <v>1986</v>
      </c>
      <c r="L1702" t="s">
        <v>20</v>
      </c>
      <c r="M1702">
        <v>54688</v>
      </c>
      <c r="N1702">
        <v>2041</v>
      </c>
    </row>
    <row r="1703" spans="1:14" x14ac:dyDescent="0.35">
      <c r="A1703" t="s">
        <v>1779</v>
      </c>
      <c r="B1703" t="s">
        <v>15</v>
      </c>
      <c r="C1703" t="s">
        <v>16</v>
      </c>
      <c r="D1703">
        <v>137</v>
      </c>
      <c r="E1703" t="s">
        <v>1777</v>
      </c>
      <c r="F1703">
        <v>5419</v>
      </c>
      <c r="G1703" t="s">
        <v>18</v>
      </c>
      <c r="H1703">
        <v>27</v>
      </c>
      <c r="I1703" t="s">
        <v>19</v>
      </c>
      <c r="J1703">
        <v>1987</v>
      </c>
      <c r="K1703">
        <v>1987</v>
      </c>
      <c r="L1703" t="s">
        <v>20</v>
      </c>
      <c r="M1703">
        <v>28571</v>
      </c>
      <c r="N1703">
        <v>2041</v>
      </c>
    </row>
    <row r="1704" spans="1:14" x14ac:dyDescent="0.35">
      <c r="A1704" t="s">
        <v>1780</v>
      </c>
      <c r="B1704" t="s">
        <v>15</v>
      </c>
      <c r="C1704" t="s">
        <v>16</v>
      </c>
      <c r="D1704">
        <v>137</v>
      </c>
      <c r="E1704" t="s">
        <v>1777</v>
      </c>
      <c r="F1704">
        <v>5419</v>
      </c>
      <c r="G1704" t="s">
        <v>18</v>
      </c>
      <c r="H1704">
        <v>27</v>
      </c>
      <c r="I1704" t="s">
        <v>19</v>
      </c>
      <c r="J1704">
        <v>1989</v>
      </c>
      <c r="K1704">
        <v>1989</v>
      </c>
      <c r="L1704" t="s">
        <v>20</v>
      </c>
      <c r="M1704">
        <v>40000</v>
      </c>
      <c r="N1704">
        <v>2041</v>
      </c>
    </row>
    <row r="1705" spans="1:14" x14ac:dyDescent="0.35">
      <c r="A1705" t="s">
        <v>1781</v>
      </c>
      <c r="B1705" t="s">
        <v>15</v>
      </c>
      <c r="C1705" t="s">
        <v>16</v>
      </c>
      <c r="D1705">
        <v>137</v>
      </c>
      <c r="E1705" t="s">
        <v>1777</v>
      </c>
      <c r="F1705">
        <v>5419</v>
      </c>
      <c r="G1705" t="s">
        <v>18</v>
      </c>
      <c r="H1705">
        <v>27</v>
      </c>
      <c r="I1705" t="s">
        <v>19</v>
      </c>
      <c r="J1705">
        <v>1990</v>
      </c>
      <c r="K1705">
        <v>1990</v>
      </c>
      <c r="L1705" t="s">
        <v>20</v>
      </c>
      <c r="M1705">
        <v>63333</v>
      </c>
      <c r="N1705">
        <v>2041</v>
      </c>
    </row>
    <row r="1706" spans="1:14" x14ac:dyDescent="0.35">
      <c r="A1706" t="s">
        <v>1782</v>
      </c>
      <c r="B1706" t="s">
        <v>15</v>
      </c>
      <c r="C1706" t="s">
        <v>16</v>
      </c>
      <c r="D1706">
        <v>137</v>
      </c>
      <c r="E1706" t="s">
        <v>1777</v>
      </c>
      <c r="F1706">
        <v>5419</v>
      </c>
      <c r="G1706" t="s">
        <v>18</v>
      </c>
      <c r="H1706">
        <v>27</v>
      </c>
      <c r="I1706" t="s">
        <v>19</v>
      </c>
      <c r="J1706">
        <v>1991</v>
      </c>
      <c r="K1706">
        <v>1991</v>
      </c>
      <c r="L1706" t="s">
        <v>20</v>
      </c>
      <c r="M1706">
        <v>50000</v>
      </c>
      <c r="N1706">
        <v>2041</v>
      </c>
    </row>
    <row r="1707" spans="1:14" x14ac:dyDescent="0.35">
      <c r="A1707" t="s">
        <v>1783</v>
      </c>
      <c r="B1707" t="s">
        <v>15</v>
      </c>
      <c r="C1707" t="s">
        <v>16</v>
      </c>
      <c r="D1707">
        <v>137</v>
      </c>
      <c r="E1707" t="s">
        <v>1777</v>
      </c>
      <c r="F1707">
        <v>5419</v>
      </c>
      <c r="G1707" t="s">
        <v>18</v>
      </c>
      <c r="H1707">
        <v>27</v>
      </c>
      <c r="I1707" t="s">
        <v>19</v>
      </c>
      <c r="J1707">
        <v>1992</v>
      </c>
      <c r="K1707">
        <v>1992</v>
      </c>
      <c r="L1707" t="s">
        <v>20</v>
      </c>
      <c r="M1707">
        <v>50000</v>
      </c>
      <c r="N1707">
        <v>2041</v>
      </c>
    </row>
    <row r="1708" spans="1:14" x14ac:dyDescent="0.35">
      <c r="A1708" t="s">
        <v>1784</v>
      </c>
      <c r="B1708" t="s">
        <v>15</v>
      </c>
      <c r="C1708" t="s">
        <v>16</v>
      </c>
      <c r="D1708">
        <v>137</v>
      </c>
      <c r="E1708" t="s">
        <v>1777</v>
      </c>
      <c r="F1708">
        <v>5419</v>
      </c>
      <c r="G1708" t="s">
        <v>18</v>
      </c>
      <c r="H1708">
        <v>27</v>
      </c>
      <c r="I1708" t="s">
        <v>19</v>
      </c>
      <c r="J1708">
        <v>2008</v>
      </c>
      <c r="K1708">
        <v>2008</v>
      </c>
      <c r="L1708" t="s">
        <v>20</v>
      </c>
      <c r="M1708">
        <v>30688</v>
      </c>
      <c r="N1708">
        <v>2041</v>
      </c>
    </row>
    <row r="1709" spans="1:14" x14ac:dyDescent="0.35">
      <c r="A1709" t="s">
        <v>1785</v>
      </c>
      <c r="B1709" t="s">
        <v>15</v>
      </c>
      <c r="C1709" t="s">
        <v>16</v>
      </c>
      <c r="D1709">
        <v>137</v>
      </c>
      <c r="E1709" t="s">
        <v>1777</v>
      </c>
      <c r="F1709">
        <v>5419</v>
      </c>
      <c r="G1709" t="s">
        <v>18</v>
      </c>
      <c r="H1709">
        <v>27</v>
      </c>
      <c r="I1709" t="s">
        <v>19</v>
      </c>
      <c r="J1709">
        <v>2009</v>
      </c>
      <c r="K1709">
        <v>2009</v>
      </c>
      <c r="L1709" t="s">
        <v>20</v>
      </c>
      <c r="M1709">
        <v>29513</v>
      </c>
      <c r="N1709">
        <v>2041</v>
      </c>
    </row>
    <row r="1710" spans="1:14" x14ac:dyDescent="0.35">
      <c r="A1710" t="s">
        <v>1786</v>
      </c>
      <c r="B1710" t="s">
        <v>15</v>
      </c>
      <c r="C1710" t="s">
        <v>16</v>
      </c>
      <c r="D1710">
        <v>137</v>
      </c>
      <c r="E1710" t="s">
        <v>1777</v>
      </c>
      <c r="F1710">
        <v>5419</v>
      </c>
      <c r="G1710" t="s">
        <v>18</v>
      </c>
      <c r="H1710">
        <v>27</v>
      </c>
      <c r="I1710" t="s">
        <v>19</v>
      </c>
      <c r="J1710">
        <v>2010</v>
      </c>
      <c r="K1710">
        <v>2010</v>
      </c>
      <c r="L1710" t="s">
        <v>20</v>
      </c>
      <c r="M1710">
        <v>28354</v>
      </c>
      <c r="N1710">
        <v>2041</v>
      </c>
    </row>
    <row r="1711" spans="1:14" x14ac:dyDescent="0.35">
      <c r="A1711" t="s">
        <v>1787</v>
      </c>
      <c r="B1711" t="s">
        <v>15</v>
      </c>
      <c r="C1711" t="s">
        <v>16</v>
      </c>
      <c r="D1711">
        <v>137</v>
      </c>
      <c r="E1711" t="s">
        <v>1777</v>
      </c>
      <c r="F1711">
        <v>5419</v>
      </c>
      <c r="G1711" t="s">
        <v>18</v>
      </c>
      <c r="H1711">
        <v>27</v>
      </c>
      <c r="I1711" t="s">
        <v>19</v>
      </c>
      <c r="J1711">
        <v>2011</v>
      </c>
      <c r="K1711">
        <v>2011</v>
      </c>
      <c r="L1711" t="s">
        <v>20</v>
      </c>
      <c r="M1711">
        <v>26333</v>
      </c>
      <c r="N1711">
        <v>2041</v>
      </c>
    </row>
    <row r="1712" spans="1:14" x14ac:dyDescent="0.35">
      <c r="A1712" t="s">
        <v>1788</v>
      </c>
      <c r="B1712" t="s">
        <v>15</v>
      </c>
      <c r="C1712" t="s">
        <v>16</v>
      </c>
      <c r="D1712">
        <v>137</v>
      </c>
      <c r="E1712" t="s">
        <v>1777</v>
      </c>
      <c r="F1712">
        <v>5419</v>
      </c>
      <c r="G1712" t="s">
        <v>18</v>
      </c>
      <c r="H1712">
        <v>27</v>
      </c>
      <c r="I1712" t="s">
        <v>19</v>
      </c>
      <c r="J1712">
        <v>2012</v>
      </c>
      <c r="K1712">
        <v>2012</v>
      </c>
      <c r="L1712" t="s">
        <v>20</v>
      </c>
      <c r="M1712">
        <v>26893</v>
      </c>
      <c r="N1712">
        <v>2041</v>
      </c>
    </row>
    <row r="1713" spans="1:14" x14ac:dyDescent="0.35">
      <c r="A1713" t="s">
        <v>1789</v>
      </c>
      <c r="B1713" t="s">
        <v>15</v>
      </c>
      <c r="C1713" t="s">
        <v>16</v>
      </c>
      <c r="D1713">
        <v>137</v>
      </c>
      <c r="E1713" t="s">
        <v>1777</v>
      </c>
      <c r="F1713">
        <v>5419</v>
      </c>
      <c r="G1713" t="s">
        <v>18</v>
      </c>
      <c r="H1713">
        <v>27</v>
      </c>
      <c r="I1713" t="s">
        <v>19</v>
      </c>
      <c r="J1713">
        <v>2013</v>
      </c>
      <c r="K1713">
        <v>2013</v>
      </c>
      <c r="L1713" t="s">
        <v>20</v>
      </c>
      <c r="M1713">
        <v>21250</v>
      </c>
      <c r="N1713">
        <v>2041</v>
      </c>
    </row>
    <row r="1714" spans="1:14" x14ac:dyDescent="0.35">
      <c r="A1714" t="s">
        <v>1790</v>
      </c>
      <c r="B1714" t="s">
        <v>15</v>
      </c>
      <c r="C1714" t="s">
        <v>16</v>
      </c>
      <c r="D1714">
        <v>137</v>
      </c>
      <c r="E1714" t="s">
        <v>1777</v>
      </c>
      <c r="F1714">
        <v>5419</v>
      </c>
      <c r="G1714" t="s">
        <v>18</v>
      </c>
      <c r="H1714">
        <v>27</v>
      </c>
      <c r="I1714" t="s">
        <v>19</v>
      </c>
      <c r="J1714">
        <v>2014</v>
      </c>
      <c r="K1714">
        <v>2014</v>
      </c>
      <c r="L1714" t="s">
        <v>20</v>
      </c>
      <c r="M1714">
        <v>28786</v>
      </c>
      <c r="N1714">
        <v>2041</v>
      </c>
    </row>
    <row r="1715" spans="1:14" x14ac:dyDescent="0.35">
      <c r="A1715" t="s">
        <v>1791</v>
      </c>
      <c r="B1715" t="s">
        <v>15</v>
      </c>
      <c r="C1715" t="s">
        <v>16</v>
      </c>
      <c r="D1715">
        <v>137</v>
      </c>
      <c r="E1715" t="s">
        <v>1777</v>
      </c>
      <c r="F1715">
        <v>5419</v>
      </c>
      <c r="G1715" t="s">
        <v>18</v>
      </c>
      <c r="H1715">
        <v>27</v>
      </c>
      <c r="I1715" t="s">
        <v>19</v>
      </c>
      <c r="J1715">
        <v>2015</v>
      </c>
      <c r="K1715">
        <v>2015</v>
      </c>
      <c r="L1715" t="s">
        <v>20</v>
      </c>
      <c r="M1715">
        <v>19324</v>
      </c>
      <c r="N1715">
        <v>2041</v>
      </c>
    </row>
    <row r="1716" spans="1:14" x14ac:dyDescent="0.35">
      <c r="A1716" t="s">
        <v>1792</v>
      </c>
      <c r="B1716" t="s">
        <v>15</v>
      </c>
      <c r="C1716" t="s">
        <v>16</v>
      </c>
      <c r="D1716">
        <v>137</v>
      </c>
      <c r="E1716" t="s">
        <v>1777</v>
      </c>
      <c r="F1716">
        <v>5419</v>
      </c>
      <c r="G1716" t="s">
        <v>18</v>
      </c>
      <c r="H1716">
        <v>27</v>
      </c>
      <c r="I1716" t="s">
        <v>19</v>
      </c>
      <c r="J1716">
        <v>2016</v>
      </c>
      <c r="K1716">
        <v>2016</v>
      </c>
      <c r="L1716" t="s">
        <v>20</v>
      </c>
      <c r="M1716">
        <v>21863</v>
      </c>
      <c r="N1716">
        <v>2041</v>
      </c>
    </row>
    <row r="1717" spans="1:14" x14ac:dyDescent="0.35">
      <c r="A1717" t="s">
        <v>1793</v>
      </c>
      <c r="B1717" t="s">
        <v>15</v>
      </c>
      <c r="C1717" t="s">
        <v>16</v>
      </c>
      <c r="D1717">
        <v>138</v>
      </c>
      <c r="E1717" t="s">
        <v>1794</v>
      </c>
      <c r="F1717">
        <v>5419</v>
      </c>
      <c r="G1717" t="s">
        <v>18</v>
      </c>
      <c r="H1717">
        <v>27</v>
      </c>
      <c r="I1717" t="s">
        <v>19</v>
      </c>
      <c r="J1717">
        <v>1985</v>
      </c>
      <c r="K1717">
        <v>1985</v>
      </c>
      <c r="L1717" t="s">
        <v>20</v>
      </c>
      <c r="M1717">
        <v>37305</v>
      </c>
      <c r="N1717">
        <v>758</v>
      </c>
    </row>
    <row r="1718" spans="1:14" x14ac:dyDescent="0.35">
      <c r="A1718" t="s">
        <v>1795</v>
      </c>
      <c r="B1718" t="s">
        <v>15</v>
      </c>
      <c r="C1718" t="s">
        <v>16</v>
      </c>
      <c r="D1718">
        <v>138</v>
      </c>
      <c r="E1718" t="s">
        <v>1794</v>
      </c>
      <c r="F1718">
        <v>5419</v>
      </c>
      <c r="G1718" t="s">
        <v>18</v>
      </c>
      <c r="H1718">
        <v>27</v>
      </c>
      <c r="I1718" t="s">
        <v>19</v>
      </c>
      <c r="J1718">
        <v>1986</v>
      </c>
      <c r="K1718">
        <v>1986</v>
      </c>
      <c r="L1718" t="s">
        <v>20</v>
      </c>
      <c r="M1718">
        <v>34595</v>
      </c>
      <c r="N1718">
        <v>758</v>
      </c>
    </row>
    <row r="1719" spans="1:14" x14ac:dyDescent="0.35">
      <c r="A1719" t="s">
        <v>1796</v>
      </c>
      <c r="B1719" t="s">
        <v>15</v>
      </c>
      <c r="C1719" t="s">
        <v>16</v>
      </c>
      <c r="D1719">
        <v>138</v>
      </c>
      <c r="E1719" t="s">
        <v>1794</v>
      </c>
      <c r="F1719">
        <v>5419</v>
      </c>
      <c r="G1719" t="s">
        <v>18</v>
      </c>
      <c r="H1719">
        <v>27</v>
      </c>
      <c r="I1719" t="s">
        <v>19</v>
      </c>
      <c r="J1719">
        <v>1987</v>
      </c>
      <c r="K1719">
        <v>1987</v>
      </c>
      <c r="L1719" t="s">
        <v>20</v>
      </c>
      <c r="M1719">
        <v>38175</v>
      </c>
      <c r="N1719">
        <v>758</v>
      </c>
    </row>
    <row r="1720" spans="1:14" x14ac:dyDescent="0.35">
      <c r="A1720" t="s">
        <v>1797</v>
      </c>
      <c r="B1720" t="s">
        <v>15</v>
      </c>
      <c r="C1720" t="s">
        <v>16</v>
      </c>
      <c r="D1720">
        <v>138</v>
      </c>
      <c r="E1720" t="s">
        <v>1794</v>
      </c>
      <c r="F1720">
        <v>5419</v>
      </c>
      <c r="G1720" t="s">
        <v>18</v>
      </c>
      <c r="H1720">
        <v>27</v>
      </c>
      <c r="I1720" t="s">
        <v>19</v>
      </c>
      <c r="J1720">
        <v>1989</v>
      </c>
      <c r="K1720">
        <v>1989</v>
      </c>
      <c r="L1720" t="s">
        <v>20</v>
      </c>
      <c r="M1720">
        <v>34803</v>
      </c>
      <c r="N1720">
        <v>758</v>
      </c>
    </row>
    <row r="1721" spans="1:14" x14ac:dyDescent="0.35">
      <c r="A1721" t="s">
        <v>1798</v>
      </c>
      <c r="B1721" t="s">
        <v>15</v>
      </c>
      <c r="C1721" t="s">
        <v>16</v>
      </c>
      <c r="D1721">
        <v>138</v>
      </c>
      <c r="E1721" t="s">
        <v>1794</v>
      </c>
      <c r="F1721">
        <v>5419</v>
      </c>
      <c r="G1721" t="s">
        <v>18</v>
      </c>
      <c r="H1721">
        <v>27</v>
      </c>
      <c r="I1721" t="s">
        <v>19</v>
      </c>
      <c r="J1721">
        <v>1990</v>
      </c>
      <c r="K1721">
        <v>1990</v>
      </c>
      <c r="L1721" t="s">
        <v>20</v>
      </c>
      <c r="M1721">
        <v>37418</v>
      </c>
      <c r="N1721">
        <v>758</v>
      </c>
    </row>
    <row r="1722" spans="1:14" x14ac:dyDescent="0.35">
      <c r="A1722" t="s">
        <v>1799</v>
      </c>
      <c r="B1722" t="s">
        <v>15</v>
      </c>
      <c r="C1722" t="s">
        <v>16</v>
      </c>
      <c r="D1722">
        <v>138</v>
      </c>
      <c r="E1722" t="s">
        <v>1794</v>
      </c>
      <c r="F1722">
        <v>5419</v>
      </c>
      <c r="G1722" t="s">
        <v>18</v>
      </c>
      <c r="H1722">
        <v>27</v>
      </c>
      <c r="I1722" t="s">
        <v>19</v>
      </c>
      <c r="J1722">
        <v>1991</v>
      </c>
      <c r="K1722">
        <v>1991</v>
      </c>
      <c r="L1722" t="s">
        <v>20</v>
      </c>
      <c r="M1722">
        <v>40954</v>
      </c>
      <c r="N1722">
        <v>758</v>
      </c>
    </row>
    <row r="1723" spans="1:14" x14ac:dyDescent="0.35">
      <c r="A1723" t="s">
        <v>1800</v>
      </c>
      <c r="B1723" t="s">
        <v>15</v>
      </c>
      <c r="C1723" t="s">
        <v>16</v>
      </c>
      <c r="D1723">
        <v>138</v>
      </c>
      <c r="E1723" t="s">
        <v>1794</v>
      </c>
      <c r="F1723">
        <v>5419</v>
      </c>
      <c r="G1723" t="s">
        <v>18</v>
      </c>
      <c r="H1723">
        <v>27</v>
      </c>
      <c r="I1723" t="s">
        <v>19</v>
      </c>
      <c r="J1723">
        <v>1992</v>
      </c>
      <c r="K1723">
        <v>1992</v>
      </c>
      <c r="L1723" t="s">
        <v>20</v>
      </c>
      <c r="M1723">
        <v>43577</v>
      </c>
      <c r="N1723">
        <v>758</v>
      </c>
    </row>
    <row r="1724" spans="1:14" x14ac:dyDescent="0.35">
      <c r="A1724" t="s">
        <v>1801</v>
      </c>
      <c r="B1724" t="s">
        <v>15</v>
      </c>
      <c r="C1724" t="s">
        <v>16</v>
      </c>
      <c r="D1724">
        <v>138</v>
      </c>
      <c r="E1724" t="s">
        <v>1794</v>
      </c>
      <c r="F1724">
        <v>5419</v>
      </c>
      <c r="G1724" t="s">
        <v>18</v>
      </c>
      <c r="H1724">
        <v>27</v>
      </c>
      <c r="I1724" t="s">
        <v>19</v>
      </c>
      <c r="J1724">
        <v>1993</v>
      </c>
      <c r="K1724">
        <v>1993</v>
      </c>
      <c r="L1724" t="s">
        <v>20</v>
      </c>
      <c r="M1724">
        <v>48725</v>
      </c>
      <c r="N1724">
        <v>758</v>
      </c>
    </row>
    <row r="1725" spans="1:14" x14ac:dyDescent="0.35">
      <c r="A1725" t="s">
        <v>1802</v>
      </c>
      <c r="B1725" t="s">
        <v>15</v>
      </c>
      <c r="C1725" t="s">
        <v>16</v>
      </c>
      <c r="D1725">
        <v>138</v>
      </c>
      <c r="E1725" t="s">
        <v>1794</v>
      </c>
      <c r="F1725">
        <v>5419</v>
      </c>
      <c r="G1725" t="s">
        <v>18</v>
      </c>
      <c r="H1725">
        <v>27</v>
      </c>
      <c r="I1725" t="s">
        <v>19</v>
      </c>
      <c r="J1725">
        <v>1994</v>
      </c>
      <c r="K1725">
        <v>1994</v>
      </c>
      <c r="L1725" t="s">
        <v>20</v>
      </c>
      <c r="M1725">
        <v>42555</v>
      </c>
      <c r="N1725">
        <v>758</v>
      </c>
    </row>
    <row r="1726" spans="1:14" x14ac:dyDescent="0.35">
      <c r="A1726" t="s">
        <v>1803</v>
      </c>
      <c r="B1726" t="s">
        <v>15</v>
      </c>
      <c r="C1726" t="s">
        <v>16</v>
      </c>
      <c r="D1726">
        <v>138</v>
      </c>
      <c r="E1726" t="s">
        <v>1794</v>
      </c>
      <c r="F1726">
        <v>5419</v>
      </c>
      <c r="G1726" t="s">
        <v>18</v>
      </c>
      <c r="H1726">
        <v>27</v>
      </c>
      <c r="I1726" t="s">
        <v>19</v>
      </c>
      <c r="J1726">
        <v>1995</v>
      </c>
      <c r="K1726">
        <v>1995</v>
      </c>
      <c r="L1726" t="s">
        <v>20</v>
      </c>
      <c r="M1726">
        <v>46792</v>
      </c>
      <c r="N1726">
        <v>758</v>
      </c>
    </row>
    <row r="1727" spans="1:14" x14ac:dyDescent="0.35">
      <c r="A1727" t="s">
        <v>1804</v>
      </c>
      <c r="B1727" t="s">
        <v>15</v>
      </c>
      <c r="C1727" t="s">
        <v>16</v>
      </c>
      <c r="D1727">
        <v>138</v>
      </c>
      <c r="E1727" t="s">
        <v>1794</v>
      </c>
      <c r="F1727">
        <v>5419</v>
      </c>
      <c r="G1727" t="s">
        <v>18</v>
      </c>
      <c r="H1727">
        <v>27</v>
      </c>
      <c r="I1727" t="s">
        <v>19</v>
      </c>
      <c r="J1727">
        <v>1996</v>
      </c>
      <c r="K1727">
        <v>1996</v>
      </c>
      <c r="L1727" t="s">
        <v>20</v>
      </c>
      <c r="M1727">
        <v>45412</v>
      </c>
      <c r="N1727">
        <v>758</v>
      </c>
    </row>
    <row r="1728" spans="1:14" x14ac:dyDescent="0.35">
      <c r="A1728" t="s">
        <v>1805</v>
      </c>
      <c r="B1728" t="s">
        <v>15</v>
      </c>
      <c r="C1728" t="s">
        <v>16</v>
      </c>
      <c r="D1728">
        <v>138</v>
      </c>
      <c r="E1728" t="s">
        <v>1794</v>
      </c>
      <c r="F1728">
        <v>5419</v>
      </c>
      <c r="G1728" t="s">
        <v>18</v>
      </c>
      <c r="H1728">
        <v>27</v>
      </c>
      <c r="I1728" t="s">
        <v>19</v>
      </c>
      <c r="J1728">
        <v>1997</v>
      </c>
      <c r="K1728">
        <v>1997</v>
      </c>
      <c r="L1728" t="s">
        <v>20</v>
      </c>
      <c r="M1728">
        <v>41365</v>
      </c>
      <c r="N1728">
        <v>758</v>
      </c>
    </row>
    <row r="1729" spans="1:14" x14ac:dyDescent="0.35">
      <c r="A1729" t="s">
        <v>1806</v>
      </c>
      <c r="B1729" t="s">
        <v>15</v>
      </c>
      <c r="C1729" t="s">
        <v>16</v>
      </c>
      <c r="D1729">
        <v>138</v>
      </c>
      <c r="E1729" t="s">
        <v>1794</v>
      </c>
      <c r="F1729">
        <v>5419</v>
      </c>
      <c r="G1729" t="s">
        <v>18</v>
      </c>
      <c r="H1729">
        <v>27</v>
      </c>
      <c r="I1729" t="s">
        <v>19</v>
      </c>
      <c r="J1729">
        <v>1998</v>
      </c>
      <c r="K1729">
        <v>1998</v>
      </c>
      <c r="L1729" t="s">
        <v>20</v>
      </c>
      <c r="M1729">
        <v>45108</v>
      </c>
      <c r="N1729">
        <v>758</v>
      </c>
    </row>
    <row r="1730" spans="1:14" x14ac:dyDescent="0.35">
      <c r="A1730" t="s">
        <v>1807</v>
      </c>
      <c r="B1730" t="s">
        <v>15</v>
      </c>
      <c r="C1730" t="s">
        <v>16</v>
      </c>
      <c r="D1730">
        <v>138</v>
      </c>
      <c r="E1730" t="s">
        <v>1794</v>
      </c>
      <c r="F1730">
        <v>5419</v>
      </c>
      <c r="G1730" t="s">
        <v>18</v>
      </c>
      <c r="H1730">
        <v>27</v>
      </c>
      <c r="I1730" t="s">
        <v>19</v>
      </c>
      <c r="J1730">
        <v>1999</v>
      </c>
      <c r="K1730">
        <v>1999</v>
      </c>
      <c r="L1730" t="s">
        <v>20</v>
      </c>
      <c r="M1730">
        <v>47762</v>
      </c>
      <c r="N1730">
        <v>758</v>
      </c>
    </row>
    <row r="1731" spans="1:14" x14ac:dyDescent="0.35">
      <c r="A1731" t="s">
        <v>1808</v>
      </c>
      <c r="B1731" t="s">
        <v>15</v>
      </c>
      <c r="C1731" t="s">
        <v>16</v>
      </c>
      <c r="D1731">
        <v>138</v>
      </c>
      <c r="E1731" t="s">
        <v>1794</v>
      </c>
      <c r="F1731">
        <v>5419</v>
      </c>
      <c r="G1731" t="s">
        <v>18</v>
      </c>
      <c r="H1731">
        <v>27</v>
      </c>
      <c r="I1731" t="s">
        <v>19</v>
      </c>
      <c r="J1731">
        <v>2000</v>
      </c>
      <c r="K1731">
        <v>2000</v>
      </c>
      <c r="L1731" t="s">
        <v>20</v>
      </c>
      <c r="M1731">
        <v>41805</v>
      </c>
      <c r="N1731">
        <v>758</v>
      </c>
    </row>
    <row r="1732" spans="1:14" x14ac:dyDescent="0.35">
      <c r="A1732" t="s">
        <v>1809</v>
      </c>
      <c r="B1732" t="s">
        <v>15</v>
      </c>
      <c r="C1732" t="s">
        <v>16</v>
      </c>
      <c r="D1732">
        <v>138</v>
      </c>
      <c r="E1732" t="s">
        <v>1794</v>
      </c>
      <c r="F1732">
        <v>5419</v>
      </c>
      <c r="G1732" t="s">
        <v>18</v>
      </c>
      <c r="H1732">
        <v>27</v>
      </c>
      <c r="I1732" t="s">
        <v>19</v>
      </c>
      <c r="J1732">
        <v>2001</v>
      </c>
      <c r="K1732">
        <v>2001</v>
      </c>
      <c r="L1732" t="s">
        <v>20</v>
      </c>
      <c r="M1732">
        <v>42576</v>
      </c>
      <c r="N1732">
        <v>758</v>
      </c>
    </row>
    <row r="1733" spans="1:14" x14ac:dyDescent="0.35">
      <c r="A1733" t="s">
        <v>1810</v>
      </c>
      <c r="B1733" t="s">
        <v>15</v>
      </c>
      <c r="C1733" t="s">
        <v>16</v>
      </c>
      <c r="D1733">
        <v>138</v>
      </c>
      <c r="E1733" t="s">
        <v>1794</v>
      </c>
      <c r="F1733">
        <v>5419</v>
      </c>
      <c r="G1733" t="s">
        <v>18</v>
      </c>
      <c r="H1733">
        <v>27</v>
      </c>
      <c r="I1733" t="s">
        <v>19</v>
      </c>
      <c r="J1733">
        <v>2002</v>
      </c>
      <c r="K1733">
        <v>2002</v>
      </c>
      <c r="L1733" t="s">
        <v>20</v>
      </c>
      <c r="M1733">
        <v>45027</v>
      </c>
      <c r="N1733">
        <v>758</v>
      </c>
    </row>
    <row r="1734" spans="1:14" x14ac:dyDescent="0.35">
      <c r="A1734" t="s">
        <v>1811</v>
      </c>
      <c r="B1734" t="s">
        <v>15</v>
      </c>
      <c r="C1734" t="s">
        <v>16</v>
      </c>
      <c r="D1734">
        <v>138</v>
      </c>
      <c r="E1734" t="s">
        <v>1794</v>
      </c>
      <c r="F1734">
        <v>5419</v>
      </c>
      <c r="G1734" t="s">
        <v>18</v>
      </c>
      <c r="H1734">
        <v>27</v>
      </c>
      <c r="I1734" t="s">
        <v>19</v>
      </c>
      <c r="J1734">
        <v>2004</v>
      </c>
      <c r="K1734">
        <v>2004</v>
      </c>
      <c r="L1734" t="s">
        <v>20</v>
      </c>
      <c r="M1734">
        <v>44631</v>
      </c>
      <c r="N1734">
        <v>758</v>
      </c>
    </row>
    <row r="1735" spans="1:14" x14ac:dyDescent="0.35">
      <c r="A1735" t="s">
        <v>1812</v>
      </c>
      <c r="B1735" t="s">
        <v>15</v>
      </c>
      <c r="C1735" t="s">
        <v>16</v>
      </c>
      <c r="D1735">
        <v>138</v>
      </c>
      <c r="E1735" t="s">
        <v>1794</v>
      </c>
      <c r="F1735">
        <v>5419</v>
      </c>
      <c r="G1735" t="s">
        <v>18</v>
      </c>
      <c r="H1735">
        <v>27</v>
      </c>
      <c r="I1735" t="s">
        <v>19</v>
      </c>
      <c r="J1735">
        <v>2005</v>
      </c>
      <c r="K1735">
        <v>2005</v>
      </c>
      <c r="L1735" t="s">
        <v>20</v>
      </c>
      <c r="M1735">
        <v>50653</v>
      </c>
      <c r="N1735">
        <v>758</v>
      </c>
    </row>
    <row r="1736" spans="1:14" x14ac:dyDescent="0.35">
      <c r="A1736" t="s">
        <v>1813</v>
      </c>
      <c r="B1736" t="s">
        <v>15</v>
      </c>
      <c r="C1736" t="s">
        <v>16</v>
      </c>
      <c r="D1736">
        <v>138</v>
      </c>
      <c r="E1736" t="s">
        <v>1794</v>
      </c>
      <c r="F1736">
        <v>5419</v>
      </c>
      <c r="G1736" t="s">
        <v>18</v>
      </c>
      <c r="H1736">
        <v>27</v>
      </c>
      <c r="I1736" t="s">
        <v>19</v>
      </c>
      <c r="J1736">
        <v>2006</v>
      </c>
      <c r="K1736">
        <v>2006</v>
      </c>
      <c r="L1736" t="s">
        <v>20</v>
      </c>
      <c r="M1736">
        <v>47857</v>
      </c>
      <c r="N1736">
        <v>758</v>
      </c>
    </row>
    <row r="1737" spans="1:14" x14ac:dyDescent="0.35">
      <c r="A1737" t="s">
        <v>1814</v>
      </c>
      <c r="B1737" t="s">
        <v>15</v>
      </c>
      <c r="C1737" t="s">
        <v>16</v>
      </c>
      <c r="D1737">
        <v>138</v>
      </c>
      <c r="E1737" t="s">
        <v>1794</v>
      </c>
      <c r="F1737">
        <v>5419</v>
      </c>
      <c r="G1737" t="s">
        <v>18</v>
      </c>
      <c r="H1737">
        <v>27</v>
      </c>
      <c r="I1737" t="s">
        <v>19</v>
      </c>
      <c r="J1737">
        <v>2007</v>
      </c>
      <c r="K1737">
        <v>2007</v>
      </c>
      <c r="L1737" t="s">
        <v>20</v>
      </c>
      <c r="M1737">
        <v>41536</v>
      </c>
      <c r="N1737">
        <v>758</v>
      </c>
    </row>
    <row r="1738" spans="1:14" x14ac:dyDescent="0.35">
      <c r="A1738" t="s">
        <v>1815</v>
      </c>
      <c r="B1738" t="s">
        <v>15</v>
      </c>
      <c r="C1738" t="s">
        <v>16</v>
      </c>
      <c r="D1738">
        <v>138</v>
      </c>
      <c r="E1738" t="s">
        <v>1794</v>
      </c>
      <c r="F1738">
        <v>5419</v>
      </c>
      <c r="G1738" t="s">
        <v>18</v>
      </c>
      <c r="H1738">
        <v>27</v>
      </c>
      <c r="I1738" t="s">
        <v>19</v>
      </c>
      <c r="J1738">
        <v>2008</v>
      </c>
      <c r="K1738">
        <v>2008</v>
      </c>
      <c r="L1738" t="s">
        <v>20</v>
      </c>
      <c r="M1738">
        <v>44619</v>
      </c>
      <c r="N1738">
        <v>758</v>
      </c>
    </row>
    <row r="1739" spans="1:14" x14ac:dyDescent="0.35">
      <c r="A1739" t="s">
        <v>1816</v>
      </c>
      <c r="B1739" t="s">
        <v>15</v>
      </c>
      <c r="C1739" t="s">
        <v>16</v>
      </c>
      <c r="D1739">
        <v>138</v>
      </c>
      <c r="E1739" t="s">
        <v>1794</v>
      </c>
      <c r="F1739">
        <v>5419</v>
      </c>
      <c r="G1739" t="s">
        <v>18</v>
      </c>
      <c r="H1739">
        <v>27</v>
      </c>
      <c r="I1739" t="s">
        <v>19</v>
      </c>
      <c r="J1739">
        <v>2009</v>
      </c>
      <c r="K1739">
        <v>2009</v>
      </c>
      <c r="L1739" t="s">
        <v>20</v>
      </c>
      <c r="M1739">
        <v>48502</v>
      </c>
      <c r="N1739">
        <v>758</v>
      </c>
    </row>
    <row r="1740" spans="1:14" x14ac:dyDescent="0.35">
      <c r="A1740" t="s">
        <v>1817</v>
      </c>
      <c r="B1740" t="s">
        <v>15</v>
      </c>
      <c r="C1740" t="s">
        <v>16</v>
      </c>
      <c r="D1740">
        <v>138</v>
      </c>
      <c r="E1740" t="s">
        <v>1794</v>
      </c>
      <c r="F1740">
        <v>5419</v>
      </c>
      <c r="G1740" t="s">
        <v>18</v>
      </c>
      <c r="H1740">
        <v>27</v>
      </c>
      <c r="I1740" t="s">
        <v>19</v>
      </c>
      <c r="J1740">
        <v>2010</v>
      </c>
      <c r="K1740">
        <v>2010</v>
      </c>
      <c r="L1740" t="s">
        <v>20</v>
      </c>
      <c r="M1740">
        <v>51901</v>
      </c>
      <c r="N1740">
        <v>758</v>
      </c>
    </row>
    <row r="1741" spans="1:14" x14ac:dyDescent="0.35">
      <c r="A1741" t="s">
        <v>1818</v>
      </c>
      <c r="B1741" t="s">
        <v>15</v>
      </c>
      <c r="C1741" t="s">
        <v>16</v>
      </c>
      <c r="D1741">
        <v>138</v>
      </c>
      <c r="E1741" t="s">
        <v>1794</v>
      </c>
      <c r="F1741">
        <v>5419</v>
      </c>
      <c r="G1741" t="s">
        <v>18</v>
      </c>
      <c r="H1741">
        <v>27</v>
      </c>
      <c r="I1741" t="s">
        <v>19</v>
      </c>
      <c r="J1741">
        <v>2011</v>
      </c>
      <c r="K1741">
        <v>2011</v>
      </c>
      <c r="L1741" t="s">
        <v>20</v>
      </c>
      <c r="M1741">
        <v>50962</v>
      </c>
      <c r="N1741">
        <v>758</v>
      </c>
    </row>
    <row r="1742" spans="1:14" x14ac:dyDescent="0.35">
      <c r="A1742" t="s">
        <v>1819</v>
      </c>
      <c r="B1742" t="s">
        <v>15</v>
      </c>
      <c r="C1742" t="s">
        <v>16</v>
      </c>
      <c r="D1742">
        <v>138</v>
      </c>
      <c r="E1742" t="s">
        <v>1794</v>
      </c>
      <c r="F1742">
        <v>5419</v>
      </c>
      <c r="G1742" t="s">
        <v>18</v>
      </c>
      <c r="H1742">
        <v>27</v>
      </c>
      <c r="I1742" t="s">
        <v>19</v>
      </c>
      <c r="J1742">
        <v>2012</v>
      </c>
      <c r="K1742">
        <v>2012</v>
      </c>
      <c r="L1742" t="s">
        <v>20</v>
      </c>
      <c r="M1742">
        <v>56231</v>
      </c>
      <c r="N1742">
        <v>758</v>
      </c>
    </row>
    <row r="1743" spans="1:14" x14ac:dyDescent="0.35">
      <c r="A1743" t="s">
        <v>1820</v>
      </c>
      <c r="B1743" t="s">
        <v>15</v>
      </c>
      <c r="C1743" t="s">
        <v>16</v>
      </c>
      <c r="D1743">
        <v>138</v>
      </c>
      <c r="E1743" t="s">
        <v>1794</v>
      </c>
      <c r="F1743">
        <v>5419</v>
      </c>
      <c r="G1743" t="s">
        <v>18</v>
      </c>
      <c r="H1743">
        <v>27</v>
      </c>
      <c r="I1743" t="s">
        <v>19</v>
      </c>
      <c r="J1743">
        <v>2013</v>
      </c>
      <c r="K1743">
        <v>2013</v>
      </c>
      <c r="L1743" t="s">
        <v>20</v>
      </c>
      <c r="M1743">
        <v>54252</v>
      </c>
      <c r="N1743">
        <v>758</v>
      </c>
    </row>
    <row r="1744" spans="1:14" x14ac:dyDescent="0.35">
      <c r="A1744" t="s">
        <v>1821</v>
      </c>
      <c r="B1744" t="s">
        <v>15</v>
      </c>
      <c r="C1744" t="s">
        <v>16</v>
      </c>
      <c r="D1744">
        <v>138</v>
      </c>
      <c r="E1744" t="s">
        <v>1794</v>
      </c>
      <c r="F1744">
        <v>5419</v>
      </c>
      <c r="G1744" t="s">
        <v>18</v>
      </c>
      <c r="H1744">
        <v>27</v>
      </c>
      <c r="I1744" t="s">
        <v>19</v>
      </c>
      <c r="J1744">
        <v>2014</v>
      </c>
      <c r="K1744">
        <v>2014</v>
      </c>
      <c r="L1744" t="s">
        <v>20</v>
      </c>
      <c r="M1744">
        <v>57122</v>
      </c>
      <c r="N1744">
        <v>758</v>
      </c>
    </row>
    <row r="1745" spans="1:14" x14ac:dyDescent="0.35">
      <c r="A1745" t="s">
        <v>1822</v>
      </c>
      <c r="B1745" t="s">
        <v>15</v>
      </c>
      <c r="C1745" t="s">
        <v>16</v>
      </c>
      <c r="D1745">
        <v>138</v>
      </c>
      <c r="E1745" t="s">
        <v>1794</v>
      </c>
      <c r="F1745">
        <v>5419</v>
      </c>
      <c r="G1745" t="s">
        <v>18</v>
      </c>
      <c r="H1745">
        <v>27</v>
      </c>
      <c r="I1745" t="s">
        <v>19</v>
      </c>
      <c r="J1745">
        <v>2015</v>
      </c>
      <c r="K1745">
        <v>2015</v>
      </c>
      <c r="L1745" t="s">
        <v>20</v>
      </c>
      <c r="M1745">
        <v>58079</v>
      </c>
      <c r="N1745">
        <v>758</v>
      </c>
    </row>
    <row r="1746" spans="1:14" x14ac:dyDescent="0.35">
      <c r="A1746" t="s">
        <v>1823</v>
      </c>
      <c r="B1746" t="s">
        <v>15</v>
      </c>
      <c r="C1746" t="s">
        <v>16</v>
      </c>
      <c r="D1746">
        <v>138</v>
      </c>
      <c r="E1746" t="s">
        <v>1794</v>
      </c>
      <c r="F1746">
        <v>5419</v>
      </c>
      <c r="G1746" t="s">
        <v>18</v>
      </c>
      <c r="H1746">
        <v>27</v>
      </c>
      <c r="I1746" t="s">
        <v>19</v>
      </c>
      <c r="J1746">
        <v>2016</v>
      </c>
      <c r="K1746">
        <v>2016</v>
      </c>
      <c r="L1746" t="s">
        <v>20</v>
      </c>
      <c r="M1746">
        <v>61346</v>
      </c>
      <c r="N1746">
        <v>758</v>
      </c>
    </row>
    <row r="1747" spans="1:14" x14ac:dyDescent="0.35">
      <c r="A1747" t="s">
        <v>1824</v>
      </c>
      <c r="B1747" t="s">
        <v>15</v>
      </c>
      <c r="C1747" t="s">
        <v>16</v>
      </c>
      <c r="D1747">
        <v>143</v>
      </c>
      <c r="E1747" t="s">
        <v>1825</v>
      </c>
      <c r="F1747">
        <v>5419</v>
      </c>
      <c r="G1747" t="s">
        <v>18</v>
      </c>
      <c r="H1747">
        <v>27</v>
      </c>
      <c r="I1747" t="s">
        <v>19</v>
      </c>
      <c r="J1747">
        <v>1985</v>
      </c>
      <c r="K1747">
        <v>1985</v>
      </c>
      <c r="L1747" t="s">
        <v>20</v>
      </c>
      <c r="M1747">
        <v>28833</v>
      </c>
      <c r="N1747">
        <v>346</v>
      </c>
    </row>
    <row r="1748" spans="1:14" x14ac:dyDescent="0.35">
      <c r="A1748" t="s">
        <v>1826</v>
      </c>
      <c r="B1748" t="s">
        <v>15</v>
      </c>
      <c r="C1748" t="s">
        <v>16</v>
      </c>
      <c r="D1748">
        <v>143</v>
      </c>
      <c r="E1748" t="s">
        <v>1825</v>
      </c>
      <c r="F1748">
        <v>5419</v>
      </c>
      <c r="G1748" t="s">
        <v>18</v>
      </c>
      <c r="H1748">
        <v>27</v>
      </c>
      <c r="I1748" t="s">
        <v>19</v>
      </c>
      <c r="J1748">
        <v>1986</v>
      </c>
      <c r="K1748">
        <v>1986</v>
      </c>
      <c r="L1748" t="s">
        <v>20</v>
      </c>
      <c r="M1748">
        <v>45511</v>
      </c>
      <c r="N1748">
        <v>346</v>
      </c>
    </row>
    <row r="1749" spans="1:14" x14ac:dyDescent="0.35">
      <c r="A1749" t="s">
        <v>1827</v>
      </c>
      <c r="B1749" t="s">
        <v>15</v>
      </c>
      <c r="C1749" t="s">
        <v>16</v>
      </c>
      <c r="D1749">
        <v>143</v>
      </c>
      <c r="E1749" t="s">
        <v>1825</v>
      </c>
      <c r="F1749">
        <v>5419</v>
      </c>
      <c r="G1749" t="s">
        <v>18</v>
      </c>
      <c r="H1749">
        <v>27</v>
      </c>
      <c r="I1749" t="s">
        <v>19</v>
      </c>
      <c r="J1749">
        <v>1987</v>
      </c>
      <c r="K1749">
        <v>1987</v>
      </c>
      <c r="L1749" t="s">
        <v>20</v>
      </c>
      <c r="M1749">
        <v>55000</v>
      </c>
      <c r="N1749">
        <v>346</v>
      </c>
    </row>
    <row r="1750" spans="1:14" x14ac:dyDescent="0.35">
      <c r="A1750" t="s">
        <v>1828</v>
      </c>
      <c r="B1750" t="s">
        <v>15</v>
      </c>
      <c r="C1750" t="s">
        <v>16</v>
      </c>
      <c r="D1750">
        <v>143</v>
      </c>
      <c r="E1750" t="s">
        <v>1825</v>
      </c>
      <c r="F1750">
        <v>5419</v>
      </c>
      <c r="G1750" t="s">
        <v>18</v>
      </c>
      <c r="H1750">
        <v>27</v>
      </c>
      <c r="I1750" t="s">
        <v>19</v>
      </c>
      <c r="J1750">
        <v>1989</v>
      </c>
      <c r="K1750">
        <v>1989</v>
      </c>
      <c r="L1750" t="s">
        <v>20</v>
      </c>
      <c r="M1750">
        <v>63000</v>
      </c>
      <c r="N1750">
        <v>346</v>
      </c>
    </row>
    <row r="1751" spans="1:14" x14ac:dyDescent="0.35">
      <c r="A1751" t="s">
        <v>1829</v>
      </c>
      <c r="B1751" t="s">
        <v>15</v>
      </c>
      <c r="C1751" t="s">
        <v>16</v>
      </c>
      <c r="D1751">
        <v>143</v>
      </c>
      <c r="E1751" t="s">
        <v>1825</v>
      </c>
      <c r="F1751">
        <v>5419</v>
      </c>
      <c r="G1751" t="s">
        <v>18</v>
      </c>
      <c r="H1751">
        <v>27</v>
      </c>
      <c r="I1751" t="s">
        <v>19</v>
      </c>
      <c r="J1751">
        <v>1990</v>
      </c>
      <c r="K1751">
        <v>1990</v>
      </c>
      <c r="L1751" t="s">
        <v>20</v>
      </c>
      <c r="M1751">
        <v>41750</v>
      </c>
      <c r="N1751">
        <v>346</v>
      </c>
    </row>
    <row r="1752" spans="1:14" x14ac:dyDescent="0.35">
      <c r="A1752" t="s">
        <v>1830</v>
      </c>
      <c r="B1752" t="s">
        <v>15</v>
      </c>
      <c r="C1752" t="s">
        <v>16</v>
      </c>
      <c r="D1752">
        <v>143</v>
      </c>
      <c r="E1752" t="s">
        <v>1825</v>
      </c>
      <c r="F1752">
        <v>5419</v>
      </c>
      <c r="G1752" t="s">
        <v>18</v>
      </c>
      <c r="H1752">
        <v>27</v>
      </c>
      <c r="I1752" t="s">
        <v>19</v>
      </c>
      <c r="J1752">
        <v>1991</v>
      </c>
      <c r="K1752">
        <v>1991</v>
      </c>
      <c r="L1752" t="s">
        <v>20</v>
      </c>
      <c r="M1752">
        <v>38406</v>
      </c>
      <c r="N1752">
        <v>346</v>
      </c>
    </row>
    <row r="1753" spans="1:14" x14ac:dyDescent="0.35">
      <c r="A1753" t="s">
        <v>1831</v>
      </c>
      <c r="B1753" t="s">
        <v>15</v>
      </c>
      <c r="C1753" t="s">
        <v>16</v>
      </c>
      <c r="D1753">
        <v>143</v>
      </c>
      <c r="E1753" t="s">
        <v>1825</v>
      </c>
      <c r="F1753">
        <v>5419</v>
      </c>
      <c r="G1753" t="s">
        <v>18</v>
      </c>
      <c r="H1753">
        <v>27</v>
      </c>
      <c r="I1753" t="s">
        <v>19</v>
      </c>
      <c r="J1753">
        <v>1992</v>
      </c>
      <c r="K1753">
        <v>1992</v>
      </c>
      <c r="L1753" t="s">
        <v>20</v>
      </c>
      <c r="M1753">
        <v>30694</v>
      </c>
      <c r="N1753">
        <v>346</v>
      </c>
    </row>
    <row r="1754" spans="1:14" x14ac:dyDescent="0.35">
      <c r="A1754" t="s">
        <v>1832</v>
      </c>
      <c r="B1754" t="s">
        <v>15</v>
      </c>
      <c r="C1754" t="s">
        <v>16</v>
      </c>
      <c r="D1754">
        <v>143</v>
      </c>
      <c r="E1754" t="s">
        <v>1825</v>
      </c>
      <c r="F1754">
        <v>5419</v>
      </c>
      <c r="G1754" t="s">
        <v>18</v>
      </c>
      <c r="H1754">
        <v>27</v>
      </c>
      <c r="I1754" t="s">
        <v>19</v>
      </c>
      <c r="J1754">
        <v>1993</v>
      </c>
      <c r="K1754">
        <v>1993</v>
      </c>
      <c r="L1754" t="s">
        <v>20</v>
      </c>
      <c r="M1754">
        <v>50000</v>
      </c>
      <c r="N1754">
        <v>346</v>
      </c>
    </row>
    <row r="1755" spans="1:14" x14ac:dyDescent="0.35">
      <c r="A1755" t="s">
        <v>1833</v>
      </c>
      <c r="B1755" t="s">
        <v>15</v>
      </c>
      <c r="C1755" t="s">
        <v>16</v>
      </c>
      <c r="D1755">
        <v>143</v>
      </c>
      <c r="E1755" t="s">
        <v>1825</v>
      </c>
      <c r="F1755">
        <v>5419</v>
      </c>
      <c r="G1755" t="s">
        <v>18</v>
      </c>
      <c r="H1755">
        <v>27</v>
      </c>
      <c r="I1755" t="s">
        <v>19</v>
      </c>
      <c r="J1755">
        <v>1994</v>
      </c>
      <c r="K1755">
        <v>1994</v>
      </c>
      <c r="L1755" t="s">
        <v>20</v>
      </c>
      <c r="M1755">
        <v>65000</v>
      </c>
      <c r="N1755">
        <v>346</v>
      </c>
    </row>
    <row r="1756" spans="1:14" x14ac:dyDescent="0.35">
      <c r="A1756" t="s">
        <v>1834</v>
      </c>
      <c r="B1756" t="s">
        <v>15</v>
      </c>
      <c r="C1756" t="s">
        <v>16</v>
      </c>
      <c r="D1756">
        <v>143</v>
      </c>
      <c r="E1756" t="s">
        <v>1825</v>
      </c>
      <c r="F1756">
        <v>5419</v>
      </c>
      <c r="G1756" t="s">
        <v>18</v>
      </c>
      <c r="H1756">
        <v>27</v>
      </c>
      <c r="I1756" t="s">
        <v>19</v>
      </c>
      <c r="J1756">
        <v>1995</v>
      </c>
      <c r="K1756">
        <v>1995</v>
      </c>
      <c r="L1756" t="s">
        <v>20</v>
      </c>
      <c r="M1756">
        <v>49571</v>
      </c>
      <c r="N1756">
        <v>346</v>
      </c>
    </row>
    <row r="1757" spans="1:14" x14ac:dyDescent="0.35">
      <c r="A1757" t="s">
        <v>1835</v>
      </c>
      <c r="B1757" t="s">
        <v>15</v>
      </c>
      <c r="C1757" t="s">
        <v>16</v>
      </c>
      <c r="D1757">
        <v>143</v>
      </c>
      <c r="E1757" t="s">
        <v>1825</v>
      </c>
      <c r="F1757">
        <v>5419</v>
      </c>
      <c r="G1757" t="s">
        <v>18</v>
      </c>
      <c r="H1757">
        <v>27</v>
      </c>
      <c r="I1757" t="s">
        <v>19</v>
      </c>
      <c r="J1757">
        <v>1996</v>
      </c>
      <c r="K1757">
        <v>1996</v>
      </c>
      <c r="L1757" t="s">
        <v>20</v>
      </c>
      <c r="M1757">
        <v>58000</v>
      </c>
      <c r="N1757">
        <v>346</v>
      </c>
    </row>
    <row r="1758" spans="1:14" x14ac:dyDescent="0.35">
      <c r="A1758" t="s">
        <v>1836</v>
      </c>
      <c r="B1758" t="s">
        <v>15</v>
      </c>
      <c r="C1758" t="s">
        <v>16</v>
      </c>
      <c r="D1758">
        <v>143</v>
      </c>
      <c r="E1758" t="s">
        <v>1825</v>
      </c>
      <c r="F1758">
        <v>5419</v>
      </c>
      <c r="G1758" t="s">
        <v>18</v>
      </c>
      <c r="H1758">
        <v>27</v>
      </c>
      <c r="I1758" t="s">
        <v>19</v>
      </c>
      <c r="J1758">
        <v>1997</v>
      </c>
      <c r="K1758">
        <v>1997</v>
      </c>
      <c r="L1758" t="s">
        <v>20</v>
      </c>
      <c r="M1758">
        <v>37256</v>
      </c>
      <c r="N1758">
        <v>346</v>
      </c>
    </row>
    <row r="1759" spans="1:14" x14ac:dyDescent="0.35">
      <c r="A1759" t="s">
        <v>1837</v>
      </c>
      <c r="B1759" t="s">
        <v>15</v>
      </c>
      <c r="C1759" t="s">
        <v>16</v>
      </c>
      <c r="D1759">
        <v>143</v>
      </c>
      <c r="E1759" t="s">
        <v>1825</v>
      </c>
      <c r="F1759">
        <v>5419</v>
      </c>
      <c r="G1759" t="s">
        <v>18</v>
      </c>
      <c r="H1759">
        <v>27</v>
      </c>
      <c r="I1759" t="s">
        <v>19</v>
      </c>
      <c r="J1759">
        <v>1998</v>
      </c>
      <c r="K1759">
        <v>1998</v>
      </c>
      <c r="L1759" t="s">
        <v>20</v>
      </c>
      <c r="M1759">
        <v>54108</v>
      </c>
      <c r="N1759">
        <v>346</v>
      </c>
    </row>
    <row r="1760" spans="1:14" x14ac:dyDescent="0.35">
      <c r="A1760" t="s">
        <v>1838</v>
      </c>
      <c r="B1760" t="s">
        <v>15</v>
      </c>
      <c r="C1760" t="s">
        <v>16</v>
      </c>
      <c r="D1760">
        <v>143</v>
      </c>
      <c r="E1760" t="s">
        <v>1825</v>
      </c>
      <c r="F1760">
        <v>5419</v>
      </c>
      <c r="G1760" t="s">
        <v>18</v>
      </c>
      <c r="H1760">
        <v>27</v>
      </c>
      <c r="I1760" t="s">
        <v>19</v>
      </c>
      <c r="J1760">
        <v>1999</v>
      </c>
      <c r="K1760">
        <v>1999</v>
      </c>
      <c r="L1760" t="s">
        <v>20</v>
      </c>
      <c r="M1760">
        <v>45000</v>
      </c>
      <c r="N1760">
        <v>346</v>
      </c>
    </row>
    <row r="1761" spans="1:14" x14ac:dyDescent="0.35">
      <c r="A1761" t="s">
        <v>1839</v>
      </c>
      <c r="B1761" t="s">
        <v>15</v>
      </c>
      <c r="C1761" t="s">
        <v>16</v>
      </c>
      <c r="D1761">
        <v>143</v>
      </c>
      <c r="E1761" t="s">
        <v>1825</v>
      </c>
      <c r="F1761">
        <v>5419</v>
      </c>
      <c r="G1761" t="s">
        <v>18</v>
      </c>
      <c r="H1761">
        <v>27</v>
      </c>
      <c r="I1761" t="s">
        <v>19</v>
      </c>
      <c r="J1761">
        <v>2000</v>
      </c>
      <c r="K1761">
        <v>2000</v>
      </c>
      <c r="L1761" t="s">
        <v>20</v>
      </c>
      <c r="M1761">
        <v>45000</v>
      </c>
      <c r="N1761">
        <v>346</v>
      </c>
    </row>
    <row r="1762" spans="1:14" x14ac:dyDescent="0.35">
      <c r="A1762" t="s">
        <v>1840</v>
      </c>
      <c r="B1762" t="s">
        <v>15</v>
      </c>
      <c r="C1762" t="s">
        <v>16</v>
      </c>
      <c r="D1762">
        <v>143</v>
      </c>
      <c r="E1762" t="s">
        <v>1825</v>
      </c>
      <c r="F1762">
        <v>5419</v>
      </c>
      <c r="G1762" t="s">
        <v>18</v>
      </c>
      <c r="H1762">
        <v>27</v>
      </c>
      <c r="I1762" t="s">
        <v>19</v>
      </c>
      <c r="J1762">
        <v>2001</v>
      </c>
      <c r="K1762">
        <v>2001</v>
      </c>
      <c r="L1762" t="s">
        <v>20</v>
      </c>
      <c r="M1762">
        <v>52773</v>
      </c>
      <c r="N1762">
        <v>346</v>
      </c>
    </row>
    <row r="1763" spans="1:14" x14ac:dyDescent="0.35">
      <c r="A1763" t="s">
        <v>1841</v>
      </c>
      <c r="B1763" t="s">
        <v>15</v>
      </c>
      <c r="C1763" t="s">
        <v>16</v>
      </c>
      <c r="D1763">
        <v>143</v>
      </c>
      <c r="E1763" t="s">
        <v>1825</v>
      </c>
      <c r="F1763">
        <v>5419</v>
      </c>
      <c r="G1763" t="s">
        <v>18</v>
      </c>
      <c r="H1763">
        <v>27</v>
      </c>
      <c r="I1763" t="s">
        <v>19</v>
      </c>
      <c r="J1763">
        <v>2002</v>
      </c>
      <c r="K1763">
        <v>2002</v>
      </c>
      <c r="L1763" t="s">
        <v>20</v>
      </c>
      <c r="M1763">
        <v>41453</v>
      </c>
      <c r="N1763">
        <v>346</v>
      </c>
    </row>
    <row r="1764" spans="1:14" x14ac:dyDescent="0.35">
      <c r="A1764" t="s">
        <v>1842</v>
      </c>
      <c r="B1764" t="s">
        <v>15</v>
      </c>
      <c r="C1764" t="s">
        <v>16</v>
      </c>
      <c r="D1764">
        <v>143</v>
      </c>
      <c r="E1764" t="s">
        <v>1825</v>
      </c>
      <c r="F1764">
        <v>5419</v>
      </c>
      <c r="G1764" t="s">
        <v>18</v>
      </c>
      <c r="H1764">
        <v>27</v>
      </c>
      <c r="I1764" t="s">
        <v>19</v>
      </c>
      <c r="J1764">
        <v>2004</v>
      </c>
      <c r="K1764">
        <v>2004</v>
      </c>
      <c r="L1764" t="s">
        <v>20</v>
      </c>
      <c r="M1764">
        <v>67045</v>
      </c>
      <c r="N1764">
        <v>346</v>
      </c>
    </row>
    <row r="1765" spans="1:14" x14ac:dyDescent="0.35">
      <c r="A1765" t="s">
        <v>1843</v>
      </c>
      <c r="B1765" t="s">
        <v>15</v>
      </c>
      <c r="C1765" t="s">
        <v>16</v>
      </c>
      <c r="D1765">
        <v>143</v>
      </c>
      <c r="E1765" t="s">
        <v>1825</v>
      </c>
      <c r="F1765">
        <v>5419</v>
      </c>
      <c r="G1765" t="s">
        <v>18</v>
      </c>
      <c r="H1765">
        <v>27</v>
      </c>
      <c r="I1765" t="s">
        <v>19</v>
      </c>
      <c r="J1765">
        <v>2005</v>
      </c>
      <c r="K1765">
        <v>2005</v>
      </c>
      <c r="L1765" t="s">
        <v>20</v>
      </c>
      <c r="M1765">
        <v>68000</v>
      </c>
      <c r="N1765">
        <v>346</v>
      </c>
    </row>
    <row r="1766" spans="1:14" x14ac:dyDescent="0.35">
      <c r="A1766" t="s">
        <v>1844</v>
      </c>
      <c r="B1766" t="s">
        <v>15</v>
      </c>
      <c r="C1766" t="s">
        <v>16</v>
      </c>
      <c r="D1766">
        <v>143</v>
      </c>
      <c r="E1766" t="s">
        <v>1825</v>
      </c>
      <c r="F1766">
        <v>5419</v>
      </c>
      <c r="G1766" t="s">
        <v>18</v>
      </c>
      <c r="H1766">
        <v>27</v>
      </c>
      <c r="I1766" t="s">
        <v>19</v>
      </c>
      <c r="J1766">
        <v>2006</v>
      </c>
      <c r="K1766">
        <v>2006</v>
      </c>
      <c r="L1766" t="s">
        <v>20</v>
      </c>
      <c r="M1766">
        <v>68000</v>
      </c>
      <c r="N1766">
        <v>346</v>
      </c>
    </row>
    <row r="1767" spans="1:14" x14ac:dyDescent="0.35">
      <c r="A1767" t="s">
        <v>1845</v>
      </c>
      <c r="B1767" t="s">
        <v>15</v>
      </c>
      <c r="C1767" t="s">
        <v>16</v>
      </c>
      <c r="D1767">
        <v>143</v>
      </c>
      <c r="E1767" t="s">
        <v>1825</v>
      </c>
      <c r="F1767">
        <v>5419</v>
      </c>
      <c r="G1767" t="s">
        <v>18</v>
      </c>
      <c r="H1767">
        <v>27</v>
      </c>
      <c r="I1767" t="s">
        <v>19</v>
      </c>
      <c r="J1767">
        <v>2007</v>
      </c>
      <c r="K1767">
        <v>2007</v>
      </c>
      <c r="L1767" t="s">
        <v>20</v>
      </c>
      <c r="M1767">
        <v>73667</v>
      </c>
      <c r="N1767">
        <v>346</v>
      </c>
    </row>
    <row r="1768" spans="1:14" x14ac:dyDescent="0.35">
      <c r="A1768" t="s">
        <v>1846</v>
      </c>
      <c r="B1768" t="s">
        <v>15</v>
      </c>
      <c r="C1768" t="s">
        <v>16</v>
      </c>
      <c r="D1768">
        <v>143</v>
      </c>
      <c r="E1768" t="s">
        <v>1825</v>
      </c>
      <c r="F1768">
        <v>5419</v>
      </c>
      <c r="G1768" t="s">
        <v>18</v>
      </c>
      <c r="H1768">
        <v>27</v>
      </c>
      <c r="I1768" t="s">
        <v>19</v>
      </c>
      <c r="J1768">
        <v>2008</v>
      </c>
      <c r="K1768">
        <v>2008</v>
      </c>
      <c r="L1768" t="s">
        <v>20</v>
      </c>
      <c r="M1768">
        <v>69563</v>
      </c>
      <c r="N1768">
        <v>346</v>
      </c>
    </row>
    <row r="1769" spans="1:14" x14ac:dyDescent="0.35">
      <c r="A1769" t="s">
        <v>1847</v>
      </c>
      <c r="B1769" t="s">
        <v>15</v>
      </c>
      <c r="C1769" t="s">
        <v>16</v>
      </c>
      <c r="D1769">
        <v>143</v>
      </c>
      <c r="E1769" t="s">
        <v>1825</v>
      </c>
      <c r="F1769">
        <v>5419</v>
      </c>
      <c r="G1769" t="s">
        <v>18</v>
      </c>
      <c r="H1769">
        <v>27</v>
      </c>
      <c r="I1769" t="s">
        <v>19</v>
      </c>
      <c r="J1769">
        <v>2009</v>
      </c>
      <c r="K1769">
        <v>2009</v>
      </c>
      <c r="L1769" t="s">
        <v>20</v>
      </c>
      <c r="M1769">
        <v>64154</v>
      </c>
      <c r="N1769">
        <v>346</v>
      </c>
    </row>
    <row r="1770" spans="1:14" x14ac:dyDescent="0.35">
      <c r="A1770" t="s">
        <v>1848</v>
      </c>
      <c r="B1770" t="s">
        <v>15</v>
      </c>
      <c r="C1770" t="s">
        <v>16</v>
      </c>
      <c r="D1770">
        <v>143</v>
      </c>
      <c r="E1770" t="s">
        <v>1825</v>
      </c>
      <c r="F1770">
        <v>5419</v>
      </c>
      <c r="G1770" t="s">
        <v>18</v>
      </c>
      <c r="H1770">
        <v>27</v>
      </c>
      <c r="I1770" t="s">
        <v>19</v>
      </c>
      <c r="J1770">
        <v>2010</v>
      </c>
      <c r="K1770">
        <v>2010</v>
      </c>
      <c r="L1770" t="s">
        <v>20</v>
      </c>
      <c r="M1770">
        <v>68270</v>
      </c>
      <c r="N1770">
        <v>346</v>
      </c>
    </row>
    <row r="1771" spans="1:14" x14ac:dyDescent="0.35">
      <c r="A1771" t="s">
        <v>1849</v>
      </c>
      <c r="B1771" t="s">
        <v>15</v>
      </c>
      <c r="C1771" t="s">
        <v>16</v>
      </c>
      <c r="D1771">
        <v>143</v>
      </c>
      <c r="E1771" t="s">
        <v>1825</v>
      </c>
      <c r="F1771">
        <v>5419</v>
      </c>
      <c r="G1771" t="s">
        <v>18</v>
      </c>
      <c r="H1771">
        <v>27</v>
      </c>
      <c r="I1771" t="s">
        <v>19</v>
      </c>
      <c r="J1771">
        <v>2011</v>
      </c>
      <c r="K1771">
        <v>2011</v>
      </c>
      <c r="L1771" t="s">
        <v>20</v>
      </c>
      <c r="M1771">
        <v>70236</v>
      </c>
      <c r="N1771">
        <v>346</v>
      </c>
    </row>
    <row r="1772" spans="1:14" x14ac:dyDescent="0.35">
      <c r="A1772" t="s">
        <v>1850</v>
      </c>
      <c r="B1772" t="s">
        <v>15</v>
      </c>
      <c r="C1772" t="s">
        <v>16</v>
      </c>
      <c r="D1772">
        <v>143</v>
      </c>
      <c r="E1772" t="s">
        <v>1825</v>
      </c>
      <c r="F1772">
        <v>5419</v>
      </c>
      <c r="G1772" t="s">
        <v>18</v>
      </c>
      <c r="H1772">
        <v>27</v>
      </c>
      <c r="I1772" t="s">
        <v>19</v>
      </c>
      <c r="J1772">
        <v>2012</v>
      </c>
      <c r="K1772">
        <v>2012</v>
      </c>
      <c r="L1772" t="s">
        <v>20</v>
      </c>
      <c r="M1772">
        <v>76015</v>
      </c>
      <c r="N1772">
        <v>346</v>
      </c>
    </row>
    <row r="1773" spans="1:14" x14ac:dyDescent="0.35">
      <c r="A1773" t="s">
        <v>1851</v>
      </c>
      <c r="B1773" t="s">
        <v>15</v>
      </c>
      <c r="C1773" t="s">
        <v>16</v>
      </c>
      <c r="D1773">
        <v>143</v>
      </c>
      <c r="E1773" t="s">
        <v>1825</v>
      </c>
      <c r="F1773">
        <v>5419</v>
      </c>
      <c r="G1773" t="s">
        <v>18</v>
      </c>
      <c r="H1773">
        <v>27</v>
      </c>
      <c r="I1773" t="s">
        <v>19</v>
      </c>
      <c r="J1773">
        <v>2013</v>
      </c>
      <c r="K1773">
        <v>2013</v>
      </c>
      <c r="L1773" t="s">
        <v>20</v>
      </c>
      <c r="M1773">
        <v>75433</v>
      </c>
      <c r="N1773">
        <v>346</v>
      </c>
    </row>
    <row r="1774" spans="1:14" x14ac:dyDescent="0.35">
      <c r="A1774" t="s">
        <v>1852</v>
      </c>
      <c r="B1774" t="s">
        <v>15</v>
      </c>
      <c r="C1774" t="s">
        <v>16</v>
      </c>
      <c r="D1774">
        <v>143</v>
      </c>
      <c r="E1774" t="s">
        <v>1825</v>
      </c>
      <c r="F1774">
        <v>5419</v>
      </c>
      <c r="G1774" t="s">
        <v>18</v>
      </c>
      <c r="H1774">
        <v>27</v>
      </c>
      <c r="I1774" t="s">
        <v>19</v>
      </c>
      <c r="J1774">
        <v>2014</v>
      </c>
      <c r="K1774">
        <v>2014</v>
      </c>
      <c r="L1774" t="s">
        <v>20</v>
      </c>
      <c r="M1774">
        <v>75000</v>
      </c>
      <c r="N1774">
        <v>346</v>
      </c>
    </row>
    <row r="1775" spans="1:14" x14ac:dyDescent="0.35">
      <c r="A1775" t="s">
        <v>1853</v>
      </c>
      <c r="B1775" t="s">
        <v>15</v>
      </c>
      <c r="C1775" t="s">
        <v>16</v>
      </c>
      <c r="D1775">
        <v>143</v>
      </c>
      <c r="E1775" t="s">
        <v>1825</v>
      </c>
      <c r="F1775">
        <v>5419</v>
      </c>
      <c r="G1775" t="s">
        <v>18</v>
      </c>
      <c r="H1775">
        <v>27</v>
      </c>
      <c r="I1775" t="s">
        <v>19</v>
      </c>
      <c r="J1775">
        <v>2015</v>
      </c>
      <c r="K1775">
        <v>2015</v>
      </c>
      <c r="L1775" t="s">
        <v>20</v>
      </c>
      <c r="M1775">
        <v>76173</v>
      </c>
      <c r="N1775">
        <v>346</v>
      </c>
    </row>
    <row r="1776" spans="1:14" x14ac:dyDescent="0.35">
      <c r="A1776" t="s">
        <v>1854</v>
      </c>
      <c r="B1776" t="s">
        <v>15</v>
      </c>
      <c r="C1776" t="s">
        <v>16</v>
      </c>
      <c r="D1776">
        <v>143</v>
      </c>
      <c r="E1776" t="s">
        <v>1825</v>
      </c>
      <c r="F1776">
        <v>5419</v>
      </c>
      <c r="G1776" t="s">
        <v>18</v>
      </c>
      <c r="H1776">
        <v>27</v>
      </c>
      <c r="I1776" t="s">
        <v>19</v>
      </c>
      <c r="J1776">
        <v>2016</v>
      </c>
      <c r="K1776">
        <v>2016</v>
      </c>
      <c r="L1776" t="s">
        <v>20</v>
      </c>
      <c r="M1776">
        <v>70881</v>
      </c>
      <c r="N1776">
        <v>346</v>
      </c>
    </row>
    <row r="1777" spans="1:14" x14ac:dyDescent="0.35">
      <c r="A1777" t="s">
        <v>1855</v>
      </c>
      <c r="B1777" t="s">
        <v>15</v>
      </c>
      <c r="C1777" t="s">
        <v>16</v>
      </c>
      <c r="D1777">
        <v>144</v>
      </c>
      <c r="E1777" t="s">
        <v>1856</v>
      </c>
      <c r="F1777">
        <v>5419</v>
      </c>
      <c r="G1777" t="s">
        <v>18</v>
      </c>
      <c r="H1777">
        <v>27</v>
      </c>
      <c r="I1777" t="s">
        <v>19</v>
      </c>
      <c r="J1777">
        <v>1985</v>
      </c>
      <c r="K1777">
        <v>1985</v>
      </c>
      <c r="L1777" t="s">
        <v>20</v>
      </c>
      <c r="M1777">
        <v>8600</v>
      </c>
      <c r="N1777">
        <v>1032</v>
      </c>
    </row>
    <row r="1778" spans="1:14" x14ac:dyDescent="0.35">
      <c r="A1778" t="s">
        <v>1857</v>
      </c>
      <c r="B1778" t="s">
        <v>15</v>
      </c>
      <c r="C1778" t="s">
        <v>16</v>
      </c>
      <c r="D1778">
        <v>144</v>
      </c>
      <c r="E1778" t="s">
        <v>1856</v>
      </c>
      <c r="F1778">
        <v>5419</v>
      </c>
      <c r="G1778" t="s">
        <v>18</v>
      </c>
      <c r="H1778">
        <v>27</v>
      </c>
      <c r="I1778" t="s">
        <v>19</v>
      </c>
      <c r="J1778">
        <v>1986</v>
      </c>
      <c r="K1778">
        <v>1986</v>
      </c>
      <c r="L1778" t="s">
        <v>20</v>
      </c>
      <c r="M1778">
        <v>9300</v>
      </c>
      <c r="N1778">
        <v>1032</v>
      </c>
    </row>
    <row r="1779" spans="1:14" x14ac:dyDescent="0.35">
      <c r="A1779" t="s">
        <v>1858</v>
      </c>
      <c r="B1779" t="s">
        <v>15</v>
      </c>
      <c r="C1779" t="s">
        <v>16</v>
      </c>
      <c r="D1779">
        <v>144</v>
      </c>
      <c r="E1779" t="s">
        <v>1856</v>
      </c>
      <c r="F1779">
        <v>5419</v>
      </c>
      <c r="G1779" t="s">
        <v>18</v>
      </c>
      <c r="H1779">
        <v>27</v>
      </c>
      <c r="I1779" t="s">
        <v>19</v>
      </c>
      <c r="J1779">
        <v>1987</v>
      </c>
      <c r="K1779">
        <v>1987</v>
      </c>
      <c r="L1779" t="s">
        <v>20</v>
      </c>
      <c r="M1779">
        <v>8571</v>
      </c>
      <c r="N1779">
        <v>1032</v>
      </c>
    </row>
    <row r="1780" spans="1:14" x14ac:dyDescent="0.35">
      <c r="A1780" t="s">
        <v>1859</v>
      </c>
      <c r="B1780" t="s">
        <v>15</v>
      </c>
      <c r="C1780" t="s">
        <v>16</v>
      </c>
      <c r="D1780">
        <v>144</v>
      </c>
      <c r="E1780" t="s">
        <v>1856</v>
      </c>
      <c r="F1780">
        <v>5419</v>
      </c>
      <c r="G1780" t="s">
        <v>18</v>
      </c>
      <c r="H1780">
        <v>27</v>
      </c>
      <c r="I1780" t="s">
        <v>19</v>
      </c>
      <c r="J1780">
        <v>1989</v>
      </c>
      <c r="K1780">
        <v>1989</v>
      </c>
      <c r="L1780" t="s">
        <v>20</v>
      </c>
      <c r="M1780">
        <v>8636</v>
      </c>
      <c r="N1780">
        <v>1032</v>
      </c>
    </row>
    <row r="1781" spans="1:14" x14ac:dyDescent="0.35">
      <c r="A1781" t="s">
        <v>1860</v>
      </c>
      <c r="B1781" t="s">
        <v>15</v>
      </c>
      <c r="C1781" t="s">
        <v>16</v>
      </c>
      <c r="D1781">
        <v>144</v>
      </c>
      <c r="E1781" t="s">
        <v>1856</v>
      </c>
      <c r="F1781">
        <v>5419</v>
      </c>
      <c r="G1781" t="s">
        <v>18</v>
      </c>
      <c r="H1781">
        <v>27</v>
      </c>
      <c r="I1781" t="s">
        <v>19</v>
      </c>
      <c r="J1781">
        <v>1990</v>
      </c>
      <c r="K1781">
        <v>1990</v>
      </c>
      <c r="L1781" t="s">
        <v>20</v>
      </c>
      <c r="M1781">
        <v>8747</v>
      </c>
      <c r="N1781">
        <v>1032</v>
      </c>
    </row>
    <row r="1782" spans="1:14" x14ac:dyDescent="0.35">
      <c r="A1782" t="s">
        <v>1861</v>
      </c>
      <c r="B1782" t="s">
        <v>15</v>
      </c>
      <c r="C1782" t="s">
        <v>16</v>
      </c>
      <c r="D1782">
        <v>144</v>
      </c>
      <c r="E1782" t="s">
        <v>1856</v>
      </c>
      <c r="F1782">
        <v>5419</v>
      </c>
      <c r="G1782" t="s">
        <v>18</v>
      </c>
      <c r="H1782">
        <v>27</v>
      </c>
      <c r="I1782" t="s">
        <v>19</v>
      </c>
      <c r="J1782">
        <v>1991</v>
      </c>
      <c r="K1782">
        <v>1991</v>
      </c>
      <c r="L1782" t="s">
        <v>20</v>
      </c>
      <c r="M1782">
        <v>5290</v>
      </c>
      <c r="N1782">
        <v>1032</v>
      </c>
    </row>
    <row r="1783" spans="1:14" x14ac:dyDescent="0.35">
      <c r="A1783" t="s">
        <v>1862</v>
      </c>
      <c r="B1783" t="s">
        <v>15</v>
      </c>
      <c r="C1783" t="s">
        <v>16</v>
      </c>
      <c r="D1783">
        <v>144</v>
      </c>
      <c r="E1783" t="s">
        <v>1856</v>
      </c>
      <c r="F1783">
        <v>5419</v>
      </c>
      <c r="G1783" t="s">
        <v>18</v>
      </c>
      <c r="H1783">
        <v>27</v>
      </c>
      <c r="I1783" t="s">
        <v>19</v>
      </c>
      <c r="J1783">
        <v>1992</v>
      </c>
      <c r="K1783">
        <v>1992</v>
      </c>
      <c r="L1783" t="s">
        <v>20</v>
      </c>
      <c r="M1783">
        <v>2988</v>
      </c>
      <c r="N1783">
        <v>1032</v>
      </c>
    </row>
    <row r="1784" spans="1:14" x14ac:dyDescent="0.35">
      <c r="A1784" t="s">
        <v>1863</v>
      </c>
      <c r="B1784" t="s">
        <v>15</v>
      </c>
      <c r="C1784" t="s">
        <v>16</v>
      </c>
      <c r="D1784">
        <v>144</v>
      </c>
      <c r="E1784" t="s">
        <v>1856</v>
      </c>
      <c r="F1784">
        <v>5419</v>
      </c>
      <c r="G1784" t="s">
        <v>18</v>
      </c>
      <c r="H1784">
        <v>27</v>
      </c>
      <c r="I1784" t="s">
        <v>19</v>
      </c>
      <c r="J1784">
        <v>1993</v>
      </c>
      <c r="K1784">
        <v>1993</v>
      </c>
      <c r="L1784" t="s">
        <v>20</v>
      </c>
      <c r="M1784">
        <v>6225</v>
      </c>
      <c r="N1784">
        <v>1032</v>
      </c>
    </row>
    <row r="1785" spans="1:14" x14ac:dyDescent="0.35">
      <c r="A1785" t="s">
        <v>1864</v>
      </c>
      <c r="B1785" t="s">
        <v>15</v>
      </c>
      <c r="C1785" t="s">
        <v>16</v>
      </c>
      <c r="D1785">
        <v>144</v>
      </c>
      <c r="E1785" t="s">
        <v>1856</v>
      </c>
      <c r="F1785">
        <v>5419</v>
      </c>
      <c r="G1785" t="s">
        <v>18</v>
      </c>
      <c r="H1785">
        <v>27</v>
      </c>
      <c r="I1785" t="s">
        <v>19</v>
      </c>
      <c r="J1785">
        <v>1994</v>
      </c>
      <c r="K1785">
        <v>1994</v>
      </c>
      <c r="L1785" t="s">
        <v>20</v>
      </c>
      <c r="M1785">
        <v>8345</v>
      </c>
      <c r="N1785">
        <v>1032</v>
      </c>
    </row>
    <row r="1786" spans="1:14" x14ac:dyDescent="0.35">
      <c r="A1786" t="s">
        <v>1865</v>
      </c>
      <c r="B1786" t="s">
        <v>15</v>
      </c>
      <c r="C1786" t="s">
        <v>16</v>
      </c>
      <c r="D1786">
        <v>144</v>
      </c>
      <c r="E1786" t="s">
        <v>1856</v>
      </c>
      <c r="F1786">
        <v>5419</v>
      </c>
      <c r="G1786" t="s">
        <v>18</v>
      </c>
      <c r="H1786">
        <v>27</v>
      </c>
      <c r="I1786" t="s">
        <v>19</v>
      </c>
      <c r="J1786">
        <v>1995</v>
      </c>
      <c r="K1786">
        <v>1995</v>
      </c>
      <c r="L1786" t="s">
        <v>20</v>
      </c>
      <c r="M1786">
        <v>8717</v>
      </c>
      <c r="N1786">
        <v>1032</v>
      </c>
    </row>
    <row r="1787" spans="1:14" x14ac:dyDescent="0.35">
      <c r="A1787" t="s">
        <v>1866</v>
      </c>
      <c r="B1787" t="s">
        <v>15</v>
      </c>
      <c r="C1787" t="s">
        <v>16</v>
      </c>
      <c r="D1787">
        <v>144</v>
      </c>
      <c r="E1787" t="s">
        <v>1856</v>
      </c>
      <c r="F1787">
        <v>5419</v>
      </c>
      <c r="G1787" t="s">
        <v>18</v>
      </c>
      <c r="H1787">
        <v>27</v>
      </c>
      <c r="I1787" t="s">
        <v>19</v>
      </c>
      <c r="J1787">
        <v>1996</v>
      </c>
      <c r="K1787">
        <v>1996</v>
      </c>
      <c r="L1787" t="s">
        <v>20</v>
      </c>
      <c r="M1787">
        <v>9653</v>
      </c>
      <c r="N1787">
        <v>1032</v>
      </c>
    </row>
    <row r="1788" spans="1:14" x14ac:dyDescent="0.35">
      <c r="A1788" t="s">
        <v>1867</v>
      </c>
      <c r="B1788" t="s">
        <v>15</v>
      </c>
      <c r="C1788" t="s">
        <v>16</v>
      </c>
      <c r="D1788">
        <v>144</v>
      </c>
      <c r="E1788" t="s">
        <v>1856</v>
      </c>
      <c r="F1788">
        <v>5419</v>
      </c>
      <c r="G1788" t="s">
        <v>18</v>
      </c>
      <c r="H1788">
        <v>27</v>
      </c>
      <c r="I1788" t="s">
        <v>19</v>
      </c>
      <c r="J1788">
        <v>1997</v>
      </c>
      <c r="K1788">
        <v>1997</v>
      </c>
      <c r="L1788" t="s">
        <v>20</v>
      </c>
      <c r="M1788">
        <v>10904</v>
      </c>
      <c r="N1788">
        <v>1032</v>
      </c>
    </row>
    <row r="1789" spans="1:14" x14ac:dyDescent="0.35">
      <c r="A1789" t="s">
        <v>1868</v>
      </c>
      <c r="B1789" t="s">
        <v>15</v>
      </c>
      <c r="C1789" t="s">
        <v>16</v>
      </c>
      <c r="D1789">
        <v>144</v>
      </c>
      <c r="E1789" t="s">
        <v>1856</v>
      </c>
      <c r="F1789">
        <v>5419</v>
      </c>
      <c r="G1789" t="s">
        <v>18</v>
      </c>
      <c r="H1789">
        <v>27</v>
      </c>
      <c r="I1789" t="s">
        <v>19</v>
      </c>
      <c r="J1789">
        <v>1998</v>
      </c>
      <c r="K1789">
        <v>1998</v>
      </c>
      <c r="L1789" t="s">
        <v>20</v>
      </c>
      <c r="M1789">
        <v>10552</v>
      </c>
      <c r="N1789">
        <v>1032</v>
      </c>
    </row>
    <row r="1790" spans="1:14" x14ac:dyDescent="0.35">
      <c r="A1790" t="s">
        <v>1869</v>
      </c>
      <c r="B1790" t="s">
        <v>15</v>
      </c>
      <c r="C1790" t="s">
        <v>16</v>
      </c>
      <c r="D1790">
        <v>144</v>
      </c>
      <c r="E1790" t="s">
        <v>1856</v>
      </c>
      <c r="F1790">
        <v>5419</v>
      </c>
      <c r="G1790" t="s">
        <v>18</v>
      </c>
      <c r="H1790">
        <v>27</v>
      </c>
      <c r="I1790" t="s">
        <v>19</v>
      </c>
      <c r="J1790">
        <v>1999</v>
      </c>
      <c r="K1790">
        <v>1999</v>
      </c>
      <c r="L1790" t="s">
        <v>20</v>
      </c>
      <c r="M1790">
        <v>10000</v>
      </c>
      <c r="N1790">
        <v>1032</v>
      </c>
    </row>
    <row r="1791" spans="1:14" x14ac:dyDescent="0.35">
      <c r="A1791" t="s">
        <v>1870</v>
      </c>
      <c r="B1791" t="s">
        <v>15</v>
      </c>
      <c r="C1791" t="s">
        <v>16</v>
      </c>
      <c r="D1791">
        <v>144</v>
      </c>
      <c r="E1791" t="s">
        <v>1856</v>
      </c>
      <c r="F1791">
        <v>5419</v>
      </c>
      <c r="G1791" t="s">
        <v>18</v>
      </c>
      <c r="H1791">
        <v>27</v>
      </c>
      <c r="I1791" t="s">
        <v>19</v>
      </c>
      <c r="J1791">
        <v>2000</v>
      </c>
      <c r="K1791">
        <v>2000</v>
      </c>
      <c r="L1791" t="s">
        <v>20</v>
      </c>
      <c r="M1791">
        <v>9816</v>
      </c>
      <c r="N1791">
        <v>1032</v>
      </c>
    </row>
    <row r="1792" spans="1:14" x14ac:dyDescent="0.35">
      <c r="A1792" t="s">
        <v>1871</v>
      </c>
      <c r="B1792" t="s">
        <v>15</v>
      </c>
      <c r="C1792" t="s">
        <v>16</v>
      </c>
      <c r="D1792">
        <v>144</v>
      </c>
      <c r="E1792" t="s">
        <v>1856</v>
      </c>
      <c r="F1792">
        <v>5419</v>
      </c>
      <c r="G1792" t="s">
        <v>18</v>
      </c>
      <c r="H1792">
        <v>27</v>
      </c>
      <c r="I1792" t="s">
        <v>19</v>
      </c>
      <c r="J1792">
        <v>2001</v>
      </c>
      <c r="K1792">
        <v>2001</v>
      </c>
      <c r="L1792" t="s">
        <v>20</v>
      </c>
      <c r="M1792">
        <v>9582</v>
      </c>
      <c r="N1792">
        <v>1032</v>
      </c>
    </row>
    <row r="1793" spans="1:14" x14ac:dyDescent="0.35">
      <c r="A1793" t="s">
        <v>1872</v>
      </c>
      <c r="B1793" t="s">
        <v>15</v>
      </c>
      <c r="C1793" t="s">
        <v>16</v>
      </c>
      <c r="D1793">
        <v>144</v>
      </c>
      <c r="E1793" t="s">
        <v>1856</v>
      </c>
      <c r="F1793">
        <v>5419</v>
      </c>
      <c r="G1793" t="s">
        <v>18</v>
      </c>
      <c r="H1793">
        <v>27</v>
      </c>
      <c r="I1793" t="s">
        <v>19</v>
      </c>
      <c r="J1793">
        <v>2002</v>
      </c>
      <c r="K1793">
        <v>2002</v>
      </c>
      <c r="L1793" t="s">
        <v>20</v>
      </c>
      <c r="M1793">
        <v>2789</v>
      </c>
      <c r="N1793">
        <v>1032</v>
      </c>
    </row>
    <row r="1794" spans="1:14" x14ac:dyDescent="0.35">
      <c r="A1794" t="s">
        <v>1873</v>
      </c>
      <c r="B1794" t="s">
        <v>15</v>
      </c>
      <c r="C1794" t="s">
        <v>16</v>
      </c>
      <c r="D1794">
        <v>144</v>
      </c>
      <c r="E1794" t="s">
        <v>1856</v>
      </c>
      <c r="F1794">
        <v>5419</v>
      </c>
      <c r="G1794" t="s">
        <v>18</v>
      </c>
      <c r="H1794">
        <v>27</v>
      </c>
      <c r="I1794" t="s">
        <v>19</v>
      </c>
      <c r="J1794">
        <v>2004</v>
      </c>
      <c r="K1794">
        <v>2004</v>
      </c>
      <c r="L1794" t="s">
        <v>20</v>
      </c>
      <c r="M1794">
        <v>9604</v>
      </c>
      <c r="N1794">
        <v>1032</v>
      </c>
    </row>
    <row r="1795" spans="1:14" x14ac:dyDescent="0.35">
      <c r="A1795" t="s">
        <v>1874</v>
      </c>
      <c r="B1795" t="s">
        <v>15</v>
      </c>
      <c r="C1795" t="s">
        <v>16</v>
      </c>
      <c r="D1795">
        <v>144</v>
      </c>
      <c r="E1795" t="s">
        <v>1856</v>
      </c>
      <c r="F1795">
        <v>5419</v>
      </c>
      <c r="G1795" t="s">
        <v>18</v>
      </c>
      <c r="H1795">
        <v>27</v>
      </c>
      <c r="I1795" t="s">
        <v>19</v>
      </c>
      <c r="J1795">
        <v>2005</v>
      </c>
      <c r="K1795">
        <v>2005</v>
      </c>
      <c r="L1795" t="s">
        <v>20</v>
      </c>
      <c r="M1795">
        <v>2034</v>
      </c>
      <c r="N1795">
        <v>1032</v>
      </c>
    </row>
    <row r="1796" spans="1:14" x14ac:dyDescent="0.35">
      <c r="A1796" t="s">
        <v>1875</v>
      </c>
      <c r="B1796" t="s">
        <v>15</v>
      </c>
      <c r="C1796" t="s">
        <v>16</v>
      </c>
      <c r="D1796">
        <v>144</v>
      </c>
      <c r="E1796" t="s">
        <v>1856</v>
      </c>
      <c r="F1796">
        <v>5419</v>
      </c>
      <c r="G1796" t="s">
        <v>18</v>
      </c>
      <c r="H1796">
        <v>27</v>
      </c>
      <c r="I1796" t="s">
        <v>19</v>
      </c>
      <c r="J1796">
        <v>2006</v>
      </c>
      <c r="K1796">
        <v>2006</v>
      </c>
      <c r="L1796" t="s">
        <v>20</v>
      </c>
      <c r="M1796">
        <v>2729</v>
      </c>
      <c r="N1796">
        <v>1032</v>
      </c>
    </row>
    <row r="1797" spans="1:14" x14ac:dyDescent="0.35">
      <c r="A1797" t="s">
        <v>1876</v>
      </c>
      <c r="B1797" t="s">
        <v>15</v>
      </c>
      <c r="C1797" t="s">
        <v>16</v>
      </c>
      <c r="D1797">
        <v>144</v>
      </c>
      <c r="E1797" t="s">
        <v>1856</v>
      </c>
      <c r="F1797">
        <v>5419</v>
      </c>
      <c r="G1797" t="s">
        <v>18</v>
      </c>
      <c r="H1797">
        <v>27</v>
      </c>
      <c r="I1797" t="s">
        <v>19</v>
      </c>
      <c r="J1797">
        <v>2007</v>
      </c>
      <c r="K1797">
        <v>2007</v>
      </c>
      <c r="L1797" t="s">
        <v>20</v>
      </c>
      <c r="M1797">
        <v>2845</v>
      </c>
      <c r="N1797">
        <v>1032</v>
      </c>
    </row>
    <row r="1798" spans="1:14" x14ac:dyDescent="0.35">
      <c r="A1798" t="s">
        <v>1877</v>
      </c>
      <c r="B1798" t="s">
        <v>15</v>
      </c>
      <c r="C1798" t="s">
        <v>16</v>
      </c>
      <c r="D1798">
        <v>144</v>
      </c>
      <c r="E1798" t="s">
        <v>1856</v>
      </c>
      <c r="F1798">
        <v>5419</v>
      </c>
      <c r="G1798" t="s">
        <v>18</v>
      </c>
      <c r="H1798">
        <v>27</v>
      </c>
      <c r="I1798" t="s">
        <v>19</v>
      </c>
      <c r="J1798">
        <v>2008</v>
      </c>
      <c r="K1798">
        <v>2008</v>
      </c>
      <c r="L1798" t="s">
        <v>20</v>
      </c>
      <c r="M1798">
        <v>2836</v>
      </c>
      <c r="N1798">
        <v>1032</v>
      </c>
    </row>
    <row r="1799" spans="1:14" x14ac:dyDescent="0.35">
      <c r="A1799" t="s">
        <v>1878</v>
      </c>
      <c r="B1799" t="s">
        <v>15</v>
      </c>
      <c r="C1799" t="s">
        <v>16</v>
      </c>
      <c r="D1799">
        <v>144</v>
      </c>
      <c r="E1799" t="s">
        <v>1856</v>
      </c>
      <c r="F1799">
        <v>5419</v>
      </c>
      <c r="G1799" t="s">
        <v>18</v>
      </c>
      <c r="H1799">
        <v>27</v>
      </c>
      <c r="I1799" t="s">
        <v>19</v>
      </c>
      <c r="J1799">
        <v>2009</v>
      </c>
      <c r="K1799">
        <v>2009</v>
      </c>
      <c r="L1799" t="s">
        <v>20</v>
      </c>
      <c r="M1799">
        <v>9835</v>
      </c>
      <c r="N1799">
        <v>1032</v>
      </c>
    </row>
    <row r="1800" spans="1:14" x14ac:dyDescent="0.35">
      <c r="A1800" t="s">
        <v>1879</v>
      </c>
      <c r="B1800" t="s">
        <v>15</v>
      </c>
      <c r="C1800" t="s">
        <v>16</v>
      </c>
      <c r="D1800">
        <v>144</v>
      </c>
      <c r="E1800" t="s">
        <v>1856</v>
      </c>
      <c r="F1800">
        <v>5419</v>
      </c>
      <c r="G1800" t="s">
        <v>18</v>
      </c>
      <c r="H1800">
        <v>27</v>
      </c>
      <c r="I1800" t="s">
        <v>19</v>
      </c>
      <c r="J1800">
        <v>2010</v>
      </c>
      <c r="K1800">
        <v>2010</v>
      </c>
      <c r="L1800" t="s">
        <v>20</v>
      </c>
      <c r="M1800">
        <v>11365</v>
      </c>
      <c r="N1800">
        <v>1032</v>
      </c>
    </row>
    <row r="1801" spans="1:14" x14ac:dyDescent="0.35">
      <c r="A1801" t="s">
        <v>1880</v>
      </c>
      <c r="B1801" t="s">
        <v>15</v>
      </c>
      <c r="C1801" t="s">
        <v>16</v>
      </c>
      <c r="D1801">
        <v>144</v>
      </c>
      <c r="E1801" t="s">
        <v>1856</v>
      </c>
      <c r="F1801">
        <v>5419</v>
      </c>
      <c r="G1801" t="s">
        <v>18</v>
      </c>
      <c r="H1801">
        <v>27</v>
      </c>
      <c r="I1801" t="s">
        <v>19</v>
      </c>
      <c r="J1801">
        <v>2011</v>
      </c>
      <c r="K1801">
        <v>2011</v>
      </c>
      <c r="L1801" t="s">
        <v>20</v>
      </c>
      <c r="M1801">
        <v>11366</v>
      </c>
      <c r="N1801">
        <v>1032</v>
      </c>
    </row>
    <row r="1802" spans="1:14" x14ac:dyDescent="0.35">
      <c r="A1802" t="s">
        <v>1881</v>
      </c>
      <c r="B1802" t="s">
        <v>15</v>
      </c>
      <c r="C1802" t="s">
        <v>16</v>
      </c>
      <c r="D1802">
        <v>144</v>
      </c>
      <c r="E1802" t="s">
        <v>1856</v>
      </c>
      <c r="F1802">
        <v>5419</v>
      </c>
      <c r="G1802" t="s">
        <v>18</v>
      </c>
      <c r="H1802">
        <v>27</v>
      </c>
      <c r="I1802" t="s">
        <v>19</v>
      </c>
      <c r="J1802">
        <v>2012</v>
      </c>
      <c r="K1802">
        <v>2012</v>
      </c>
      <c r="L1802" t="s">
        <v>20</v>
      </c>
      <c r="M1802">
        <v>5589</v>
      </c>
      <c r="N1802">
        <v>1032</v>
      </c>
    </row>
    <row r="1803" spans="1:14" x14ac:dyDescent="0.35">
      <c r="A1803" t="s">
        <v>1882</v>
      </c>
      <c r="B1803" t="s">
        <v>15</v>
      </c>
      <c r="C1803" t="s">
        <v>16</v>
      </c>
      <c r="D1803">
        <v>144</v>
      </c>
      <c r="E1803" t="s">
        <v>1856</v>
      </c>
      <c r="F1803">
        <v>5419</v>
      </c>
      <c r="G1803" t="s">
        <v>18</v>
      </c>
      <c r="H1803">
        <v>27</v>
      </c>
      <c r="I1803" t="s">
        <v>19</v>
      </c>
      <c r="J1803">
        <v>2013</v>
      </c>
      <c r="K1803">
        <v>2013</v>
      </c>
      <c r="L1803" t="s">
        <v>20</v>
      </c>
      <c r="M1803">
        <v>2824</v>
      </c>
      <c r="N1803">
        <v>1032</v>
      </c>
    </row>
    <row r="1804" spans="1:14" x14ac:dyDescent="0.35">
      <c r="A1804" t="s">
        <v>1883</v>
      </c>
      <c r="B1804" t="s">
        <v>15</v>
      </c>
      <c r="C1804" t="s">
        <v>16</v>
      </c>
      <c r="D1804">
        <v>144</v>
      </c>
      <c r="E1804" t="s">
        <v>1856</v>
      </c>
      <c r="F1804">
        <v>5419</v>
      </c>
      <c r="G1804" t="s">
        <v>18</v>
      </c>
      <c r="H1804">
        <v>27</v>
      </c>
      <c r="I1804" t="s">
        <v>19</v>
      </c>
      <c r="J1804">
        <v>2014</v>
      </c>
      <c r="K1804">
        <v>2014</v>
      </c>
      <c r="L1804" t="s">
        <v>20</v>
      </c>
      <c r="M1804">
        <v>4137</v>
      </c>
      <c r="N1804">
        <v>1032</v>
      </c>
    </row>
    <row r="1805" spans="1:14" x14ac:dyDescent="0.35">
      <c r="A1805" t="s">
        <v>1884</v>
      </c>
      <c r="B1805" t="s">
        <v>15</v>
      </c>
      <c r="C1805" t="s">
        <v>16</v>
      </c>
      <c r="D1805">
        <v>144</v>
      </c>
      <c r="E1805" t="s">
        <v>1856</v>
      </c>
      <c r="F1805">
        <v>5419</v>
      </c>
      <c r="G1805" t="s">
        <v>18</v>
      </c>
      <c r="H1805">
        <v>27</v>
      </c>
      <c r="I1805" t="s">
        <v>19</v>
      </c>
      <c r="J1805">
        <v>2015</v>
      </c>
      <c r="K1805">
        <v>2015</v>
      </c>
      <c r="L1805" t="s">
        <v>20</v>
      </c>
      <c r="M1805">
        <v>5458</v>
      </c>
      <c r="N1805">
        <v>1032</v>
      </c>
    </row>
    <row r="1806" spans="1:14" x14ac:dyDescent="0.35">
      <c r="A1806" t="s">
        <v>1885</v>
      </c>
      <c r="B1806" t="s">
        <v>15</v>
      </c>
      <c r="C1806" t="s">
        <v>16</v>
      </c>
      <c r="D1806">
        <v>144</v>
      </c>
      <c r="E1806" t="s">
        <v>1856</v>
      </c>
      <c r="F1806">
        <v>5419</v>
      </c>
      <c r="G1806" t="s">
        <v>18</v>
      </c>
      <c r="H1806">
        <v>27</v>
      </c>
      <c r="I1806" t="s">
        <v>19</v>
      </c>
      <c r="J1806">
        <v>2016</v>
      </c>
      <c r="K1806">
        <v>2016</v>
      </c>
      <c r="L1806" t="s">
        <v>20</v>
      </c>
      <c r="M1806">
        <v>6037</v>
      </c>
      <c r="N1806">
        <v>1032</v>
      </c>
    </row>
    <row r="1807" spans="1:14" x14ac:dyDescent="0.35">
      <c r="A1807" t="s">
        <v>1886</v>
      </c>
      <c r="B1807" t="s">
        <v>15</v>
      </c>
      <c r="C1807" t="s">
        <v>16</v>
      </c>
      <c r="D1807">
        <v>28</v>
      </c>
      <c r="E1807" t="s">
        <v>1887</v>
      </c>
      <c r="F1807">
        <v>5419</v>
      </c>
      <c r="G1807" t="s">
        <v>18</v>
      </c>
      <c r="H1807">
        <v>27</v>
      </c>
      <c r="I1807" t="s">
        <v>19</v>
      </c>
      <c r="J1807">
        <v>1985</v>
      </c>
      <c r="K1807">
        <v>1985</v>
      </c>
      <c r="L1807" t="s">
        <v>20</v>
      </c>
      <c r="M1807">
        <v>30718</v>
      </c>
      <c r="N1807">
        <v>2091</v>
      </c>
    </row>
    <row r="1808" spans="1:14" x14ac:dyDescent="0.35">
      <c r="A1808" t="s">
        <v>1888</v>
      </c>
      <c r="B1808" t="s">
        <v>15</v>
      </c>
      <c r="C1808" t="s">
        <v>16</v>
      </c>
      <c r="D1808">
        <v>28</v>
      </c>
      <c r="E1808" t="s">
        <v>1887</v>
      </c>
      <c r="F1808">
        <v>5419</v>
      </c>
      <c r="G1808" t="s">
        <v>18</v>
      </c>
      <c r="H1808">
        <v>27</v>
      </c>
      <c r="I1808" t="s">
        <v>19</v>
      </c>
      <c r="J1808">
        <v>1986</v>
      </c>
      <c r="K1808">
        <v>1986</v>
      </c>
      <c r="L1808" t="s">
        <v>20</v>
      </c>
      <c r="M1808">
        <v>30279</v>
      </c>
      <c r="N1808">
        <v>2091</v>
      </c>
    </row>
    <row r="1809" spans="1:14" x14ac:dyDescent="0.35">
      <c r="A1809" t="s">
        <v>1889</v>
      </c>
      <c r="B1809" t="s">
        <v>15</v>
      </c>
      <c r="C1809" t="s">
        <v>16</v>
      </c>
      <c r="D1809">
        <v>28</v>
      </c>
      <c r="E1809" t="s">
        <v>1887</v>
      </c>
      <c r="F1809">
        <v>5419</v>
      </c>
      <c r="G1809" t="s">
        <v>18</v>
      </c>
      <c r="H1809">
        <v>27</v>
      </c>
      <c r="I1809" t="s">
        <v>19</v>
      </c>
      <c r="J1809">
        <v>1987</v>
      </c>
      <c r="K1809">
        <v>1987</v>
      </c>
      <c r="L1809" t="s">
        <v>20</v>
      </c>
      <c r="M1809">
        <v>30424</v>
      </c>
      <c r="N1809">
        <v>2091</v>
      </c>
    </row>
    <row r="1810" spans="1:14" x14ac:dyDescent="0.35">
      <c r="A1810" t="s">
        <v>1890</v>
      </c>
      <c r="B1810" t="s">
        <v>15</v>
      </c>
      <c r="C1810" t="s">
        <v>16</v>
      </c>
      <c r="D1810">
        <v>28</v>
      </c>
      <c r="E1810" t="s">
        <v>1887</v>
      </c>
      <c r="F1810">
        <v>5419</v>
      </c>
      <c r="G1810" t="s">
        <v>18</v>
      </c>
      <c r="H1810">
        <v>27</v>
      </c>
      <c r="I1810" t="s">
        <v>19</v>
      </c>
      <c r="J1810">
        <v>1989</v>
      </c>
      <c r="K1810">
        <v>1989</v>
      </c>
      <c r="L1810" t="s">
        <v>20</v>
      </c>
      <c r="M1810">
        <v>29174</v>
      </c>
      <c r="N1810">
        <v>2091</v>
      </c>
    </row>
    <row r="1811" spans="1:14" x14ac:dyDescent="0.35">
      <c r="A1811" t="s">
        <v>1891</v>
      </c>
      <c r="B1811" t="s">
        <v>15</v>
      </c>
      <c r="C1811" t="s">
        <v>16</v>
      </c>
      <c r="D1811">
        <v>28</v>
      </c>
      <c r="E1811" t="s">
        <v>1887</v>
      </c>
      <c r="F1811">
        <v>5419</v>
      </c>
      <c r="G1811" t="s">
        <v>18</v>
      </c>
      <c r="H1811">
        <v>27</v>
      </c>
      <c r="I1811" t="s">
        <v>19</v>
      </c>
      <c r="J1811">
        <v>1990</v>
      </c>
      <c r="K1811">
        <v>1990</v>
      </c>
      <c r="L1811" t="s">
        <v>20</v>
      </c>
      <c r="M1811">
        <v>29353</v>
      </c>
      <c r="N1811">
        <v>2091</v>
      </c>
    </row>
    <row r="1812" spans="1:14" x14ac:dyDescent="0.35">
      <c r="A1812" t="s">
        <v>1892</v>
      </c>
      <c r="B1812" t="s">
        <v>15</v>
      </c>
      <c r="C1812" t="s">
        <v>16</v>
      </c>
      <c r="D1812">
        <v>28</v>
      </c>
      <c r="E1812" t="s">
        <v>1887</v>
      </c>
      <c r="F1812">
        <v>5419</v>
      </c>
      <c r="G1812" t="s">
        <v>18</v>
      </c>
      <c r="H1812">
        <v>27</v>
      </c>
      <c r="I1812" t="s">
        <v>19</v>
      </c>
      <c r="J1812">
        <v>1991</v>
      </c>
      <c r="K1812">
        <v>1991</v>
      </c>
      <c r="L1812" t="s">
        <v>20</v>
      </c>
      <c r="M1812">
        <v>28400</v>
      </c>
      <c r="N1812">
        <v>2091</v>
      </c>
    </row>
    <row r="1813" spans="1:14" x14ac:dyDescent="0.35">
      <c r="A1813" t="s">
        <v>1893</v>
      </c>
      <c r="B1813" t="s">
        <v>15</v>
      </c>
      <c r="C1813" t="s">
        <v>16</v>
      </c>
      <c r="D1813">
        <v>28</v>
      </c>
      <c r="E1813" t="s">
        <v>1887</v>
      </c>
      <c r="F1813">
        <v>5419</v>
      </c>
      <c r="G1813" t="s">
        <v>18</v>
      </c>
      <c r="H1813">
        <v>27</v>
      </c>
      <c r="I1813" t="s">
        <v>19</v>
      </c>
      <c r="J1813">
        <v>1992</v>
      </c>
      <c r="K1813">
        <v>1992</v>
      </c>
      <c r="L1813" t="s">
        <v>20</v>
      </c>
      <c r="M1813">
        <v>28882</v>
      </c>
      <c r="N1813">
        <v>2091</v>
      </c>
    </row>
    <row r="1814" spans="1:14" x14ac:dyDescent="0.35">
      <c r="A1814" t="s">
        <v>1894</v>
      </c>
      <c r="B1814" t="s">
        <v>15</v>
      </c>
      <c r="C1814" t="s">
        <v>16</v>
      </c>
      <c r="D1814">
        <v>28</v>
      </c>
      <c r="E1814" t="s">
        <v>1887</v>
      </c>
      <c r="F1814">
        <v>5419</v>
      </c>
      <c r="G1814" t="s">
        <v>18</v>
      </c>
      <c r="H1814">
        <v>27</v>
      </c>
      <c r="I1814" t="s">
        <v>19</v>
      </c>
      <c r="J1814">
        <v>1993</v>
      </c>
      <c r="K1814">
        <v>1993</v>
      </c>
      <c r="L1814" t="s">
        <v>20</v>
      </c>
      <c r="M1814">
        <v>30063</v>
      </c>
      <c r="N1814">
        <v>2091</v>
      </c>
    </row>
    <row r="1815" spans="1:14" x14ac:dyDescent="0.35">
      <c r="A1815" t="s">
        <v>1895</v>
      </c>
      <c r="B1815" t="s">
        <v>15</v>
      </c>
      <c r="C1815" t="s">
        <v>16</v>
      </c>
      <c r="D1815">
        <v>28</v>
      </c>
      <c r="E1815" t="s">
        <v>1887</v>
      </c>
      <c r="F1815">
        <v>5419</v>
      </c>
      <c r="G1815" t="s">
        <v>18</v>
      </c>
      <c r="H1815">
        <v>27</v>
      </c>
      <c r="I1815" t="s">
        <v>19</v>
      </c>
      <c r="J1815">
        <v>1994</v>
      </c>
      <c r="K1815">
        <v>1994</v>
      </c>
      <c r="L1815" t="s">
        <v>20</v>
      </c>
      <c r="M1815">
        <v>31182</v>
      </c>
      <c r="N1815">
        <v>2091</v>
      </c>
    </row>
    <row r="1816" spans="1:14" x14ac:dyDescent="0.35">
      <c r="A1816" t="s">
        <v>1896</v>
      </c>
      <c r="B1816" t="s">
        <v>15</v>
      </c>
      <c r="C1816" t="s">
        <v>16</v>
      </c>
      <c r="D1816">
        <v>28</v>
      </c>
      <c r="E1816" t="s">
        <v>1887</v>
      </c>
      <c r="F1816">
        <v>5419</v>
      </c>
      <c r="G1816" t="s">
        <v>18</v>
      </c>
      <c r="H1816">
        <v>27</v>
      </c>
      <c r="I1816" t="s">
        <v>19</v>
      </c>
      <c r="J1816">
        <v>1995</v>
      </c>
      <c r="K1816">
        <v>1995</v>
      </c>
      <c r="L1816" t="s">
        <v>20</v>
      </c>
      <c r="M1816">
        <v>29290</v>
      </c>
      <c r="N1816">
        <v>2091</v>
      </c>
    </row>
    <row r="1817" spans="1:14" x14ac:dyDescent="0.35">
      <c r="A1817" t="s">
        <v>1897</v>
      </c>
      <c r="B1817" t="s">
        <v>15</v>
      </c>
      <c r="C1817" t="s">
        <v>16</v>
      </c>
      <c r="D1817">
        <v>28</v>
      </c>
      <c r="E1817" t="s">
        <v>1887</v>
      </c>
      <c r="F1817">
        <v>5419</v>
      </c>
      <c r="G1817" t="s">
        <v>18</v>
      </c>
      <c r="H1817">
        <v>27</v>
      </c>
      <c r="I1817" t="s">
        <v>19</v>
      </c>
      <c r="J1817">
        <v>1996</v>
      </c>
      <c r="K1817">
        <v>1996</v>
      </c>
      <c r="L1817" t="s">
        <v>20</v>
      </c>
      <c r="M1817">
        <v>30159</v>
      </c>
      <c r="N1817">
        <v>2091</v>
      </c>
    </row>
    <row r="1818" spans="1:14" x14ac:dyDescent="0.35">
      <c r="A1818" t="s">
        <v>1898</v>
      </c>
      <c r="B1818" t="s">
        <v>15</v>
      </c>
      <c r="C1818" t="s">
        <v>16</v>
      </c>
      <c r="D1818">
        <v>28</v>
      </c>
      <c r="E1818" t="s">
        <v>1887</v>
      </c>
      <c r="F1818">
        <v>5419</v>
      </c>
      <c r="G1818" t="s">
        <v>18</v>
      </c>
      <c r="H1818">
        <v>27</v>
      </c>
      <c r="I1818" t="s">
        <v>19</v>
      </c>
      <c r="J1818">
        <v>1997</v>
      </c>
      <c r="K1818">
        <v>1997</v>
      </c>
      <c r="L1818" t="s">
        <v>20</v>
      </c>
      <c r="M1818">
        <v>30308</v>
      </c>
      <c r="N1818">
        <v>2091</v>
      </c>
    </row>
    <row r="1819" spans="1:14" x14ac:dyDescent="0.35">
      <c r="A1819" t="s">
        <v>1899</v>
      </c>
      <c r="B1819" t="s">
        <v>15</v>
      </c>
      <c r="C1819" t="s">
        <v>16</v>
      </c>
      <c r="D1819">
        <v>28</v>
      </c>
      <c r="E1819" t="s">
        <v>1887</v>
      </c>
      <c r="F1819">
        <v>5419</v>
      </c>
      <c r="G1819" t="s">
        <v>18</v>
      </c>
      <c r="H1819">
        <v>27</v>
      </c>
      <c r="I1819" t="s">
        <v>19</v>
      </c>
      <c r="J1819">
        <v>1998</v>
      </c>
      <c r="K1819">
        <v>1998</v>
      </c>
      <c r="L1819" t="s">
        <v>20</v>
      </c>
      <c r="M1819">
        <v>30793</v>
      </c>
      <c r="N1819">
        <v>2091</v>
      </c>
    </row>
    <row r="1820" spans="1:14" x14ac:dyDescent="0.35">
      <c r="A1820" t="s">
        <v>1900</v>
      </c>
      <c r="B1820" t="s">
        <v>15</v>
      </c>
      <c r="C1820" t="s">
        <v>16</v>
      </c>
      <c r="D1820">
        <v>28</v>
      </c>
      <c r="E1820" t="s">
        <v>1887</v>
      </c>
      <c r="F1820">
        <v>5419</v>
      </c>
      <c r="G1820" t="s">
        <v>18</v>
      </c>
      <c r="H1820">
        <v>27</v>
      </c>
      <c r="I1820" t="s">
        <v>19</v>
      </c>
      <c r="J1820">
        <v>1999</v>
      </c>
      <c r="K1820">
        <v>1999</v>
      </c>
      <c r="L1820" t="s">
        <v>20</v>
      </c>
      <c r="M1820">
        <v>32405</v>
      </c>
      <c r="N1820">
        <v>2091</v>
      </c>
    </row>
    <row r="1821" spans="1:14" x14ac:dyDescent="0.35">
      <c r="A1821" t="s">
        <v>1901</v>
      </c>
      <c r="B1821" t="s">
        <v>15</v>
      </c>
      <c r="C1821" t="s">
        <v>16</v>
      </c>
      <c r="D1821">
        <v>28</v>
      </c>
      <c r="E1821" t="s">
        <v>1887</v>
      </c>
      <c r="F1821">
        <v>5419</v>
      </c>
      <c r="G1821" t="s">
        <v>18</v>
      </c>
      <c r="H1821">
        <v>27</v>
      </c>
      <c r="I1821" t="s">
        <v>19</v>
      </c>
      <c r="J1821">
        <v>2000</v>
      </c>
      <c r="K1821">
        <v>2000</v>
      </c>
      <c r="L1821" t="s">
        <v>20</v>
      </c>
      <c r="M1821">
        <v>33301</v>
      </c>
      <c r="N1821">
        <v>2091</v>
      </c>
    </row>
    <row r="1822" spans="1:14" x14ac:dyDescent="0.35">
      <c r="A1822" t="s">
        <v>1902</v>
      </c>
      <c r="B1822" t="s">
        <v>15</v>
      </c>
      <c r="C1822" t="s">
        <v>16</v>
      </c>
      <c r="D1822">
        <v>28</v>
      </c>
      <c r="E1822" t="s">
        <v>1887</v>
      </c>
      <c r="F1822">
        <v>5419</v>
      </c>
      <c r="G1822" t="s">
        <v>18</v>
      </c>
      <c r="H1822">
        <v>27</v>
      </c>
      <c r="I1822" t="s">
        <v>19</v>
      </c>
      <c r="J1822">
        <v>2001</v>
      </c>
      <c r="K1822">
        <v>2001</v>
      </c>
      <c r="L1822" t="s">
        <v>20</v>
      </c>
      <c r="M1822">
        <v>33639</v>
      </c>
      <c r="N1822">
        <v>2091</v>
      </c>
    </row>
    <row r="1823" spans="1:14" x14ac:dyDescent="0.35">
      <c r="A1823" t="s">
        <v>1903</v>
      </c>
      <c r="B1823" t="s">
        <v>15</v>
      </c>
      <c r="C1823" t="s">
        <v>16</v>
      </c>
      <c r="D1823">
        <v>28</v>
      </c>
      <c r="E1823" t="s">
        <v>1887</v>
      </c>
      <c r="F1823">
        <v>5419</v>
      </c>
      <c r="G1823" t="s">
        <v>18</v>
      </c>
      <c r="H1823">
        <v>27</v>
      </c>
      <c r="I1823" t="s">
        <v>19</v>
      </c>
      <c r="J1823">
        <v>2002</v>
      </c>
      <c r="K1823">
        <v>2002</v>
      </c>
      <c r="L1823" t="s">
        <v>20</v>
      </c>
      <c r="M1823">
        <v>33655</v>
      </c>
      <c r="N1823">
        <v>2091</v>
      </c>
    </row>
    <row r="1824" spans="1:14" x14ac:dyDescent="0.35">
      <c r="A1824" t="s">
        <v>1904</v>
      </c>
      <c r="B1824" t="s">
        <v>15</v>
      </c>
      <c r="C1824" t="s">
        <v>16</v>
      </c>
      <c r="D1824">
        <v>28</v>
      </c>
      <c r="E1824" t="s">
        <v>1887</v>
      </c>
      <c r="F1824">
        <v>5419</v>
      </c>
      <c r="G1824" t="s">
        <v>18</v>
      </c>
      <c r="H1824">
        <v>27</v>
      </c>
      <c r="I1824" t="s">
        <v>19</v>
      </c>
      <c r="J1824">
        <v>2004</v>
      </c>
      <c r="K1824">
        <v>2004</v>
      </c>
      <c r="L1824" t="s">
        <v>20</v>
      </c>
      <c r="M1824">
        <v>35785</v>
      </c>
      <c r="N1824">
        <v>2091</v>
      </c>
    </row>
    <row r="1825" spans="1:14" x14ac:dyDescent="0.35">
      <c r="A1825" t="s">
        <v>1905</v>
      </c>
      <c r="B1825" t="s">
        <v>15</v>
      </c>
      <c r="C1825" t="s">
        <v>16</v>
      </c>
      <c r="D1825">
        <v>28</v>
      </c>
      <c r="E1825" t="s">
        <v>1887</v>
      </c>
      <c r="F1825">
        <v>5419</v>
      </c>
      <c r="G1825" t="s">
        <v>18</v>
      </c>
      <c r="H1825">
        <v>27</v>
      </c>
      <c r="I1825" t="s">
        <v>19</v>
      </c>
      <c r="J1825">
        <v>2005</v>
      </c>
      <c r="K1825">
        <v>2005</v>
      </c>
      <c r="L1825" t="s">
        <v>20</v>
      </c>
      <c r="M1825">
        <v>36899</v>
      </c>
      <c r="N1825">
        <v>2091</v>
      </c>
    </row>
    <row r="1826" spans="1:14" x14ac:dyDescent="0.35">
      <c r="A1826" t="s">
        <v>1906</v>
      </c>
      <c r="B1826" t="s">
        <v>15</v>
      </c>
      <c r="C1826" t="s">
        <v>16</v>
      </c>
      <c r="D1826">
        <v>28</v>
      </c>
      <c r="E1826" t="s">
        <v>1887</v>
      </c>
      <c r="F1826">
        <v>5419</v>
      </c>
      <c r="G1826" t="s">
        <v>18</v>
      </c>
      <c r="H1826">
        <v>27</v>
      </c>
      <c r="I1826" t="s">
        <v>19</v>
      </c>
      <c r="J1826">
        <v>2006</v>
      </c>
      <c r="K1826">
        <v>2006</v>
      </c>
      <c r="L1826" t="s">
        <v>20</v>
      </c>
      <c r="M1826">
        <v>37694</v>
      </c>
      <c r="N1826">
        <v>2091</v>
      </c>
    </row>
    <row r="1827" spans="1:14" x14ac:dyDescent="0.35">
      <c r="A1827" t="s">
        <v>1907</v>
      </c>
      <c r="B1827" t="s">
        <v>15</v>
      </c>
      <c r="C1827" t="s">
        <v>16</v>
      </c>
      <c r="D1827">
        <v>28</v>
      </c>
      <c r="E1827" t="s">
        <v>1887</v>
      </c>
      <c r="F1827">
        <v>5419</v>
      </c>
      <c r="G1827" t="s">
        <v>18</v>
      </c>
      <c r="H1827">
        <v>27</v>
      </c>
      <c r="I1827" t="s">
        <v>19</v>
      </c>
      <c r="J1827">
        <v>2007</v>
      </c>
      <c r="K1827">
        <v>2007</v>
      </c>
      <c r="L1827" t="s">
        <v>20</v>
      </c>
      <c r="M1827">
        <v>38639</v>
      </c>
      <c r="N1827">
        <v>2091</v>
      </c>
    </row>
    <row r="1828" spans="1:14" x14ac:dyDescent="0.35">
      <c r="A1828" t="s">
        <v>1908</v>
      </c>
      <c r="B1828" t="s">
        <v>15</v>
      </c>
      <c r="C1828" t="s">
        <v>16</v>
      </c>
      <c r="D1828">
        <v>28</v>
      </c>
      <c r="E1828" t="s">
        <v>1887</v>
      </c>
      <c r="F1828">
        <v>5419</v>
      </c>
      <c r="G1828" t="s">
        <v>18</v>
      </c>
      <c r="H1828">
        <v>27</v>
      </c>
      <c r="I1828" t="s">
        <v>19</v>
      </c>
      <c r="J1828">
        <v>2008</v>
      </c>
      <c r="K1828">
        <v>2008</v>
      </c>
      <c r="L1828" t="s">
        <v>20</v>
      </c>
      <c r="M1828">
        <v>39688</v>
      </c>
      <c r="N1828">
        <v>2091</v>
      </c>
    </row>
    <row r="1829" spans="1:14" x14ac:dyDescent="0.35">
      <c r="A1829" t="s">
        <v>1909</v>
      </c>
      <c r="B1829" t="s">
        <v>15</v>
      </c>
      <c r="C1829" t="s">
        <v>16</v>
      </c>
      <c r="D1829">
        <v>28</v>
      </c>
      <c r="E1829" t="s">
        <v>1887</v>
      </c>
      <c r="F1829">
        <v>5419</v>
      </c>
      <c r="G1829" t="s">
        <v>18</v>
      </c>
      <c r="H1829">
        <v>27</v>
      </c>
      <c r="I1829" t="s">
        <v>19</v>
      </c>
      <c r="J1829">
        <v>2009</v>
      </c>
      <c r="K1829">
        <v>2009</v>
      </c>
      <c r="L1829" t="s">
        <v>20</v>
      </c>
      <c r="M1829">
        <v>39917</v>
      </c>
      <c r="N1829">
        <v>2091</v>
      </c>
    </row>
    <row r="1830" spans="1:14" x14ac:dyDescent="0.35">
      <c r="A1830" t="s">
        <v>1910</v>
      </c>
      <c r="B1830" t="s">
        <v>15</v>
      </c>
      <c r="C1830" t="s">
        <v>16</v>
      </c>
      <c r="D1830">
        <v>28</v>
      </c>
      <c r="E1830" t="s">
        <v>1887</v>
      </c>
      <c r="F1830">
        <v>5419</v>
      </c>
      <c r="G1830" t="s">
        <v>18</v>
      </c>
      <c r="H1830">
        <v>27</v>
      </c>
      <c r="I1830" t="s">
        <v>19</v>
      </c>
      <c r="J1830">
        <v>2010</v>
      </c>
      <c r="K1830">
        <v>2010</v>
      </c>
      <c r="L1830" t="s">
        <v>20</v>
      </c>
      <c r="M1830">
        <v>40026</v>
      </c>
      <c r="N1830">
        <v>2091</v>
      </c>
    </row>
    <row r="1831" spans="1:14" x14ac:dyDescent="0.35">
      <c r="A1831" t="s">
        <v>1911</v>
      </c>
      <c r="B1831" t="s">
        <v>15</v>
      </c>
      <c r="C1831" t="s">
        <v>16</v>
      </c>
      <c r="D1831">
        <v>28</v>
      </c>
      <c r="E1831" t="s">
        <v>1887</v>
      </c>
      <c r="F1831">
        <v>5419</v>
      </c>
      <c r="G1831" t="s">
        <v>18</v>
      </c>
      <c r="H1831">
        <v>27</v>
      </c>
      <c r="I1831" t="s">
        <v>19</v>
      </c>
      <c r="J1831">
        <v>2011</v>
      </c>
      <c r="K1831">
        <v>2011</v>
      </c>
      <c r="L1831" t="s">
        <v>20</v>
      </c>
      <c r="M1831">
        <v>37733</v>
      </c>
      <c r="N1831">
        <v>2091</v>
      </c>
    </row>
    <row r="1832" spans="1:14" x14ac:dyDescent="0.35">
      <c r="A1832" t="s">
        <v>1912</v>
      </c>
      <c r="B1832" t="s">
        <v>15</v>
      </c>
      <c r="C1832" t="s">
        <v>16</v>
      </c>
      <c r="D1832">
        <v>28</v>
      </c>
      <c r="E1832" t="s">
        <v>1887</v>
      </c>
      <c r="F1832">
        <v>5419</v>
      </c>
      <c r="G1832" t="s">
        <v>18</v>
      </c>
      <c r="H1832">
        <v>27</v>
      </c>
      <c r="I1832" t="s">
        <v>19</v>
      </c>
      <c r="J1832">
        <v>2012</v>
      </c>
      <c r="K1832">
        <v>2012</v>
      </c>
      <c r="L1832" t="s">
        <v>20</v>
      </c>
      <c r="M1832">
        <v>37512</v>
      </c>
      <c r="N1832">
        <v>2091</v>
      </c>
    </row>
    <row r="1833" spans="1:14" x14ac:dyDescent="0.35">
      <c r="A1833" t="s">
        <v>1913</v>
      </c>
      <c r="B1833" t="s">
        <v>15</v>
      </c>
      <c r="C1833" t="s">
        <v>16</v>
      </c>
      <c r="D1833">
        <v>28</v>
      </c>
      <c r="E1833" t="s">
        <v>1887</v>
      </c>
      <c r="F1833">
        <v>5419</v>
      </c>
      <c r="G1833" t="s">
        <v>18</v>
      </c>
      <c r="H1833">
        <v>27</v>
      </c>
      <c r="I1833" t="s">
        <v>19</v>
      </c>
      <c r="J1833">
        <v>2013</v>
      </c>
      <c r="K1833">
        <v>2013</v>
      </c>
      <c r="L1833" t="s">
        <v>20</v>
      </c>
      <c r="M1833">
        <v>37930</v>
      </c>
      <c r="N1833">
        <v>2091</v>
      </c>
    </row>
    <row r="1834" spans="1:14" x14ac:dyDescent="0.35">
      <c r="A1834" t="s">
        <v>1914</v>
      </c>
      <c r="B1834" t="s">
        <v>15</v>
      </c>
      <c r="C1834" t="s">
        <v>16</v>
      </c>
      <c r="D1834">
        <v>28</v>
      </c>
      <c r="E1834" t="s">
        <v>1887</v>
      </c>
      <c r="F1834">
        <v>5419</v>
      </c>
      <c r="G1834" t="s">
        <v>18</v>
      </c>
      <c r="H1834">
        <v>27</v>
      </c>
      <c r="I1834" t="s">
        <v>19</v>
      </c>
      <c r="J1834">
        <v>2014</v>
      </c>
      <c r="K1834">
        <v>2014</v>
      </c>
      <c r="L1834" t="s">
        <v>20</v>
      </c>
      <c r="M1834">
        <v>38464</v>
      </c>
      <c r="N1834">
        <v>2091</v>
      </c>
    </row>
    <row r="1835" spans="1:14" x14ac:dyDescent="0.35">
      <c r="A1835" t="s">
        <v>1915</v>
      </c>
      <c r="B1835" t="s">
        <v>15</v>
      </c>
      <c r="C1835" t="s">
        <v>16</v>
      </c>
      <c r="D1835">
        <v>28</v>
      </c>
      <c r="E1835" t="s">
        <v>1887</v>
      </c>
      <c r="F1835">
        <v>5419</v>
      </c>
      <c r="G1835" t="s">
        <v>18</v>
      </c>
      <c r="H1835">
        <v>27</v>
      </c>
      <c r="I1835" t="s">
        <v>19</v>
      </c>
      <c r="J1835">
        <v>2015</v>
      </c>
      <c r="K1835">
        <v>2015</v>
      </c>
      <c r="L1835" t="s">
        <v>20</v>
      </c>
      <c r="M1835">
        <v>38718</v>
      </c>
      <c r="N1835">
        <v>2091</v>
      </c>
    </row>
    <row r="1836" spans="1:14" x14ac:dyDescent="0.35">
      <c r="A1836" t="s">
        <v>1916</v>
      </c>
      <c r="B1836" t="s">
        <v>15</v>
      </c>
      <c r="C1836" t="s">
        <v>16</v>
      </c>
      <c r="D1836">
        <v>28</v>
      </c>
      <c r="E1836" t="s">
        <v>1887</v>
      </c>
      <c r="F1836">
        <v>5419</v>
      </c>
      <c r="G1836" t="s">
        <v>18</v>
      </c>
      <c r="H1836">
        <v>27</v>
      </c>
      <c r="I1836" t="s">
        <v>19</v>
      </c>
      <c r="J1836">
        <v>2016</v>
      </c>
      <c r="K1836">
        <v>2016</v>
      </c>
      <c r="L1836" t="s">
        <v>20</v>
      </c>
      <c r="M1836">
        <v>38181</v>
      </c>
      <c r="N1836">
        <v>2091</v>
      </c>
    </row>
    <row r="1837" spans="1:14" x14ac:dyDescent="0.35">
      <c r="A1837" t="s">
        <v>1917</v>
      </c>
      <c r="B1837" t="s">
        <v>15</v>
      </c>
      <c r="C1837" t="s">
        <v>16</v>
      </c>
      <c r="D1837">
        <v>149</v>
      </c>
      <c r="E1837" t="s">
        <v>1918</v>
      </c>
      <c r="F1837">
        <v>5419</v>
      </c>
      <c r="G1837" t="s">
        <v>18</v>
      </c>
      <c r="H1837">
        <v>27</v>
      </c>
      <c r="I1837" t="s">
        <v>19</v>
      </c>
      <c r="J1837">
        <v>1985</v>
      </c>
      <c r="K1837">
        <v>1985</v>
      </c>
      <c r="L1837" t="s">
        <v>20</v>
      </c>
      <c r="M1837">
        <v>20161</v>
      </c>
      <c r="N1837">
        <v>1500</v>
      </c>
    </row>
    <row r="1838" spans="1:14" x14ac:dyDescent="0.35">
      <c r="A1838" t="s">
        <v>1919</v>
      </c>
      <c r="B1838" t="s">
        <v>15</v>
      </c>
      <c r="C1838" t="s">
        <v>16</v>
      </c>
      <c r="D1838">
        <v>149</v>
      </c>
      <c r="E1838" t="s">
        <v>1918</v>
      </c>
      <c r="F1838">
        <v>5419</v>
      </c>
      <c r="G1838" t="s">
        <v>18</v>
      </c>
      <c r="H1838">
        <v>27</v>
      </c>
      <c r="I1838" t="s">
        <v>19</v>
      </c>
      <c r="J1838">
        <v>1986</v>
      </c>
      <c r="K1838">
        <v>1986</v>
      </c>
      <c r="L1838" t="s">
        <v>20</v>
      </c>
      <c r="M1838">
        <v>17790</v>
      </c>
      <c r="N1838">
        <v>1500</v>
      </c>
    </row>
    <row r="1839" spans="1:14" x14ac:dyDescent="0.35">
      <c r="A1839" t="s">
        <v>1920</v>
      </c>
      <c r="B1839" t="s">
        <v>15</v>
      </c>
      <c r="C1839" t="s">
        <v>16</v>
      </c>
      <c r="D1839">
        <v>149</v>
      </c>
      <c r="E1839" t="s">
        <v>1918</v>
      </c>
      <c r="F1839">
        <v>5419</v>
      </c>
      <c r="G1839" t="s">
        <v>18</v>
      </c>
      <c r="H1839">
        <v>27</v>
      </c>
      <c r="I1839" t="s">
        <v>19</v>
      </c>
      <c r="J1839">
        <v>1987</v>
      </c>
      <c r="K1839">
        <v>1987</v>
      </c>
      <c r="L1839" t="s">
        <v>20</v>
      </c>
      <c r="M1839">
        <v>20950</v>
      </c>
      <c r="N1839">
        <v>1500</v>
      </c>
    </row>
    <row r="1840" spans="1:14" x14ac:dyDescent="0.35">
      <c r="A1840" t="s">
        <v>1921</v>
      </c>
      <c r="B1840" t="s">
        <v>15</v>
      </c>
      <c r="C1840" t="s">
        <v>16</v>
      </c>
      <c r="D1840">
        <v>149</v>
      </c>
      <c r="E1840" t="s">
        <v>1918</v>
      </c>
      <c r="F1840">
        <v>5419</v>
      </c>
      <c r="G1840" t="s">
        <v>18</v>
      </c>
      <c r="H1840">
        <v>27</v>
      </c>
      <c r="I1840" t="s">
        <v>19</v>
      </c>
      <c r="J1840">
        <v>1989</v>
      </c>
      <c r="K1840">
        <v>1989</v>
      </c>
      <c r="L1840" t="s">
        <v>20</v>
      </c>
      <c r="M1840">
        <v>23657</v>
      </c>
      <c r="N1840">
        <v>1500</v>
      </c>
    </row>
    <row r="1841" spans="1:14" x14ac:dyDescent="0.35">
      <c r="A1841" t="s">
        <v>1922</v>
      </c>
      <c r="B1841" t="s">
        <v>15</v>
      </c>
      <c r="C1841" t="s">
        <v>16</v>
      </c>
      <c r="D1841">
        <v>149</v>
      </c>
      <c r="E1841" t="s">
        <v>1918</v>
      </c>
      <c r="F1841">
        <v>5419</v>
      </c>
      <c r="G1841" t="s">
        <v>18</v>
      </c>
      <c r="H1841">
        <v>27</v>
      </c>
      <c r="I1841" t="s">
        <v>19</v>
      </c>
      <c r="J1841">
        <v>1990</v>
      </c>
      <c r="K1841">
        <v>1990</v>
      </c>
      <c r="L1841" t="s">
        <v>20</v>
      </c>
      <c r="M1841">
        <v>24067</v>
      </c>
      <c r="N1841">
        <v>1500</v>
      </c>
    </row>
    <row r="1842" spans="1:14" x14ac:dyDescent="0.35">
      <c r="A1842" t="s">
        <v>1923</v>
      </c>
      <c r="B1842" t="s">
        <v>15</v>
      </c>
      <c r="C1842" t="s">
        <v>16</v>
      </c>
      <c r="D1842">
        <v>149</v>
      </c>
      <c r="E1842" t="s">
        <v>1918</v>
      </c>
      <c r="F1842">
        <v>5419</v>
      </c>
      <c r="G1842" t="s">
        <v>18</v>
      </c>
      <c r="H1842">
        <v>27</v>
      </c>
      <c r="I1842" t="s">
        <v>19</v>
      </c>
      <c r="J1842">
        <v>1991</v>
      </c>
      <c r="K1842">
        <v>1991</v>
      </c>
      <c r="L1842" t="s">
        <v>20</v>
      </c>
      <c r="M1842">
        <v>22826</v>
      </c>
      <c r="N1842">
        <v>1500</v>
      </c>
    </row>
    <row r="1843" spans="1:14" x14ac:dyDescent="0.35">
      <c r="A1843" t="s">
        <v>1924</v>
      </c>
      <c r="B1843" t="s">
        <v>15</v>
      </c>
      <c r="C1843" t="s">
        <v>16</v>
      </c>
      <c r="D1843">
        <v>149</v>
      </c>
      <c r="E1843" t="s">
        <v>1918</v>
      </c>
      <c r="F1843">
        <v>5419</v>
      </c>
      <c r="G1843" t="s">
        <v>18</v>
      </c>
      <c r="H1843">
        <v>27</v>
      </c>
      <c r="I1843" t="s">
        <v>19</v>
      </c>
      <c r="J1843">
        <v>1992</v>
      </c>
      <c r="K1843">
        <v>1992</v>
      </c>
      <c r="L1843" t="s">
        <v>20</v>
      </c>
      <c r="M1843">
        <v>20481</v>
      </c>
      <c r="N1843">
        <v>1500</v>
      </c>
    </row>
    <row r="1844" spans="1:14" x14ac:dyDescent="0.35">
      <c r="A1844" t="s">
        <v>1925</v>
      </c>
      <c r="B1844" t="s">
        <v>15</v>
      </c>
      <c r="C1844" t="s">
        <v>16</v>
      </c>
      <c r="D1844">
        <v>149</v>
      </c>
      <c r="E1844" t="s">
        <v>1918</v>
      </c>
      <c r="F1844">
        <v>5419</v>
      </c>
      <c r="G1844" t="s">
        <v>18</v>
      </c>
      <c r="H1844">
        <v>27</v>
      </c>
      <c r="I1844" t="s">
        <v>19</v>
      </c>
      <c r="J1844">
        <v>1993</v>
      </c>
      <c r="K1844">
        <v>1993</v>
      </c>
      <c r="L1844" t="s">
        <v>20</v>
      </c>
      <c r="M1844">
        <v>24100</v>
      </c>
      <c r="N1844">
        <v>1500</v>
      </c>
    </row>
    <row r="1845" spans="1:14" x14ac:dyDescent="0.35">
      <c r="A1845" t="s">
        <v>1926</v>
      </c>
      <c r="B1845" t="s">
        <v>15</v>
      </c>
      <c r="C1845" t="s">
        <v>16</v>
      </c>
      <c r="D1845">
        <v>149</v>
      </c>
      <c r="E1845" t="s">
        <v>1918</v>
      </c>
      <c r="F1845">
        <v>5419</v>
      </c>
      <c r="G1845" t="s">
        <v>18</v>
      </c>
      <c r="H1845">
        <v>27</v>
      </c>
      <c r="I1845" t="s">
        <v>19</v>
      </c>
      <c r="J1845">
        <v>1994</v>
      </c>
      <c r="K1845">
        <v>1994</v>
      </c>
      <c r="L1845" t="s">
        <v>20</v>
      </c>
      <c r="M1845">
        <v>21237</v>
      </c>
      <c r="N1845">
        <v>1500</v>
      </c>
    </row>
    <row r="1846" spans="1:14" x14ac:dyDescent="0.35">
      <c r="A1846" t="s">
        <v>1927</v>
      </c>
      <c r="B1846" t="s">
        <v>15</v>
      </c>
      <c r="C1846" t="s">
        <v>16</v>
      </c>
      <c r="D1846">
        <v>149</v>
      </c>
      <c r="E1846" t="s">
        <v>1918</v>
      </c>
      <c r="F1846">
        <v>5419</v>
      </c>
      <c r="G1846" t="s">
        <v>18</v>
      </c>
      <c r="H1846">
        <v>27</v>
      </c>
      <c r="I1846" t="s">
        <v>19</v>
      </c>
      <c r="J1846">
        <v>1995</v>
      </c>
      <c r="K1846">
        <v>1995</v>
      </c>
      <c r="L1846" t="s">
        <v>20</v>
      </c>
      <c r="M1846">
        <v>23910</v>
      </c>
      <c r="N1846">
        <v>1500</v>
      </c>
    </row>
    <row r="1847" spans="1:14" x14ac:dyDescent="0.35">
      <c r="A1847" t="s">
        <v>1928</v>
      </c>
      <c r="B1847" t="s">
        <v>15</v>
      </c>
      <c r="C1847" t="s">
        <v>16</v>
      </c>
      <c r="D1847">
        <v>149</v>
      </c>
      <c r="E1847" t="s">
        <v>1918</v>
      </c>
      <c r="F1847">
        <v>5419</v>
      </c>
      <c r="G1847" t="s">
        <v>18</v>
      </c>
      <c r="H1847">
        <v>27</v>
      </c>
      <c r="I1847" t="s">
        <v>19</v>
      </c>
      <c r="J1847">
        <v>1996</v>
      </c>
      <c r="K1847">
        <v>1996</v>
      </c>
      <c r="L1847" t="s">
        <v>20</v>
      </c>
      <c r="M1847">
        <v>24554</v>
      </c>
      <c r="N1847">
        <v>1500</v>
      </c>
    </row>
    <row r="1848" spans="1:14" x14ac:dyDescent="0.35">
      <c r="A1848" t="s">
        <v>1929</v>
      </c>
      <c r="B1848" t="s">
        <v>15</v>
      </c>
      <c r="C1848" t="s">
        <v>16</v>
      </c>
      <c r="D1848">
        <v>149</v>
      </c>
      <c r="E1848" t="s">
        <v>1918</v>
      </c>
      <c r="F1848">
        <v>5419</v>
      </c>
      <c r="G1848" t="s">
        <v>18</v>
      </c>
      <c r="H1848">
        <v>27</v>
      </c>
      <c r="I1848" t="s">
        <v>19</v>
      </c>
      <c r="J1848">
        <v>1997</v>
      </c>
      <c r="K1848">
        <v>1997</v>
      </c>
      <c r="L1848" t="s">
        <v>20</v>
      </c>
      <c r="M1848">
        <v>24170</v>
      </c>
      <c r="N1848">
        <v>1500</v>
      </c>
    </row>
    <row r="1849" spans="1:14" x14ac:dyDescent="0.35">
      <c r="A1849" t="s">
        <v>1930</v>
      </c>
      <c r="B1849" t="s">
        <v>15</v>
      </c>
      <c r="C1849" t="s">
        <v>16</v>
      </c>
      <c r="D1849">
        <v>149</v>
      </c>
      <c r="E1849" t="s">
        <v>1918</v>
      </c>
      <c r="F1849">
        <v>5419</v>
      </c>
      <c r="G1849" t="s">
        <v>18</v>
      </c>
      <c r="H1849">
        <v>27</v>
      </c>
      <c r="I1849" t="s">
        <v>19</v>
      </c>
      <c r="J1849">
        <v>1998</v>
      </c>
      <c r="K1849">
        <v>1998</v>
      </c>
      <c r="L1849" t="s">
        <v>20</v>
      </c>
      <c r="M1849">
        <v>24434</v>
      </c>
      <c r="N1849">
        <v>1500</v>
      </c>
    </row>
    <row r="1850" spans="1:14" x14ac:dyDescent="0.35">
      <c r="A1850" t="s">
        <v>1931</v>
      </c>
      <c r="B1850" t="s">
        <v>15</v>
      </c>
      <c r="C1850" t="s">
        <v>16</v>
      </c>
      <c r="D1850">
        <v>149</v>
      </c>
      <c r="E1850" t="s">
        <v>1918</v>
      </c>
      <c r="F1850">
        <v>5419</v>
      </c>
      <c r="G1850" t="s">
        <v>18</v>
      </c>
      <c r="H1850">
        <v>27</v>
      </c>
      <c r="I1850" t="s">
        <v>19</v>
      </c>
      <c r="J1850">
        <v>1999</v>
      </c>
      <c r="K1850">
        <v>1999</v>
      </c>
      <c r="L1850" t="s">
        <v>20</v>
      </c>
      <c r="M1850">
        <v>24722</v>
      </c>
      <c r="N1850">
        <v>1500</v>
      </c>
    </row>
    <row r="1851" spans="1:14" x14ac:dyDescent="0.35">
      <c r="A1851" t="s">
        <v>1932</v>
      </c>
      <c r="B1851" t="s">
        <v>15</v>
      </c>
      <c r="C1851" t="s">
        <v>16</v>
      </c>
      <c r="D1851">
        <v>149</v>
      </c>
      <c r="E1851" t="s">
        <v>1918</v>
      </c>
      <c r="F1851">
        <v>5419</v>
      </c>
      <c r="G1851" t="s">
        <v>18</v>
      </c>
      <c r="H1851">
        <v>27</v>
      </c>
      <c r="I1851" t="s">
        <v>19</v>
      </c>
      <c r="J1851">
        <v>2000</v>
      </c>
      <c r="K1851">
        <v>2000</v>
      </c>
      <c r="L1851" t="s">
        <v>20</v>
      </c>
      <c r="M1851">
        <v>27028</v>
      </c>
      <c r="N1851">
        <v>1500</v>
      </c>
    </row>
    <row r="1852" spans="1:14" x14ac:dyDescent="0.35">
      <c r="A1852" t="s">
        <v>1933</v>
      </c>
      <c r="B1852" t="s">
        <v>15</v>
      </c>
      <c r="C1852" t="s">
        <v>16</v>
      </c>
      <c r="D1852">
        <v>149</v>
      </c>
      <c r="E1852" t="s">
        <v>1918</v>
      </c>
      <c r="F1852">
        <v>5419</v>
      </c>
      <c r="G1852" t="s">
        <v>18</v>
      </c>
      <c r="H1852">
        <v>27</v>
      </c>
      <c r="I1852" t="s">
        <v>19</v>
      </c>
      <c r="J1852">
        <v>2001</v>
      </c>
      <c r="K1852">
        <v>2001</v>
      </c>
      <c r="L1852" t="s">
        <v>20</v>
      </c>
      <c r="M1852">
        <v>27454</v>
      </c>
      <c r="N1852">
        <v>1500</v>
      </c>
    </row>
    <row r="1853" spans="1:14" x14ac:dyDescent="0.35">
      <c r="A1853" t="s">
        <v>1934</v>
      </c>
      <c r="B1853" t="s">
        <v>15</v>
      </c>
      <c r="C1853" t="s">
        <v>16</v>
      </c>
      <c r="D1853">
        <v>149</v>
      </c>
      <c r="E1853" t="s">
        <v>1918</v>
      </c>
      <c r="F1853">
        <v>5419</v>
      </c>
      <c r="G1853" t="s">
        <v>18</v>
      </c>
      <c r="H1853">
        <v>27</v>
      </c>
      <c r="I1853" t="s">
        <v>19</v>
      </c>
      <c r="J1853">
        <v>2002</v>
      </c>
      <c r="K1853">
        <v>2002</v>
      </c>
      <c r="L1853" t="s">
        <v>20</v>
      </c>
      <c r="M1853">
        <v>26754</v>
      </c>
      <c r="N1853">
        <v>1500</v>
      </c>
    </row>
    <row r="1854" spans="1:14" x14ac:dyDescent="0.35">
      <c r="A1854" t="s">
        <v>1935</v>
      </c>
      <c r="B1854" t="s">
        <v>15</v>
      </c>
      <c r="C1854" t="s">
        <v>16</v>
      </c>
      <c r="D1854">
        <v>149</v>
      </c>
      <c r="E1854" t="s">
        <v>1918</v>
      </c>
      <c r="F1854">
        <v>5419</v>
      </c>
      <c r="G1854" t="s">
        <v>18</v>
      </c>
      <c r="H1854">
        <v>27</v>
      </c>
      <c r="I1854" t="s">
        <v>19</v>
      </c>
      <c r="J1854">
        <v>2004</v>
      </c>
      <c r="K1854">
        <v>2004</v>
      </c>
      <c r="L1854" t="s">
        <v>20</v>
      </c>
      <c r="M1854">
        <v>28573</v>
      </c>
      <c r="N1854">
        <v>1500</v>
      </c>
    </row>
    <row r="1855" spans="1:14" x14ac:dyDescent="0.35">
      <c r="A1855" t="s">
        <v>1936</v>
      </c>
      <c r="B1855" t="s">
        <v>15</v>
      </c>
      <c r="C1855" t="s">
        <v>16</v>
      </c>
      <c r="D1855">
        <v>149</v>
      </c>
      <c r="E1855" t="s">
        <v>1918</v>
      </c>
      <c r="F1855">
        <v>5419</v>
      </c>
      <c r="G1855" t="s">
        <v>18</v>
      </c>
      <c r="H1855">
        <v>27</v>
      </c>
      <c r="I1855" t="s">
        <v>19</v>
      </c>
      <c r="J1855">
        <v>2005</v>
      </c>
      <c r="K1855">
        <v>2005</v>
      </c>
      <c r="L1855" t="s">
        <v>20</v>
      </c>
      <c r="M1855">
        <v>27825</v>
      </c>
      <c r="N1855">
        <v>1500</v>
      </c>
    </row>
    <row r="1856" spans="1:14" x14ac:dyDescent="0.35">
      <c r="A1856" t="s">
        <v>1937</v>
      </c>
      <c r="B1856" t="s">
        <v>15</v>
      </c>
      <c r="C1856" t="s">
        <v>16</v>
      </c>
      <c r="D1856">
        <v>149</v>
      </c>
      <c r="E1856" t="s">
        <v>1918</v>
      </c>
      <c r="F1856">
        <v>5419</v>
      </c>
      <c r="G1856" t="s">
        <v>18</v>
      </c>
      <c r="H1856">
        <v>27</v>
      </c>
      <c r="I1856" t="s">
        <v>19</v>
      </c>
      <c r="J1856">
        <v>2006</v>
      </c>
      <c r="K1856">
        <v>2006</v>
      </c>
      <c r="L1856" t="s">
        <v>20</v>
      </c>
      <c r="M1856">
        <v>27166</v>
      </c>
      <c r="N1856">
        <v>1500</v>
      </c>
    </row>
    <row r="1857" spans="1:14" x14ac:dyDescent="0.35">
      <c r="A1857" t="s">
        <v>1938</v>
      </c>
      <c r="B1857" t="s">
        <v>15</v>
      </c>
      <c r="C1857" t="s">
        <v>16</v>
      </c>
      <c r="D1857">
        <v>149</v>
      </c>
      <c r="E1857" t="s">
        <v>1918</v>
      </c>
      <c r="F1857">
        <v>5419</v>
      </c>
      <c r="G1857" t="s">
        <v>18</v>
      </c>
      <c r="H1857">
        <v>27</v>
      </c>
      <c r="I1857" t="s">
        <v>19</v>
      </c>
      <c r="J1857">
        <v>2007</v>
      </c>
      <c r="K1857">
        <v>2007</v>
      </c>
      <c r="L1857" t="s">
        <v>20</v>
      </c>
      <c r="M1857">
        <v>25570</v>
      </c>
      <c r="N1857">
        <v>1500</v>
      </c>
    </row>
    <row r="1858" spans="1:14" x14ac:dyDescent="0.35">
      <c r="A1858" t="s">
        <v>1939</v>
      </c>
      <c r="B1858" t="s">
        <v>15</v>
      </c>
      <c r="C1858" t="s">
        <v>16</v>
      </c>
      <c r="D1858">
        <v>149</v>
      </c>
      <c r="E1858" t="s">
        <v>1918</v>
      </c>
      <c r="F1858">
        <v>5419</v>
      </c>
      <c r="G1858" t="s">
        <v>18</v>
      </c>
      <c r="H1858">
        <v>27</v>
      </c>
      <c r="I1858" t="s">
        <v>19</v>
      </c>
      <c r="J1858">
        <v>2008</v>
      </c>
      <c r="K1858">
        <v>2008</v>
      </c>
      <c r="L1858" t="s">
        <v>20</v>
      </c>
      <c r="M1858">
        <v>27750</v>
      </c>
      <c r="N1858">
        <v>1500</v>
      </c>
    </row>
    <row r="1859" spans="1:14" x14ac:dyDescent="0.35">
      <c r="A1859" t="s">
        <v>1940</v>
      </c>
      <c r="B1859" t="s">
        <v>15</v>
      </c>
      <c r="C1859" t="s">
        <v>16</v>
      </c>
      <c r="D1859">
        <v>149</v>
      </c>
      <c r="E1859" t="s">
        <v>1918</v>
      </c>
      <c r="F1859">
        <v>5419</v>
      </c>
      <c r="G1859" t="s">
        <v>18</v>
      </c>
      <c r="H1859">
        <v>27</v>
      </c>
      <c r="I1859" t="s">
        <v>19</v>
      </c>
      <c r="J1859">
        <v>2009</v>
      </c>
      <c r="K1859">
        <v>2009</v>
      </c>
      <c r="L1859" t="s">
        <v>20</v>
      </c>
      <c r="M1859">
        <v>29074</v>
      </c>
      <c r="N1859">
        <v>1500</v>
      </c>
    </row>
    <row r="1860" spans="1:14" x14ac:dyDescent="0.35">
      <c r="A1860" t="s">
        <v>1941</v>
      </c>
      <c r="B1860" t="s">
        <v>15</v>
      </c>
      <c r="C1860" t="s">
        <v>16</v>
      </c>
      <c r="D1860">
        <v>149</v>
      </c>
      <c r="E1860" t="s">
        <v>1918</v>
      </c>
      <c r="F1860">
        <v>5419</v>
      </c>
      <c r="G1860" t="s">
        <v>18</v>
      </c>
      <c r="H1860">
        <v>27</v>
      </c>
      <c r="I1860" t="s">
        <v>19</v>
      </c>
      <c r="J1860">
        <v>2010</v>
      </c>
      <c r="K1860">
        <v>2010</v>
      </c>
      <c r="L1860" t="s">
        <v>20</v>
      </c>
      <c r="M1860">
        <v>27164</v>
      </c>
      <c r="N1860">
        <v>1500</v>
      </c>
    </row>
    <row r="1861" spans="1:14" x14ac:dyDescent="0.35">
      <c r="A1861" t="s">
        <v>1942</v>
      </c>
      <c r="B1861" t="s">
        <v>15</v>
      </c>
      <c r="C1861" t="s">
        <v>16</v>
      </c>
      <c r="D1861">
        <v>149</v>
      </c>
      <c r="E1861" t="s">
        <v>1918</v>
      </c>
      <c r="F1861">
        <v>5419</v>
      </c>
      <c r="G1861" t="s">
        <v>18</v>
      </c>
      <c r="H1861">
        <v>27</v>
      </c>
      <c r="I1861" t="s">
        <v>19</v>
      </c>
      <c r="J1861">
        <v>2011</v>
      </c>
      <c r="K1861">
        <v>2011</v>
      </c>
      <c r="L1861" t="s">
        <v>20</v>
      </c>
      <c r="M1861">
        <v>29805</v>
      </c>
      <c r="N1861">
        <v>1500</v>
      </c>
    </row>
    <row r="1862" spans="1:14" x14ac:dyDescent="0.35">
      <c r="A1862" t="s">
        <v>1943</v>
      </c>
      <c r="B1862" t="s">
        <v>15</v>
      </c>
      <c r="C1862" t="s">
        <v>16</v>
      </c>
      <c r="D1862">
        <v>149</v>
      </c>
      <c r="E1862" t="s">
        <v>1918</v>
      </c>
      <c r="F1862">
        <v>5419</v>
      </c>
      <c r="G1862" t="s">
        <v>18</v>
      </c>
      <c r="H1862">
        <v>27</v>
      </c>
      <c r="I1862" t="s">
        <v>19</v>
      </c>
      <c r="J1862">
        <v>2012</v>
      </c>
      <c r="K1862">
        <v>2012</v>
      </c>
      <c r="L1862" t="s">
        <v>20</v>
      </c>
      <c r="M1862">
        <v>33120</v>
      </c>
      <c r="N1862">
        <v>1500</v>
      </c>
    </row>
    <row r="1863" spans="1:14" x14ac:dyDescent="0.35">
      <c r="A1863" t="s">
        <v>1944</v>
      </c>
      <c r="B1863" t="s">
        <v>15</v>
      </c>
      <c r="C1863" t="s">
        <v>16</v>
      </c>
      <c r="D1863">
        <v>149</v>
      </c>
      <c r="E1863" t="s">
        <v>1918</v>
      </c>
      <c r="F1863">
        <v>5419</v>
      </c>
      <c r="G1863" t="s">
        <v>18</v>
      </c>
      <c r="H1863">
        <v>27</v>
      </c>
      <c r="I1863" t="s">
        <v>19</v>
      </c>
      <c r="J1863">
        <v>2013</v>
      </c>
      <c r="K1863">
        <v>2013</v>
      </c>
      <c r="L1863" t="s">
        <v>20</v>
      </c>
      <c r="M1863">
        <v>31709</v>
      </c>
      <c r="N1863">
        <v>1500</v>
      </c>
    </row>
    <row r="1864" spans="1:14" x14ac:dyDescent="0.35">
      <c r="A1864" t="s">
        <v>1945</v>
      </c>
      <c r="B1864" t="s">
        <v>15</v>
      </c>
      <c r="C1864" t="s">
        <v>16</v>
      </c>
      <c r="D1864">
        <v>149</v>
      </c>
      <c r="E1864" t="s">
        <v>1918</v>
      </c>
      <c r="F1864">
        <v>5419</v>
      </c>
      <c r="G1864" t="s">
        <v>18</v>
      </c>
      <c r="H1864">
        <v>27</v>
      </c>
      <c r="I1864" t="s">
        <v>19</v>
      </c>
      <c r="J1864">
        <v>2014</v>
      </c>
      <c r="K1864">
        <v>2014</v>
      </c>
      <c r="L1864" t="s">
        <v>20</v>
      </c>
      <c r="M1864">
        <v>33942</v>
      </c>
      <c r="N1864">
        <v>1500</v>
      </c>
    </row>
    <row r="1865" spans="1:14" x14ac:dyDescent="0.35">
      <c r="A1865" t="s">
        <v>1946</v>
      </c>
      <c r="B1865" t="s">
        <v>15</v>
      </c>
      <c r="C1865" t="s">
        <v>16</v>
      </c>
      <c r="D1865">
        <v>149</v>
      </c>
      <c r="E1865" t="s">
        <v>1918</v>
      </c>
      <c r="F1865">
        <v>5419</v>
      </c>
      <c r="G1865" t="s">
        <v>18</v>
      </c>
      <c r="H1865">
        <v>27</v>
      </c>
      <c r="I1865" t="s">
        <v>19</v>
      </c>
      <c r="J1865">
        <v>2015</v>
      </c>
      <c r="K1865">
        <v>2015</v>
      </c>
      <c r="L1865" t="s">
        <v>20</v>
      </c>
      <c r="M1865">
        <v>33596</v>
      </c>
      <c r="N1865">
        <v>1500</v>
      </c>
    </row>
    <row r="1866" spans="1:14" x14ac:dyDescent="0.35">
      <c r="A1866" t="s">
        <v>1947</v>
      </c>
      <c r="B1866" t="s">
        <v>15</v>
      </c>
      <c r="C1866" t="s">
        <v>16</v>
      </c>
      <c r="D1866">
        <v>149</v>
      </c>
      <c r="E1866" t="s">
        <v>1918</v>
      </c>
      <c r="F1866">
        <v>5419</v>
      </c>
      <c r="G1866" t="s">
        <v>18</v>
      </c>
      <c r="H1866">
        <v>27</v>
      </c>
      <c r="I1866" t="s">
        <v>19</v>
      </c>
      <c r="J1866">
        <v>2016</v>
      </c>
      <c r="K1866">
        <v>2016</v>
      </c>
      <c r="L1866" t="s">
        <v>20</v>
      </c>
      <c r="M1866">
        <v>31543</v>
      </c>
      <c r="N1866">
        <v>1500</v>
      </c>
    </row>
    <row r="1867" spans="1:14" x14ac:dyDescent="0.35">
      <c r="A1867" t="s">
        <v>1948</v>
      </c>
      <c r="B1867" t="s">
        <v>15</v>
      </c>
      <c r="C1867" t="s">
        <v>16</v>
      </c>
      <c r="D1867">
        <v>157</v>
      </c>
      <c r="E1867" t="s">
        <v>1949</v>
      </c>
      <c r="F1867">
        <v>5419</v>
      </c>
      <c r="G1867" t="s">
        <v>18</v>
      </c>
      <c r="H1867">
        <v>27</v>
      </c>
      <c r="I1867" t="s">
        <v>19</v>
      </c>
      <c r="J1867">
        <v>1985</v>
      </c>
      <c r="K1867">
        <v>1985</v>
      </c>
      <c r="L1867" t="s">
        <v>20</v>
      </c>
      <c r="M1867">
        <v>35284</v>
      </c>
      <c r="N1867">
        <v>2280</v>
      </c>
    </row>
    <row r="1868" spans="1:14" x14ac:dyDescent="0.35">
      <c r="A1868" t="s">
        <v>1950</v>
      </c>
      <c r="B1868" t="s">
        <v>15</v>
      </c>
      <c r="C1868" t="s">
        <v>16</v>
      </c>
      <c r="D1868">
        <v>157</v>
      </c>
      <c r="E1868" t="s">
        <v>1949</v>
      </c>
      <c r="F1868">
        <v>5419</v>
      </c>
      <c r="G1868" t="s">
        <v>18</v>
      </c>
      <c r="H1868">
        <v>27</v>
      </c>
      <c r="I1868" t="s">
        <v>19</v>
      </c>
      <c r="J1868">
        <v>1986</v>
      </c>
      <c r="K1868">
        <v>1986</v>
      </c>
      <c r="L1868" t="s">
        <v>20</v>
      </c>
      <c r="M1868">
        <v>30530</v>
      </c>
      <c r="N1868">
        <v>2280</v>
      </c>
    </row>
    <row r="1869" spans="1:14" x14ac:dyDescent="0.35">
      <c r="A1869" t="s">
        <v>1951</v>
      </c>
      <c r="B1869" t="s">
        <v>15</v>
      </c>
      <c r="C1869" t="s">
        <v>16</v>
      </c>
      <c r="D1869">
        <v>157</v>
      </c>
      <c r="E1869" t="s">
        <v>1949</v>
      </c>
      <c r="F1869">
        <v>5419</v>
      </c>
      <c r="G1869" t="s">
        <v>18</v>
      </c>
      <c r="H1869">
        <v>27</v>
      </c>
      <c r="I1869" t="s">
        <v>19</v>
      </c>
      <c r="J1869">
        <v>1987</v>
      </c>
      <c r="K1869">
        <v>1987</v>
      </c>
      <c r="L1869" t="s">
        <v>20</v>
      </c>
      <c r="M1869">
        <v>32883</v>
      </c>
      <c r="N1869">
        <v>2280</v>
      </c>
    </row>
    <row r="1870" spans="1:14" x14ac:dyDescent="0.35">
      <c r="A1870" t="s">
        <v>1952</v>
      </c>
      <c r="B1870" t="s">
        <v>15</v>
      </c>
      <c r="C1870" t="s">
        <v>16</v>
      </c>
      <c r="D1870">
        <v>157</v>
      </c>
      <c r="E1870" t="s">
        <v>1949</v>
      </c>
      <c r="F1870">
        <v>5419</v>
      </c>
      <c r="G1870" t="s">
        <v>18</v>
      </c>
      <c r="H1870">
        <v>27</v>
      </c>
      <c r="I1870" t="s">
        <v>19</v>
      </c>
      <c r="J1870">
        <v>1989</v>
      </c>
      <c r="K1870">
        <v>1989</v>
      </c>
      <c r="L1870" t="s">
        <v>20</v>
      </c>
      <c r="M1870">
        <v>26374</v>
      </c>
      <c r="N1870">
        <v>2280</v>
      </c>
    </row>
    <row r="1871" spans="1:14" x14ac:dyDescent="0.35">
      <c r="A1871" t="s">
        <v>1953</v>
      </c>
      <c r="B1871" t="s">
        <v>15</v>
      </c>
      <c r="C1871" t="s">
        <v>16</v>
      </c>
      <c r="D1871">
        <v>157</v>
      </c>
      <c r="E1871" t="s">
        <v>1949</v>
      </c>
      <c r="F1871">
        <v>5419</v>
      </c>
      <c r="G1871" t="s">
        <v>18</v>
      </c>
      <c r="H1871">
        <v>27</v>
      </c>
      <c r="I1871" t="s">
        <v>19</v>
      </c>
      <c r="J1871">
        <v>1990</v>
      </c>
      <c r="K1871">
        <v>1990</v>
      </c>
      <c r="L1871" t="s">
        <v>20</v>
      </c>
      <c r="M1871">
        <v>26326</v>
      </c>
      <c r="N1871">
        <v>2280</v>
      </c>
    </row>
    <row r="1872" spans="1:14" x14ac:dyDescent="0.35">
      <c r="A1872" t="s">
        <v>1954</v>
      </c>
      <c r="B1872" t="s">
        <v>15</v>
      </c>
      <c r="C1872" t="s">
        <v>16</v>
      </c>
      <c r="D1872">
        <v>157</v>
      </c>
      <c r="E1872" t="s">
        <v>1949</v>
      </c>
      <c r="F1872">
        <v>5419</v>
      </c>
      <c r="G1872" t="s">
        <v>18</v>
      </c>
      <c r="H1872">
        <v>27</v>
      </c>
      <c r="I1872" t="s">
        <v>19</v>
      </c>
      <c r="J1872">
        <v>1991</v>
      </c>
      <c r="K1872">
        <v>1991</v>
      </c>
      <c r="L1872" t="s">
        <v>20</v>
      </c>
      <c r="M1872">
        <v>32527</v>
      </c>
      <c r="N1872">
        <v>2280</v>
      </c>
    </row>
    <row r="1873" spans="1:14" x14ac:dyDescent="0.35">
      <c r="A1873" t="s">
        <v>1955</v>
      </c>
      <c r="B1873" t="s">
        <v>15</v>
      </c>
      <c r="C1873" t="s">
        <v>16</v>
      </c>
      <c r="D1873">
        <v>157</v>
      </c>
      <c r="E1873" t="s">
        <v>1949</v>
      </c>
      <c r="F1873">
        <v>5419</v>
      </c>
      <c r="G1873" t="s">
        <v>18</v>
      </c>
      <c r="H1873">
        <v>27</v>
      </c>
      <c r="I1873" t="s">
        <v>19</v>
      </c>
      <c r="J1873">
        <v>1992</v>
      </c>
      <c r="K1873">
        <v>1992</v>
      </c>
      <c r="L1873" t="s">
        <v>20</v>
      </c>
      <c r="M1873">
        <v>29255</v>
      </c>
      <c r="N1873">
        <v>2280</v>
      </c>
    </row>
    <row r="1874" spans="1:14" x14ac:dyDescent="0.35">
      <c r="A1874" t="s">
        <v>1956</v>
      </c>
      <c r="B1874" t="s">
        <v>15</v>
      </c>
      <c r="C1874" t="s">
        <v>16</v>
      </c>
      <c r="D1874">
        <v>157</v>
      </c>
      <c r="E1874" t="s">
        <v>1949</v>
      </c>
      <c r="F1874">
        <v>5419</v>
      </c>
      <c r="G1874" t="s">
        <v>18</v>
      </c>
      <c r="H1874">
        <v>27</v>
      </c>
      <c r="I1874" t="s">
        <v>19</v>
      </c>
      <c r="J1874">
        <v>1993</v>
      </c>
      <c r="K1874">
        <v>1993</v>
      </c>
      <c r="L1874" t="s">
        <v>20</v>
      </c>
      <c r="M1874">
        <v>35450</v>
      </c>
      <c r="N1874">
        <v>2280</v>
      </c>
    </row>
    <row r="1875" spans="1:14" x14ac:dyDescent="0.35">
      <c r="A1875" t="s">
        <v>1957</v>
      </c>
      <c r="B1875" t="s">
        <v>15</v>
      </c>
      <c r="C1875" t="s">
        <v>16</v>
      </c>
      <c r="D1875">
        <v>157</v>
      </c>
      <c r="E1875" t="s">
        <v>1949</v>
      </c>
      <c r="F1875">
        <v>5419</v>
      </c>
      <c r="G1875" t="s">
        <v>18</v>
      </c>
      <c r="H1875">
        <v>27</v>
      </c>
      <c r="I1875" t="s">
        <v>19</v>
      </c>
      <c r="J1875">
        <v>1994</v>
      </c>
      <c r="K1875">
        <v>1994</v>
      </c>
      <c r="L1875" t="s">
        <v>20</v>
      </c>
      <c r="M1875">
        <v>32528</v>
      </c>
      <c r="N1875">
        <v>2280</v>
      </c>
    </row>
    <row r="1876" spans="1:14" x14ac:dyDescent="0.35">
      <c r="A1876" t="s">
        <v>1958</v>
      </c>
      <c r="B1876" t="s">
        <v>15</v>
      </c>
      <c r="C1876" t="s">
        <v>16</v>
      </c>
      <c r="D1876">
        <v>157</v>
      </c>
      <c r="E1876" t="s">
        <v>1949</v>
      </c>
      <c r="F1876">
        <v>5419</v>
      </c>
      <c r="G1876" t="s">
        <v>18</v>
      </c>
      <c r="H1876">
        <v>27</v>
      </c>
      <c r="I1876" t="s">
        <v>19</v>
      </c>
      <c r="J1876">
        <v>1995</v>
      </c>
      <c r="K1876">
        <v>1995</v>
      </c>
      <c r="L1876" t="s">
        <v>20</v>
      </c>
      <c r="M1876">
        <v>37084</v>
      </c>
      <c r="N1876">
        <v>2280</v>
      </c>
    </row>
    <row r="1877" spans="1:14" x14ac:dyDescent="0.35">
      <c r="A1877" t="s">
        <v>1959</v>
      </c>
      <c r="B1877" t="s">
        <v>15</v>
      </c>
      <c r="C1877" t="s">
        <v>16</v>
      </c>
      <c r="D1877">
        <v>157</v>
      </c>
      <c r="E1877" t="s">
        <v>1949</v>
      </c>
      <c r="F1877">
        <v>5419</v>
      </c>
      <c r="G1877" t="s">
        <v>18</v>
      </c>
      <c r="H1877">
        <v>27</v>
      </c>
      <c r="I1877" t="s">
        <v>19</v>
      </c>
      <c r="J1877">
        <v>1996</v>
      </c>
      <c r="K1877">
        <v>1996</v>
      </c>
      <c r="L1877" t="s">
        <v>20</v>
      </c>
      <c r="M1877">
        <v>34195</v>
      </c>
      <c r="N1877">
        <v>2280</v>
      </c>
    </row>
    <row r="1878" spans="1:14" x14ac:dyDescent="0.35">
      <c r="A1878" t="s">
        <v>1960</v>
      </c>
      <c r="B1878" t="s">
        <v>15</v>
      </c>
      <c r="C1878" t="s">
        <v>16</v>
      </c>
      <c r="D1878">
        <v>157</v>
      </c>
      <c r="E1878" t="s">
        <v>1949</v>
      </c>
      <c r="F1878">
        <v>5419</v>
      </c>
      <c r="G1878" t="s">
        <v>18</v>
      </c>
      <c r="H1878">
        <v>27</v>
      </c>
      <c r="I1878" t="s">
        <v>19</v>
      </c>
      <c r="J1878">
        <v>1997</v>
      </c>
      <c r="K1878">
        <v>1997</v>
      </c>
      <c r="L1878" t="s">
        <v>20</v>
      </c>
      <c r="M1878">
        <v>34389</v>
      </c>
      <c r="N1878">
        <v>2280</v>
      </c>
    </row>
    <row r="1879" spans="1:14" x14ac:dyDescent="0.35">
      <c r="A1879" t="s">
        <v>1961</v>
      </c>
      <c r="B1879" t="s">
        <v>15</v>
      </c>
      <c r="C1879" t="s">
        <v>16</v>
      </c>
      <c r="D1879">
        <v>157</v>
      </c>
      <c r="E1879" t="s">
        <v>1949</v>
      </c>
      <c r="F1879">
        <v>5419</v>
      </c>
      <c r="G1879" t="s">
        <v>18</v>
      </c>
      <c r="H1879">
        <v>27</v>
      </c>
      <c r="I1879" t="s">
        <v>19</v>
      </c>
      <c r="J1879">
        <v>1998</v>
      </c>
      <c r="K1879">
        <v>1998</v>
      </c>
      <c r="L1879" t="s">
        <v>20</v>
      </c>
      <c r="M1879">
        <v>34730</v>
      </c>
      <c r="N1879">
        <v>2280</v>
      </c>
    </row>
    <row r="1880" spans="1:14" x14ac:dyDescent="0.35">
      <c r="A1880" t="s">
        <v>1962</v>
      </c>
      <c r="B1880" t="s">
        <v>15</v>
      </c>
      <c r="C1880" t="s">
        <v>16</v>
      </c>
      <c r="D1880">
        <v>157</v>
      </c>
      <c r="E1880" t="s">
        <v>1949</v>
      </c>
      <c r="F1880">
        <v>5419</v>
      </c>
      <c r="G1880" t="s">
        <v>18</v>
      </c>
      <c r="H1880">
        <v>27</v>
      </c>
      <c r="I1880" t="s">
        <v>19</v>
      </c>
      <c r="J1880">
        <v>1999</v>
      </c>
      <c r="K1880">
        <v>1999</v>
      </c>
      <c r="L1880" t="s">
        <v>20</v>
      </c>
      <c r="M1880">
        <v>36568</v>
      </c>
      <c r="N1880">
        <v>2280</v>
      </c>
    </row>
    <row r="1881" spans="1:14" x14ac:dyDescent="0.35">
      <c r="A1881" t="s">
        <v>1963</v>
      </c>
      <c r="B1881" t="s">
        <v>15</v>
      </c>
      <c r="C1881" t="s">
        <v>16</v>
      </c>
      <c r="D1881">
        <v>157</v>
      </c>
      <c r="E1881" t="s">
        <v>1949</v>
      </c>
      <c r="F1881">
        <v>5419</v>
      </c>
      <c r="G1881" t="s">
        <v>18</v>
      </c>
      <c r="H1881">
        <v>27</v>
      </c>
      <c r="I1881" t="s">
        <v>19</v>
      </c>
      <c r="J1881">
        <v>2000</v>
      </c>
      <c r="K1881">
        <v>2000</v>
      </c>
      <c r="L1881" t="s">
        <v>20</v>
      </c>
      <c r="M1881">
        <v>31201</v>
      </c>
      <c r="N1881">
        <v>2280</v>
      </c>
    </row>
    <row r="1882" spans="1:14" x14ac:dyDescent="0.35">
      <c r="A1882" t="s">
        <v>1964</v>
      </c>
      <c r="B1882" t="s">
        <v>15</v>
      </c>
      <c r="C1882" t="s">
        <v>16</v>
      </c>
      <c r="D1882">
        <v>157</v>
      </c>
      <c r="E1882" t="s">
        <v>1949</v>
      </c>
      <c r="F1882">
        <v>5419</v>
      </c>
      <c r="G1882" t="s">
        <v>18</v>
      </c>
      <c r="H1882">
        <v>27</v>
      </c>
      <c r="I1882" t="s">
        <v>19</v>
      </c>
      <c r="J1882">
        <v>2001</v>
      </c>
      <c r="K1882">
        <v>2001</v>
      </c>
      <c r="L1882" t="s">
        <v>20</v>
      </c>
      <c r="M1882">
        <v>29281</v>
      </c>
      <c r="N1882">
        <v>2280</v>
      </c>
    </row>
    <row r="1883" spans="1:14" x14ac:dyDescent="0.35">
      <c r="A1883" t="s">
        <v>1965</v>
      </c>
      <c r="B1883" t="s">
        <v>15</v>
      </c>
      <c r="C1883" t="s">
        <v>16</v>
      </c>
      <c r="D1883">
        <v>157</v>
      </c>
      <c r="E1883" t="s">
        <v>1949</v>
      </c>
      <c r="F1883">
        <v>5419</v>
      </c>
      <c r="G1883" t="s">
        <v>18</v>
      </c>
      <c r="H1883">
        <v>27</v>
      </c>
      <c r="I1883" t="s">
        <v>19</v>
      </c>
      <c r="J1883">
        <v>2002</v>
      </c>
      <c r="K1883">
        <v>2002</v>
      </c>
      <c r="L1883" t="s">
        <v>20</v>
      </c>
      <c r="M1883">
        <v>31853</v>
      </c>
      <c r="N1883">
        <v>2280</v>
      </c>
    </row>
    <row r="1884" spans="1:14" x14ac:dyDescent="0.35">
      <c r="A1884" t="s">
        <v>1966</v>
      </c>
      <c r="B1884" t="s">
        <v>15</v>
      </c>
      <c r="C1884" t="s">
        <v>16</v>
      </c>
      <c r="D1884">
        <v>157</v>
      </c>
      <c r="E1884" t="s">
        <v>1949</v>
      </c>
      <c r="F1884">
        <v>5419</v>
      </c>
      <c r="G1884" t="s">
        <v>18</v>
      </c>
      <c r="H1884">
        <v>27</v>
      </c>
      <c r="I1884" t="s">
        <v>19</v>
      </c>
      <c r="J1884">
        <v>2004</v>
      </c>
      <c r="K1884">
        <v>2004</v>
      </c>
      <c r="L1884" t="s">
        <v>20</v>
      </c>
      <c r="M1884">
        <v>35103</v>
      </c>
      <c r="N1884">
        <v>2280</v>
      </c>
    </row>
    <row r="1885" spans="1:14" x14ac:dyDescent="0.35">
      <c r="A1885" t="s">
        <v>1967</v>
      </c>
      <c r="B1885" t="s">
        <v>15</v>
      </c>
      <c r="C1885" t="s">
        <v>16</v>
      </c>
      <c r="D1885">
        <v>157</v>
      </c>
      <c r="E1885" t="s">
        <v>1949</v>
      </c>
      <c r="F1885">
        <v>5419</v>
      </c>
      <c r="G1885" t="s">
        <v>18</v>
      </c>
      <c r="H1885">
        <v>27</v>
      </c>
      <c r="I1885" t="s">
        <v>19</v>
      </c>
      <c r="J1885">
        <v>2005</v>
      </c>
      <c r="K1885">
        <v>2005</v>
      </c>
      <c r="L1885" t="s">
        <v>20</v>
      </c>
      <c r="M1885">
        <v>33106</v>
      </c>
      <c r="N1885">
        <v>2280</v>
      </c>
    </row>
    <row r="1886" spans="1:14" x14ac:dyDescent="0.35">
      <c r="A1886" t="s">
        <v>1968</v>
      </c>
      <c r="B1886" t="s">
        <v>15</v>
      </c>
      <c r="C1886" t="s">
        <v>16</v>
      </c>
      <c r="D1886">
        <v>157</v>
      </c>
      <c r="E1886" t="s">
        <v>1949</v>
      </c>
      <c r="F1886">
        <v>5419</v>
      </c>
      <c r="G1886" t="s">
        <v>18</v>
      </c>
      <c r="H1886">
        <v>27</v>
      </c>
      <c r="I1886" t="s">
        <v>19</v>
      </c>
      <c r="J1886">
        <v>2006</v>
      </c>
      <c r="K1886">
        <v>2006</v>
      </c>
      <c r="L1886" t="s">
        <v>20</v>
      </c>
      <c r="M1886">
        <v>36392</v>
      </c>
      <c r="N1886">
        <v>2280</v>
      </c>
    </row>
    <row r="1887" spans="1:14" x14ac:dyDescent="0.35">
      <c r="A1887" t="s">
        <v>1969</v>
      </c>
      <c r="B1887" t="s">
        <v>15</v>
      </c>
      <c r="C1887" t="s">
        <v>16</v>
      </c>
      <c r="D1887">
        <v>157</v>
      </c>
      <c r="E1887" t="s">
        <v>1949</v>
      </c>
      <c r="F1887">
        <v>5419</v>
      </c>
      <c r="G1887" t="s">
        <v>18</v>
      </c>
      <c r="H1887">
        <v>27</v>
      </c>
      <c r="I1887" t="s">
        <v>19</v>
      </c>
      <c r="J1887">
        <v>2007</v>
      </c>
      <c r="K1887">
        <v>2007</v>
      </c>
      <c r="L1887" t="s">
        <v>20</v>
      </c>
      <c r="M1887">
        <v>39482</v>
      </c>
      <c r="N1887">
        <v>2280</v>
      </c>
    </row>
    <row r="1888" spans="1:14" x14ac:dyDescent="0.35">
      <c r="A1888" t="s">
        <v>1970</v>
      </c>
      <c r="B1888" t="s">
        <v>15</v>
      </c>
      <c r="C1888" t="s">
        <v>16</v>
      </c>
      <c r="D1888">
        <v>157</v>
      </c>
      <c r="E1888" t="s">
        <v>1949</v>
      </c>
      <c r="F1888">
        <v>5419</v>
      </c>
      <c r="G1888" t="s">
        <v>18</v>
      </c>
      <c r="H1888">
        <v>27</v>
      </c>
      <c r="I1888" t="s">
        <v>19</v>
      </c>
      <c r="J1888">
        <v>2008</v>
      </c>
      <c r="K1888">
        <v>2008</v>
      </c>
      <c r="L1888" t="s">
        <v>20</v>
      </c>
      <c r="M1888">
        <v>40055</v>
      </c>
      <c r="N1888">
        <v>2280</v>
      </c>
    </row>
    <row r="1889" spans="1:14" x14ac:dyDescent="0.35">
      <c r="A1889" t="s">
        <v>1971</v>
      </c>
      <c r="B1889" t="s">
        <v>15</v>
      </c>
      <c r="C1889" t="s">
        <v>16</v>
      </c>
      <c r="D1889">
        <v>157</v>
      </c>
      <c r="E1889" t="s">
        <v>1949</v>
      </c>
      <c r="F1889">
        <v>5419</v>
      </c>
      <c r="G1889" t="s">
        <v>18</v>
      </c>
      <c r="H1889">
        <v>27</v>
      </c>
      <c r="I1889" t="s">
        <v>19</v>
      </c>
      <c r="J1889">
        <v>2009</v>
      </c>
      <c r="K1889">
        <v>2009</v>
      </c>
      <c r="L1889" t="s">
        <v>20</v>
      </c>
      <c r="M1889">
        <v>45355</v>
      </c>
      <c r="N1889">
        <v>2280</v>
      </c>
    </row>
    <row r="1890" spans="1:14" x14ac:dyDescent="0.35">
      <c r="A1890" t="s">
        <v>1972</v>
      </c>
      <c r="B1890" t="s">
        <v>15</v>
      </c>
      <c r="C1890" t="s">
        <v>16</v>
      </c>
      <c r="D1890">
        <v>157</v>
      </c>
      <c r="E1890" t="s">
        <v>1949</v>
      </c>
      <c r="F1890">
        <v>5419</v>
      </c>
      <c r="G1890" t="s">
        <v>18</v>
      </c>
      <c r="H1890">
        <v>27</v>
      </c>
      <c r="I1890" t="s">
        <v>19</v>
      </c>
      <c r="J1890">
        <v>2010</v>
      </c>
      <c r="K1890">
        <v>2010</v>
      </c>
      <c r="L1890" t="s">
        <v>20</v>
      </c>
      <c r="M1890">
        <v>51406</v>
      </c>
      <c r="N1890">
        <v>2280</v>
      </c>
    </row>
    <row r="1891" spans="1:14" x14ac:dyDescent="0.35">
      <c r="A1891" t="s">
        <v>1973</v>
      </c>
      <c r="B1891" t="s">
        <v>15</v>
      </c>
      <c r="C1891" t="s">
        <v>16</v>
      </c>
      <c r="D1891">
        <v>157</v>
      </c>
      <c r="E1891" t="s">
        <v>1949</v>
      </c>
      <c r="F1891">
        <v>5419</v>
      </c>
      <c r="G1891" t="s">
        <v>18</v>
      </c>
      <c r="H1891">
        <v>27</v>
      </c>
      <c r="I1891" t="s">
        <v>19</v>
      </c>
      <c r="J1891">
        <v>2011</v>
      </c>
      <c r="K1891">
        <v>2011</v>
      </c>
      <c r="L1891" t="s">
        <v>20</v>
      </c>
      <c r="M1891">
        <v>41177</v>
      </c>
      <c r="N1891">
        <v>2280</v>
      </c>
    </row>
    <row r="1892" spans="1:14" x14ac:dyDescent="0.35">
      <c r="A1892" t="s">
        <v>1974</v>
      </c>
      <c r="B1892" t="s">
        <v>15</v>
      </c>
      <c r="C1892" t="s">
        <v>16</v>
      </c>
      <c r="D1892">
        <v>157</v>
      </c>
      <c r="E1892" t="s">
        <v>1949</v>
      </c>
      <c r="F1892">
        <v>5419</v>
      </c>
      <c r="G1892" t="s">
        <v>18</v>
      </c>
      <c r="H1892">
        <v>27</v>
      </c>
      <c r="I1892" t="s">
        <v>19</v>
      </c>
      <c r="J1892">
        <v>2012</v>
      </c>
      <c r="K1892">
        <v>2012</v>
      </c>
      <c r="L1892" t="s">
        <v>20</v>
      </c>
      <c r="M1892">
        <v>37753</v>
      </c>
      <c r="N1892">
        <v>2280</v>
      </c>
    </row>
    <row r="1893" spans="1:14" x14ac:dyDescent="0.35">
      <c r="A1893" t="s">
        <v>1975</v>
      </c>
      <c r="B1893" t="s">
        <v>15</v>
      </c>
      <c r="C1893" t="s">
        <v>16</v>
      </c>
      <c r="D1893">
        <v>157</v>
      </c>
      <c r="E1893" t="s">
        <v>1949</v>
      </c>
      <c r="F1893">
        <v>5419</v>
      </c>
      <c r="G1893" t="s">
        <v>18</v>
      </c>
      <c r="H1893">
        <v>27</v>
      </c>
      <c r="I1893" t="s">
        <v>19</v>
      </c>
      <c r="J1893">
        <v>2013</v>
      </c>
      <c r="K1893">
        <v>2013</v>
      </c>
      <c r="L1893" t="s">
        <v>20</v>
      </c>
      <c r="M1893">
        <v>49680</v>
      </c>
      <c r="N1893">
        <v>2280</v>
      </c>
    </row>
    <row r="1894" spans="1:14" x14ac:dyDescent="0.35">
      <c r="A1894" t="s">
        <v>1976</v>
      </c>
      <c r="B1894" t="s">
        <v>15</v>
      </c>
      <c r="C1894" t="s">
        <v>16</v>
      </c>
      <c r="D1894">
        <v>157</v>
      </c>
      <c r="E1894" t="s">
        <v>1949</v>
      </c>
      <c r="F1894">
        <v>5419</v>
      </c>
      <c r="G1894" t="s">
        <v>18</v>
      </c>
      <c r="H1894">
        <v>27</v>
      </c>
      <c r="I1894" t="s">
        <v>19</v>
      </c>
      <c r="J1894">
        <v>2014</v>
      </c>
      <c r="K1894">
        <v>2014</v>
      </c>
      <c r="L1894" t="s">
        <v>20</v>
      </c>
      <c r="M1894">
        <v>55764</v>
      </c>
      <c r="N1894">
        <v>2280</v>
      </c>
    </row>
    <row r="1895" spans="1:14" x14ac:dyDescent="0.35">
      <c r="A1895" t="s">
        <v>1977</v>
      </c>
      <c r="B1895" t="s">
        <v>15</v>
      </c>
      <c r="C1895" t="s">
        <v>16</v>
      </c>
      <c r="D1895">
        <v>157</v>
      </c>
      <c r="E1895" t="s">
        <v>1949</v>
      </c>
      <c r="F1895">
        <v>5419</v>
      </c>
      <c r="G1895" t="s">
        <v>18</v>
      </c>
      <c r="H1895">
        <v>27</v>
      </c>
      <c r="I1895" t="s">
        <v>19</v>
      </c>
      <c r="J1895">
        <v>2015</v>
      </c>
      <c r="K1895">
        <v>2015</v>
      </c>
      <c r="L1895" t="s">
        <v>20</v>
      </c>
      <c r="M1895">
        <v>56648</v>
      </c>
      <c r="N1895">
        <v>2280</v>
      </c>
    </row>
    <row r="1896" spans="1:14" x14ac:dyDescent="0.35">
      <c r="A1896" t="s">
        <v>1978</v>
      </c>
      <c r="B1896" t="s">
        <v>15</v>
      </c>
      <c r="C1896" t="s">
        <v>16</v>
      </c>
      <c r="D1896">
        <v>157</v>
      </c>
      <c r="E1896" t="s">
        <v>1949</v>
      </c>
      <c r="F1896">
        <v>5419</v>
      </c>
      <c r="G1896" t="s">
        <v>18</v>
      </c>
      <c r="H1896">
        <v>27</v>
      </c>
      <c r="I1896" t="s">
        <v>19</v>
      </c>
      <c r="J1896">
        <v>2016</v>
      </c>
      <c r="K1896">
        <v>2016</v>
      </c>
      <c r="L1896" t="s">
        <v>20</v>
      </c>
      <c r="M1896">
        <v>50217</v>
      </c>
      <c r="N1896">
        <v>2280</v>
      </c>
    </row>
    <row r="1897" spans="1:14" x14ac:dyDescent="0.35">
      <c r="A1897" t="s">
        <v>1979</v>
      </c>
      <c r="B1897" t="s">
        <v>15</v>
      </c>
      <c r="C1897" t="s">
        <v>16</v>
      </c>
      <c r="D1897">
        <v>158</v>
      </c>
      <c r="E1897" t="s">
        <v>1980</v>
      </c>
      <c r="F1897">
        <v>5419</v>
      </c>
      <c r="G1897" t="s">
        <v>18</v>
      </c>
      <c r="H1897">
        <v>27</v>
      </c>
      <c r="I1897" t="s">
        <v>19</v>
      </c>
      <c r="J1897">
        <v>1985</v>
      </c>
      <c r="K1897">
        <v>1985</v>
      </c>
      <c r="L1897" t="s">
        <v>20</v>
      </c>
      <c r="M1897">
        <v>27524</v>
      </c>
      <c r="N1897">
        <v>151</v>
      </c>
    </row>
    <row r="1898" spans="1:14" x14ac:dyDescent="0.35">
      <c r="A1898" t="s">
        <v>1981</v>
      </c>
      <c r="B1898" t="s">
        <v>15</v>
      </c>
      <c r="C1898" t="s">
        <v>16</v>
      </c>
      <c r="D1898">
        <v>158</v>
      </c>
      <c r="E1898" t="s">
        <v>1980</v>
      </c>
      <c r="F1898">
        <v>5419</v>
      </c>
      <c r="G1898" t="s">
        <v>18</v>
      </c>
      <c r="H1898">
        <v>27</v>
      </c>
      <c r="I1898" t="s">
        <v>19</v>
      </c>
      <c r="J1898">
        <v>1986</v>
      </c>
      <c r="K1898">
        <v>1986</v>
      </c>
      <c r="L1898" t="s">
        <v>20</v>
      </c>
      <c r="M1898">
        <v>27283</v>
      </c>
      <c r="N1898">
        <v>151</v>
      </c>
    </row>
    <row r="1899" spans="1:14" x14ac:dyDescent="0.35">
      <c r="A1899" t="s">
        <v>1982</v>
      </c>
      <c r="B1899" t="s">
        <v>15</v>
      </c>
      <c r="C1899" t="s">
        <v>16</v>
      </c>
      <c r="D1899">
        <v>158</v>
      </c>
      <c r="E1899" t="s">
        <v>1980</v>
      </c>
      <c r="F1899">
        <v>5419</v>
      </c>
      <c r="G1899" t="s">
        <v>18</v>
      </c>
      <c r="H1899">
        <v>27</v>
      </c>
      <c r="I1899" t="s">
        <v>19</v>
      </c>
      <c r="J1899">
        <v>1987</v>
      </c>
      <c r="K1899">
        <v>1987</v>
      </c>
      <c r="L1899" t="s">
        <v>20</v>
      </c>
      <c r="M1899">
        <v>24498</v>
      </c>
      <c r="N1899">
        <v>151</v>
      </c>
    </row>
    <row r="1900" spans="1:14" x14ac:dyDescent="0.35">
      <c r="A1900" t="s">
        <v>1983</v>
      </c>
      <c r="B1900" t="s">
        <v>15</v>
      </c>
      <c r="C1900" t="s">
        <v>16</v>
      </c>
      <c r="D1900">
        <v>158</v>
      </c>
      <c r="E1900" t="s">
        <v>1980</v>
      </c>
      <c r="F1900">
        <v>5419</v>
      </c>
      <c r="G1900" t="s">
        <v>18</v>
      </c>
      <c r="H1900">
        <v>27</v>
      </c>
      <c r="I1900" t="s">
        <v>19</v>
      </c>
      <c r="J1900">
        <v>1989</v>
      </c>
      <c r="K1900">
        <v>1989</v>
      </c>
      <c r="L1900" t="s">
        <v>20</v>
      </c>
      <c r="M1900">
        <v>34147</v>
      </c>
      <c r="N1900">
        <v>151</v>
      </c>
    </row>
    <row r="1901" spans="1:14" x14ac:dyDescent="0.35">
      <c r="A1901" t="s">
        <v>1984</v>
      </c>
      <c r="B1901" t="s">
        <v>15</v>
      </c>
      <c r="C1901" t="s">
        <v>16</v>
      </c>
      <c r="D1901">
        <v>158</v>
      </c>
      <c r="E1901" t="s">
        <v>1980</v>
      </c>
      <c r="F1901">
        <v>5419</v>
      </c>
      <c r="G1901" t="s">
        <v>18</v>
      </c>
      <c r="H1901">
        <v>27</v>
      </c>
      <c r="I1901" t="s">
        <v>19</v>
      </c>
      <c r="J1901">
        <v>1990</v>
      </c>
      <c r="K1901">
        <v>1990</v>
      </c>
      <c r="L1901" t="s">
        <v>20</v>
      </c>
      <c r="M1901">
        <v>31432</v>
      </c>
      <c r="N1901">
        <v>151</v>
      </c>
    </row>
    <row r="1902" spans="1:14" x14ac:dyDescent="0.35">
      <c r="A1902" t="s">
        <v>1985</v>
      </c>
      <c r="B1902" t="s">
        <v>15</v>
      </c>
      <c r="C1902" t="s">
        <v>16</v>
      </c>
      <c r="D1902">
        <v>158</v>
      </c>
      <c r="E1902" t="s">
        <v>1980</v>
      </c>
      <c r="F1902">
        <v>5419</v>
      </c>
      <c r="G1902" t="s">
        <v>18</v>
      </c>
      <c r="H1902">
        <v>27</v>
      </c>
      <c r="I1902" t="s">
        <v>19</v>
      </c>
      <c r="J1902">
        <v>1991</v>
      </c>
      <c r="K1902">
        <v>1991</v>
      </c>
      <c r="L1902" t="s">
        <v>20</v>
      </c>
      <c r="M1902">
        <v>35605</v>
      </c>
      <c r="N1902">
        <v>151</v>
      </c>
    </row>
    <row r="1903" spans="1:14" x14ac:dyDescent="0.35">
      <c r="A1903" t="s">
        <v>1986</v>
      </c>
      <c r="B1903" t="s">
        <v>15</v>
      </c>
      <c r="C1903" t="s">
        <v>16</v>
      </c>
      <c r="D1903">
        <v>158</v>
      </c>
      <c r="E1903" t="s">
        <v>1980</v>
      </c>
      <c r="F1903">
        <v>5419</v>
      </c>
      <c r="G1903" t="s">
        <v>18</v>
      </c>
      <c r="H1903">
        <v>27</v>
      </c>
      <c r="I1903" t="s">
        <v>19</v>
      </c>
      <c r="J1903">
        <v>1992</v>
      </c>
      <c r="K1903">
        <v>1992</v>
      </c>
      <c r="L1903" t="s">
        <v>20</v>
      </c>
      <c r="M1903">
        <v>32828</v>
      </c>
      <c r="N1903">
        <v>151</v>
      </c>
    </row>
    <row r="1904" spans="1:14" x14ac:dyDescent="0.35">
      <c r="A1904" t="s">
        <v>1987</v>
      </c>
      <c r="B1904" t="s">
        <v>15</v>
      </c>
      <c r="C1904" t="s">
        <v>16</v>
      </c>
      <c r="D1904">
        <v>158</v>
      </c>
      <c r="E1904" t="s">
        <v>1980</v>
      </c>
      <c r="F1904">
        <v>5419</v>
      </c>
      <c r="G1904" t="s">
        <v>18</v>
      </c>
      <c r="H1904">
        <v>27</v>
      </c>
      <c r="I1904" t="s">
        <v>19</v>
      </c>
      <c r="J1904">
        <v>1993</v>
      </c>
      <c r="K1904">
        <v>1993</v>
      </c>
      <c r="L1904" t="s">
        <v>20</v>
      </c>
      <c r="M1904">
        <v>26233</v>
      </c>
      <c r="N1904">
        <v>151</v>
      </c>
    </row>
    <row r="1905" spans="1:14" x14ac:dyDescent="0.35">
      <c r="A1905" t="s">
        <v>1988</v>
      </c>
      <c r="B1905" t="s">
        <v>15</v>
      </c>
      <c r="C1905" t="s">
        <v>16</v>
      </c>
      <c r="D1905">
        <v>158</v>
      </c>
      <c r="E1905" t="s">
        <v>1980</v>
      </c>
      <c r="F1905">
        <v>5419</v>
      </c>
      <c r="G1905" t="s">
        <v>18</v>
      </c>
      <c r="H1905">
        <v>27</v>
      </c>
      <c r="I1905" t="s">
        <v>19</v>
      </c>
      <c r="J1905">
        <v>1994</v>
      </c>
      <c r="K1905">
        <v>1994</v>
      </c>
      <c r="L1905" t="s">
        <v>20</v>
      </c>
      <c r="M1905">
        <v>22143</v>
      </c>
      <c r="N1905">
        <v>151</v>
      </c>
    </row>
    <row r="1906" spans="1:14" x14ac:dyDescent="0.35">
      <c r="A1906" t="s">
        <v>1989</v>
      </c>
      <c r="B1906" t="s">
        <v>15</v>
      </c>
      <c r="C1906" t="s">
        <v>16</v>
      </c>
      <c r="D1906">
        <v>158</v>
      </c>
      <c r="E1906" t="s">
        <v>1980</v>
      </c>
      <c r="F1906">
        <v>5419</v>
      </c>
      <c r="G1906" t="s">
        <v>18</v>
      </c>
      <c r="H1906">
        <v>27</v>
      </c>
      <c r="I1906" t="s">
        <v>19</v>
      </c>
      <c r="J1906">
        <v>1995</v>
      </c>
      <c r="K1906">
        <v>1995</v>
      </c>
      <c r="L1906" t="s">
        <v>20</v>
      </c>
      <c r="M1906">
        <v>24286</v>
      </c>
      <c r="N1906">
        <v>151</v>
      </c>
    </row>
    <row r="1907" spans="1:14" x14ac:dyDescent="0.35">
      <c r="A1907" t="s">
        <v>1990</v>
      </c>
      <c r="B1907" t="s">
        <v>15</v>
      </c>
      <c r="C1907" t="s">
        <v>16</v>
      </c>
      <c r="D1907">
        <v>158</v>
      </c>
      <c r="E1907" t="s">
        <v>1980</v>
      </c>
      <c r="F1907">
        <v>5419</v>
      </c>
      <c r="G1907" t="s">
        <v>18</v>
      </c>
      <c r="H1907">
        <v>27</v>
      </c>
      <c r="I1907" t="s">
        <v>19</v>
      </c>
      <c r="J1907">
        <v>1996</v>
      </c>
      <c r="K1907">
        <v>1996</v>
      </c>
      <c r="L1907" t="s">
        <v>20</v>
      </c>
      <c r="M1907">
        <v>16254</v>
      </c>
      <c r="N1907">
        <v>151</v>
      </c>
    </row>
    <row r="1908" spans="1:14" x14ac:dyDescent="0.35">
      <c r="A1908" t="s">
        <v>1991</v>
      </c>
      <c r="B1908" t="s">
        <v>15</v>
      </c>
      <c r="C1908" t="s">
        <v>16</v>
      </c>
      <c r="D1908">
        <v>158</v>
      </c>
      <c r="E1908" t="s">
        <v>1980</v>
      </c>
      <c r="F1908">
        <v>5419</v>
      </c>
      <c r="G1908" t="s">
        <v>18</v>
      </c>
      <c r="H1908">
        <v>27</v>
      </c>
      <c r="I1908" t="s">
        <v>19</v>
      </c>
      <c r="J1908">
        <v>1997</v>
      </c>
      <c r="K1908">
        <v>1997</v>
      </c>
      <c r="L1908" t="s">
        <v>20</v>
      </c>
      <c r="M1908">
        <v>20244</v>
      </c>
      <c r="N1908">
        <v>151</v>
      </c>
    </row>
    <row r="1909" spans="1:14" x14ac:dyDescent="0.35">
      <c r="A1909" t="s">
        <v>1992</v>
      </c>
      <c r="B1909" t="s">
        <v>15</v>
      </c>
      <c r="C1909" t="s">
        <v>16</v>
      </c>
      <c r="D1909">
        <v>158</v>
      </c>
      <c r="E1909" t="s">
        <v>1980</v>
      </c>
      <c r="F1909">
        <v>5419</v>
      </c>
      <c r="G1909" t="s">
        <v>18</v>
      </c>
      <c r="H1909">
        <v>27</v>
      </c>
      <c r="I1909" t="s">
        <v>19</v>
      </c>
      <c r="J1909">
        <v>1998</v>
      </c>
      <c r="K1909">
        <v>1998</v>
      </c>
      <c r="L1909" t="s">
        <v>20</v>
      </c>
      <c r="M1909">
        <v>29100</v>
      </c>
      <c r="N1909">
        <v>151</v>
      </c>
    </row>
    <row r="1910" spans="1:14" x14ac:dyDescent="0.35">
      <c r="A1910" t="s">
        <v>1993</v>
      </c>
      <c r="B1910" t="s">
        <v>15</v>
      </c>
      <c r="C1910" t="s">
        <v>16</v>
      </c>
      <c r="D1910">
        <v>158</v>
      </c>
      <c r="E1910" t="s">
        <v>1980</v>
      </c>
      <c r="F1910">
        <v>5419</v>
      </c>
      <c r="G1910" t="s">
        <v>18</v>
      </c>
      <c r="H1910">
        <v>27</v>
      </c>
      <c r="I1910" t="s">
        <v>19</v>
      </c>
      <c r="J1910">
        <v>1999</v>
      </c>
      <c r="K1910">
        <v>1999</v>
      </c>
      <c r="L1910" t="s">
        <v>20</v>
      </c>
      <c r="M1910">
        <v>41112</v>
      </c>
      <c r="N1910">
        <v>151</v>
      </c>
    </row>
    <row r="1911" spans="1:14" x14ac:dyDescent="0.35">
      <c r="A1911" t="s">
        <v>1994</v>
      </c>
      <c r="B1911" t="s">
        <v>15</v>
      </c>
      <c r="C1911" t="s">
        <v>16</v>
      </c>
      <c r="D1911">
        <v>158</v>
      </c>
      <c r="E1911" t="s">
        <v>1980</v>
      </c>
      <c r="F1911">
        <v>5419</v>
      </c>
      <c r="G1911" t="s">
        <v>18</v>
      </c>
      <c r="H1911">
        <v>27</v>
      </c>
      <c r="I1911" t="s">
        <v>19</v>
      </c>
      <c r="J1911">
        <v>2000</v>
      </c>
      <c r="K1911">
        <v>2000</v>
      </c>
      <c r="L1911" t="s">
        <v>20</v>
      </c>
      <c r="M1911">
        <v>27479</v>
      </c>
      <c r="N1911">
        <v>151</v>
      </c>
    </row>
    <row r="1912" spans="1:14" x14ac:dyDescent="0.35">
      <c r="A1912" t="s">
        <v>1995</v>
      </c>
      <c r="B1912" t="s">
        <v>15</v>
      </c>
      <c r="C1912" t="s">
        <v>16</v>
      </c>
      <c r="D1912">
        <v>158</v>
      </c>
      <c r="E1912" t="s">
        <v>1980</v>
      </c>
      <c r="F1912">
        <v>5419</v>
      </c>
      <c r="G1912" t="s">
        <v>18</v>
      </c>
      <c r="H1912">
        <v>27</v>
      </c>
      <c r="I1912" t="s">
        <v>19</v>
      </c>
      <c r="J1912">
        <v>2001</v>
      </c>
      <c r="K1912">
        <v>2001</v>
      </c>
      <c r="L1912" t="s">
        <v>20</v>
      </c>
      <c r="M1912">
        <v>27565</v>
      </c>
      <c r="N1912">
        <v>151</v>
      </c>
    </row>
    <row r="1913" spans="1:14" x14ac:dyDescent="0.35">
      <c r="A1913" t="s">
        <v>1996</v>
      </c>
      <c r="B1913" t="s">
        <v>15</v>
      </c>
      <c r="C1913" t="s">
        <v>16</v>
      </c>
      <c r="D1913">
        <v>158</v>
      </c>
      <c r="E1913" t="s">
        <v>1980</v>
      </c>
      <c r="F1913">
        <v>5419</v>
      </c>
      <c r="G1913" t="s">
        <v>18</v>
      </c>
      <c r="H1913">
        <v>27</v>
      </c>
      <c r="I1913" t="s">
        <v>19</v>
      </c>
      <c r="J1913">
        <v>2002</v>
      </c>
      <c r="K1913">
        <v>2002</v>
      </c>
      <c r="L1913" t="s">
        <v>20</v>
      </c>
      <c r="M1913">
        <v>31638</v>
      </c>
      <c r="N1913">
        <v>151</v>
      </c>
    </row>
    <row r="1914" spans="1:14" x14ac:dyDescent="0.35">
      <c r="A1914" t="s">
        <v>1997</v>
      </c>
      <c r="B1914" t="s">
        <v>15</v>
      </c>
      <c r="C1914" t="s">
        <v>16</v>
      </c>
      <c r="D1914">
        <v>158</v>
      </c>
      <c r="E1914" t="s">
        <v>1980</v>
      </c>
      <c r="F1914">
        <v>5419</v>
      </c>
      <c r="G1914" t="s">
        <v>18</v>
      </c>
      <c r="H1914">
        <v>27</v>
      </c>
      <c r="I1914" t="s">
        <v>19</v>
      </c>
      <c r="J1914">
        <v>2004</v>
      </c>
      <c r="K1914">
        <v>2004</v>
      </c>
      <c r="L1914" t="s">
        <v>20</v>
      </c>
      <c r="M1914">
        <v>30949</v>
      </c>
      <c r="N1914">
        <v>151</v>
      </c>
    </row>
    <row r="1915" spans="1:14" x14ac:dyDescent="0.35">
      <c r="A1915" t="s">
        <v>1998</v>
      </c>
      <c r="B1915" t="s">
        <v>15</v>
      </c>
      <c r="C1915" t="s">
        <v>16</v>
      </c>
      <c r="D1915">
        <v>158</v>
      </c>
      <c r="E1915" t="s">
        <v>1980</v>
      </c>
      <c r="F1915">
        <v>5419</v>
      </c>
      <c r="G1915" t="s">
        <v>18</v>
      </c>
      <c r="H1915">
        <v>27</v>
      </c>
      <c r="I1915" t="s">
        <v>19</v>
      </c>
      <c r="J1915">
        <v>2005</v>
      </c>
      <c r="K1915">
        <v>2005</v>
      </c>
      <c r="L1915" t="s">
        <v>20</v>
      </c>
      <c r="M1915">
        <v>38290</v>
      </c>
      <c r="N1915">
        <v>151</v>
      </c>
    </row>
    <row r="1916" spans="1:14" x14ac:dyDescent="0.35">
      <c r="A1916" t="s">
        <v>1999</v>
      </c>
      <c r="B1916" t="s">
        <v>15</v>
      </c>
      <c r="C1916" t="s">
        <v>16</v>
      </c>
      <c r="D1916">
        <v>158</v>
      </c>
      <c r="E1916" t="s">
        <v>1980</v>
      </c>
      <c r="F1916">
        <v>5419</v>
      </c>
      <c r="G1916" t="s">
        <v>18</v>
      </c>
      <c r="H1916">
        <v>27</v>
      </c>
      <c r="I1916" t="s">
        <v>19</v>
      </c>
      <c r="J1916">
        <v>2006</v>
      </c>
      <c r="K1916">
        <v>2006</v>
      </c>
      <c r="L1916" t="s">
        <v>20</v>
      </c>
      <c r="M1916">
        <v>36637</v>
      </c>
      <c r="N1916">
        <v>151</v>
      </c>
    </row>
    <row r="1917" spans="1:14" x14ac:dyDescent="0.35">
      <c r="A1917" t="s">
        <v>2000</v>
      </c>
      <c r="B1917" t="s">
        <v>15</v>
      </c>
      <c r="C1917" t="s">
        <v>16</v>
      </c>
      <c r="D1917">
        <v>158</v>
      </c>
      <c r="E1917" t="s">
        <v>1980</v>
      </c>
      <c r="F1917">
        <v>5419</v>
      </c>
      <c r="G1917" t="s">
        <v>18</v>
      </c>
      <c r="H1917">
        <v>27</v>
      </c>
      <c r="I1917" t="s">
        <v>19</v>
      </c>
      <c r="J1917">
        <v>2007</v>
      </c>
      <c r="K1917">
        <v>2007</v>
      </c>
      <c r="L1917" t="s">
        <v>20</v>
      </c>
      <c r="M1917">
        <v>35900</v>
      </c>
      <c r="N1917">
        <v>151</v>
      </c>
    </row>
    <row r="1918" spans="1:14" x14ac:dyDescent="0.35">
      <c r="A1918" t="s">
        <v>2001</v>
      </c>
      <c r="B1918" t="s">
        <v>15</v>
      </c>
      <c r="C1918" t="s">
        <v>16</v>
      </c>
      <c r="D1918">
        <v>158</v>
      </c>
      <c r="E1918" t="s">
        <v>1980</v>
      </c>
      <c r="F1918">
        <v>5419</v>
      </c>
      <c r="G1918" t="s">
        <v>18</v>
      </c>
      <c r="H1918">
        <v>27</v>
      </c>
      <c r="I1918" t="s">
        <v>19</v>
      </c>
      <c r="J1918">
        <v>2008</v>
      </c>
      <c r="K1918">
        <v>2008</v>
      </c>
      <c r="L1918" t="s">
        <v>20</v>
      </c>
      <c r="M1918">
        <v>38110</v>
      </c>
      <c r="N1918">
        <v>151</v>
      </c>
    </row>
    <row r="1919" spans="1:14" x14ac:dyDescent="0.35">
      <c r="A1919" t="s">
        <v>2002</v>
      </c>
      <c r="B1919" t="s">
        <v>15</v>
      </c>
      <c r="C1919" t="s">
        <v>16</v>
      </c>
      <c r="D1919">
        <v>158</v>
      </c>
      <c r="E1919" t="s">
        <v>1980</v>
      </c>
      <c r="F1919">
        <v>5419</v>
      </c>
      <c r="G1919" t="s">
        <v>18</v>
      </c>
      <c r="H1919">
        <v>27</v>
      </c>
      <c r="I1919" t="s">
        <v>19</v>
      </c>
      <c r="J1919">
        <v>2009</v>
      </c>
      <c r="K1919">
        <v>2009</v>
      </c>
      <c r="L1919" t="s">
        <v>20</v>
      </c>
      <c r="M1919">
        <v>43571</v>
      </c>
      <c r="N1919">
        <v>151</v>
      </c>
    </row>
    <row r="1920" spans="1:14" x14ac:dyDescent="0.35">
      <c r="A1920" t="s">
        <v>2003</v>
      </c>
      <c r="B1920" t="s">
        <v>15</v>
      </c>
      <c r="C1920" t="s">
        <v>16</v>
      </c>
      <c r="D1920">
        <v>158</v>
      </c>
      <c r="E1920" t="s">
        <v>1980</v>
      </c>
      <c r="F1920">
        <v>5419</v>
      </c>
      <c r="G1920" t="s">
        <v>18</v>
      </c>
      <c r="H1920">
        <v>27</v>
      </c>
      <c r="I1920" t="s">
        <v>19</v>
      </c>
      <c r="J1920">
        <v>2010</v>
      </c>
      <c r="K1920">
        <v>2010</v>
      </c>
      <c r="L1920" t="s">
        <v>20</v>
      </c>
      <c r="M1920">
        <v>54407</v>
      </c>
      <c r="N1920">
        <v>151</v>
      </c>
    </row>
    <row r="1921" spans="1:14" x14ac:dyDescent="0.35">
      <c r="A1921" t="s">
        <v>2004</v>
      </c>
      <c r="B1921" t="s">
        <v>15</v>
      </c>
      <c r="C1921" t="s">
        <v>16</v>
      </c>
      <c r="D1921">
        <v>158</v>
      </c>
      <c r="E1921" t="s">
        <v>1980</v>
      </c>
      <c r="F1921">
        <v>5419</v>
      </c>
      <c r="G1921" t="s">
        <v>18</v>
      </c>
      <c r="H1921">
        <v>27</v>
      </c>
      <c r="I1921" t="s">
        <v>19</v>
      </c>
      <c r="J1921">
        <v>2011</v>
      </c>
      <c r="K1921">
        <v>2011</v>
      </c>
      <c r="L1921" t="s">
        <v>20</v>
      </c>
      <c r="M1921">
        <v>54739</v>
      </c>
      <c r="N1921">
        <v>151</v>
      </c>
    </row>
    <row r="1922" spans="1:14" x14ac:dyDescent="0.35">
      <c r="A1922" t="s">
        <v>2005</v>
      </c>
      <c r="B1922" t="s">
        <v>15</v>
      </c>
      <c r="C1922" t="s">
        <v>16</v>
      </c>
      <c r="D1922">
        <v>158</v>
      </c>
      <c r="E1922" t="s">
        <v>1980</v>
      </c>
      <c r="F1922">
        <v>5419</v>
      </c>
      <c r="G1922" t="s">
        <v>18</v>
      </c>
      <c r="H1922">
        <v>27</v>
      </c>
      <c r="I1922" t="s">
        <v>19</v>
      </c>
      <c r="J1922">
        <v>2012</v>
      </c>
      <c r="K1922">
        <v>2012</v>
      </c>
      <c r="L1922" t="s">
        <v>20</v>
      </c>
      <c r="M1922">
        <v>57490</v>
      </c>
      <c r="N1922">
        <v>151</v>
      </c>
    </row>
    <row r="1923" spans="1:14" x14ac:dyDescent="0.35">
      <c r="A1923" t="s">
        <v>2006</v>
      </c>
      <c r="B1923" t="s">
        <v>15</v>
      </c>
      <c r="C1923" t="s">
        <v>16</v>
      </c>
      <c r="D1923">
        <v>158</v>
      </c>
      <c r="E1923" t="s">
        <v>1980</v>
      </c>
      <c r="F1923">
        <v>5419</v>
      </c>
      <c r="G1923" t="s">
        <v>18</v>
      </c>
      <c r="H1923">
        <v>27</v>
      </c>
      <c r="I1923" t="s">
        <v>19</v>
      </c>
      <c r="J1923">
        <v>2013</v>
      </c>
      <c r="K1923">
        <v>2013</v>
      </c>
      <c r="L1923" t="s">
        <v>20</v>
      </c>
      <c r="M1923">
        <v>62834</v>
      </c>
      <c r="N1923">
        <v>151</v>
      </c>
    </row>
    <row r="1924" spans="1:14" x14ac:dyDescent="0.35">
      <c r="A1924" t="s">
        <v>2007</v>
      </c>
      <c r="B1924" t="s">
        <v>15</v>
      </c>
      <c r="C1924" t="s">
        <v>16</v>
      </c>
      <c r="D1924">
        <v>158</v>
      </c>
      <c r="E1924" t="s">
        <v>1980</v>
      </c>
      <c r="F1924">
        <v>5419</v>
      </c>
      <c r="G1924" t="s">
        <v>18</v>
      </c>
      <c r="H1924">
        <v>27</v>
      </c>
      <c r="I1924" t="s">
        <v>19</v>
      </c>
      <c r="J1924">
        <v>2014</v>
      </c>
      <c r="K1924">
        <v>2014</v>
      </c>
      <c r="L1924" t="s">
        <v>20</v>
      </c>
      <c r="M1924">
        <v>61350</v>
      </c>
      <c r="N1924">
        <v>151</v>
      </c>
    </row>
    <row r="1925" spans="1:14" x14ac:dyDescent="0.35">
      <c r="A1925" t="s">
        <v>2008</v>
      </c>
      <c r="B1925" t="s">
        <v>15</v>
      </c>
      <c r="C1925" t="s">
        <v>16</v>
      </c>
      <c r="D1925">
        <v>158</v>
      </c>
      <c r="E1925" t="s">
        <v>1980</v>
      </c>
      <c r="F1925">
        <v>5419</v>
      </c>
      <c r="G1925" t="s">
        <v>18</v>
      </c>
      <c r="H1925">
        <v>27</v>
      </c>
      <c r="I1925" t="s">
        <v>19</v>
      </c>
      <c r="J1925">
        <v>2015</v>
      </c>
      <c r="K1925">
        <v>2015</v>
      </c>
      <c r="L1925" t="s">
        <v>20</v>
      </c>
      <c r="M1925">
        <v>44383</v>
      </c>
      <c r="N1925">
        <v>151</v>
      </c>
    </row>
    <row r="1926" spans="1:14" x14ac:dyDescent="0.35">
      <c r="A1926" t="s">
        <v>2009</v>
      </c>
      <c r="B1926" t="s">
        <v>15</v>
      </c>
      <c r="C1926" t="s">
        <v>16</v>
      </c>
      <c r="D1926">
        <v>158</v>
      </c>
      <c r="E1926" t="s">
        <v>1980</v>
      </c>
      <c r="F1926">
        <v>5419</v>
      </c>
      <c r="G1926" t="s">
        <v>18</v>
      </c>
      <c r="H1926">
        <v>27</v>
      </c>
      <c r="I1926" t="s">
        <v>19</v>
      </c>
      <c r="J1926">
        <v>2016</v>
      </c>
      <c r="K1926">
        <v>2016</v>
      </c>
      <c r="L1926" t="s">
        <v>20</v>
      </c>
      <c r="M1926">
        <v>26372</v>
      </c>
      <c r="N1926">
        <v>151</v>
      </c>
    </row>
    <row r="1927" spans="1:14" x14ac:dyDescent="0.35">
      <c r="A1927" t="s">
        <v>2010</v>
      </c>
      <c r="B1927" t="s">
        <v>15</v>
      </c>
      <c r="C1927" t="s">
        <v>16</v>
      </c>
      <c r="D1927">
        <v>159</v>
      </c>
      <c r="E1927" t="s">
        <v>2011</v>
      </c>
      <c r="F1927">
        <v>5419</v>
      </c>
      <c r="G1927" t="s">
        <v>18</v>
      </c>
      <c r="H1927">
        <v>27</v>
      </c>
      <c r="I1927" t="s">
        <v>19</v>
      </c>
      <c r="J1927">
        <v>1985</v>
      </c>
      <c r="K1927">
        <v>1985</v>
      </c>
      <c r="L1927" t="s">
        <v>20</v>
      </c>
      <c r="M1927">
        <v>21343</v>
      </c>
      <c r="N1927">
        <v>1150</v>
      </c>
    </row>
    <row r="1928" spans="1:14" x14ac:dyDescent="0.35">
      <c r="A1928" t="s">
        <v>2012</v>
      </c>
      <c r="B1928" t="s">
        <v>15</v>
      </c>
      <c r="C1928" t="s">
        <v>16</v>
      </c>
      <c r="D1928">
        <v>159</v>
      </c>
      <c r="E1928" t="s">
        <v>2011</v>
      </c>
      <c r="F1928">
        <v>5419</v>
      </c>
      <c r="G1928" t="s">
        <v>18</v>
      </c>
      <c r="H1928">
        <v>27</v>
      </c>
      <c r="I1928" t="s">
        <v>19</v>
      </c>
      <c r="J1928">
        <v>1986</v>
      </c>
      <c r="K1928">
        <v>1986</v>
      </c>
      <c r="L1928" t="s">
        <v>20</v>
      </c>
      <c r="M1928">
        <v>20233</v>
      </c>
      <c r="N1928">
        <v>1150</v>
      </c>
    </row>
    <row r="1929" spans="1:14" x14ac:dyDescent="0.35">
      <c r="A1929" t="s">
        <v>2013</v>
      </c>
      <c r="B1929" t="s">
        <v>15</v>
      </c>
      <c r="C1929" t="s">
        <v>16</v>
      </c>
      <c r="D1929">
        <v>159</v>
      </c>
      <c r="E1929" t="s">
        <v>2011</v>
      </c>
      <c r="F1929">
        <v>5419</v>
      </c>
      <c r="G1929" t="s">
        <v>18</v>
      </c>
      <c r="H1929">
        <v>27</v>
      </c>
      <c r="I1929" t="s">
        <v>19</v>
      </c>
      <c r="J1929">
        <v>1987</v>
      </c>
      <c r="K1929">
        <v>1987</v>
      </c>
      <c r="L1929" t="s">
        <v>20</v>
      </c>
      <c r="M1929">
        <v>23893</v>
      </c>
      <c r="N1929">
        <v>1150</v>
      </c>
    </row>
    <row r="1930" spans="1:14" x14ac:dyDescent="0.35">
      <c r="A1930" t="s">
        <v>2014</v>
      </c>
      <c r="B1930" t="s">
        <v>15</v>
      </c>
      <c r="C1930" t="s">
        <v>16</v>
      </c>
      <c r="D1930">
        <v>159</v>
      </c>
      <c r="E1930" t="s">
        <v>2011</v>
      </c>
      <c r="F1930">
        <v>5419</v>
      </c>
      <c r="G1930" t="s">
        <v>18</v>
      </c>
      <c r="H1930">
        <v>27</v>
      </c>
      <c r="I1930" t="s">
        <v>19</v>
      </c>
      <c r="J1930">
        <v>1989</v>
      </c>
      <c r="K1930">
        <v>1989</v>
      </c>
      <c r="L1930" t="s">
        <v>20</v>
      </c>
      <c r="M1930">
        <v>19994</v>
      </c>
      <c r="N1930">
        <v>1150</v>
      </c>
    </row>
    <row r="1931" spans="1:14" x14ac:dyDescent="0.35">
      <c r="A1931" t="s">
        <v>2015</v>
      </c>
      <c r="B1931" t="s">
        <v>15</v>
      </c>
      <c r="C1931" t="s">
        <v>16</v>
      </c>
      <c r="D1931">
        <v>159</v>
      </c>
      <c r="E1931" t="s">
        <v>2011</v>
      </c>
      <c r="F1931">
        <v>5419</v>
      </c>
      <c r="G1931" t="s">
        <v>18</v>
      </c>
      <c r="H1931">
        <v>27</v>
      </c>
      <c r="I1931" t="s">
        <v>19</v>
      </c>
      <c r="J1931">
        <v>1990</v>
      </c>
      <c r="K1931">
        <v>1990</v>
      </c>
      <c r="L1931" t="s">
        <v>20</v>
      </c>
      <c r="M1931">
        <v>20695</v>
      </c>
      <c r="N1931">
        <v>1150</v>
      </c>
    </row>
    <row r="1932" spans="1:14" x14ac:dyDescent="0.35">
      <c r="A1932" t="s">
        <v>2016</v>
      </c>
      <c r="B1932" t="s">
        <v>15</v>
      </c>
      <c r="C1932" t="s">
        <v>16</v>
      </c>
      <c r="D1932">
        <v>159</v>
      </c>
      <c r="E1932" t="s">
        <v>2011</v>
      </c>
      <c r="F1932">
        <v>5419</v>
      </c>
      <c r="G1932" t="s">
        <v>18</v>
      </c>
      <c r="H1932">
        <v>27</v>
      </c>
      <c r="I1932" t="s">
        <v>19</v>
      </c>
      <c r="J1932">
        <v>1991</v>
      </c>
      <c r="K1932">
        <v>1991</v>
      </c>
      <c r="L1932" t="s">
        <v>20</v>
      </c>
      <c r="M1932">
        <v>19528</v>
      </c>
      <c r="N1932">
        <v>1150</v>
      </c>
    </row>
    <row r="1933" spans="1:14" x14ac:dyDescent="0.35">
      <c r="A1933" t="s">
        <v>2017</v>
      </c>
      <c r="B1933" t="s">
        <v>15</v>
      </c>
      <c r="C1933" t="s">
        <v>16</v>
      </c>
      <c r="D1933">
        <v>159</v>
      </c>
      <c r="E1933" t="s">
        <v>2011</v>
      </c>
      <c r="F1933">
        <v>5419</v>
      </c>
      <c r="G1933" t="s">
        <v>18</v>
      </c>
      <c r="H1933">
        <v>27</v>
      </c>
      <c r="I1933" t="s">
        <v>19</v>
      </c>
      <c r="J1933">
        <v>1992</v>
      </c>
      <c r="K1933">
        <v>1992</v>
      </c>
      <c r="L1933" t="s">
        <v>20</v>
      </c>
      <c r="M1933">
        <v>19591</v>
      </c>
      <c r="N1933">
        <v>1150</v>
      </c>
    </row>
    <row r="1934" spans="1:14" x14ac:dyDescent="0.35">
      <c r="A1934" t="s">
        <v>2018</v>
      </c>
      <c r="B1934" t="s">
        <v>15</v>
      </c>
      <c r="C1934" t="s">
        <v>16</v>
      </c>
      <c r="D1934">
        <v>159</v>
      </c>
      <c r="E1934" t="s">
        <v>2011</v>
      </c>
      <c r="F1934">
        <v>5419</v>
      </c>
      <c r="G1934" t="s">
        <v>18</v>
      </c>
      <c r="H1934">
        <v>27</v>
      </c>
      <c r="I1934" t="s">
        <v>19</v>
      </c>
      <c r="J1934">
        <v>1993</v>
      </c>
      <c r="K1934">
        <v>1993</v>
      </c>
      <c r="L1934" t="s">
        <v>20</v>
      </c>
      <c r="M1934">
        <v>19597</v>
      </c>
      <c r="N1934">
        <v>1150</v>
      </c>
    </row>
    <row r="1935" spans="1:14" x14ac:dyDescent="0.35">
      <c r="A1935" t="s">
        <v>2019</v>
      </c>
      <c r="B1935" t="s">
        <v>15</v>
      </c>
      <c r="C1935" t="s">
        <v>16</v>
      </c>
      <c r="D1935">
        <v>159</v>
      </c>
      <c r="E1935" t="s">
        <v>2011</v>
      </c>
      <c r="F1935">
        <v>5419</v>
      </c>
      <c r="G1935" t="s">
        <v>18</v>
      </c>
      <c r="H1935">
        <v>27</v>
      </c>
      <c r="I1935" t="s">
        <v>19</v>
      </c>
      <c r="J1935">
        <v>1994</v>
      </c>
      <c r="K1935">
        <v>1994</v>
      </c>
      <c r="L1935" t="s">
        <v>20</v>
      </c>
      <c r="M1935">
        <v>14160</v>
      </c>
      <c r="N1935">
        <v>1150</v>
      </c>
    </row>
    <row r="1936" spans="1:14" x14ac:dyDescent="0.35">
      <c r="A1936" t="s">
        <v>2020</v>
      </c>
      <c r="B1936" t="s">
        <v>15</v>
      </c>
      <c r="C1936" t="s">
        <v>16</v>
      </c>
      <c r="D1936">
        <v>159</v>
      </c>
      <c r="E1936" t="s">
        <v>2011</v>
      </c>
      <c r="F1936">
        <v>5419</v>
      </c>
      <c r="G1936" t="s">
        <v>18</v>
      </c>
      <c r="H1936">
        <v>27</v>
      </c>
      <c r="I1936" t="s">
        <v>19</v>
      </c>
      <c r="J1936">
        <v>1995</v>
      </c>
      <c r="K1936">
        <v>1995</v>
      </c>
      <c r="L1936" t="s">
        <v>20</v>
      </c>
      <c r="M1936">
        <v>16258</v>
      </c>
      <c r="N1936">
        <v>1150</v>
      </c>
    </row>
    <row r="1937" spans="1:14" x14ac:dyDescent="0.35">
      <c r="A1937" t="s">
        <v>2021</v>
      </c>
      <c r="B1937" t="s">
        <v>15</v>
      </c>
      <c r="C1937" t="s">
        <v>16</v>
      </c>
      <c r="D1937">
        <v>159</v>
      </c>
      <c r="E1937" t="s">
        <v>2011</v>
      </c>
      <c r="F1937">
        <v>5419</v>
      </c>
      <c r="G1937" t="s">
        <v>18</v>
      </c>
      <c r="H1937">
        <v>27</v>
      </c>
      <c r="I1937" t="s">
        <v>19</v>
      </c>
      <c r="J1937">
        <v>1996</v>
      </c>
      <c r="K1937">
        <v>1996</v>
      </c>
      <c r="L1937" t="s">
        <v>20</v>
      </c>
      <c r="M1937">
        <v>17498</v>
      </c>
      <c r="N1937">
        <v>1150</v>
      </c>
    </row>
    <row r="1938" spans="1:14" x14ac:dyDescent="0.35">
      <c r="A1938" t="s">
        <v>2022</v>
      </c>
      <c r="B1938" t="s">
        <v>15</v>
      </c>
      <c r="C1938" t="s">
        <v>16</v>
      </c>
      <c r="D1938">
        <v>159</v>
      </c>
      <c r="E1938" t="s">
        <v>2011</v>
      </c>
      <c r="F1938">
        <v>5419</v>
      </c>
      <c r="G1938" t="s">
        <v>18</v>
      </c>
      <c r="H1938">
        <v>27</v>
      </c>
      <c r="I1938" t="s">
        <v>19</v>
      </c>
      <c r="J1938">
        <v>1997</v>
      </c>
      <c r="K1938">
        <v>1997</v>
      </c>
      <c r="L1938" t="s">
        <v>20</v>
      </c>
      <c r="M1938">
        <v>15957</v>
      </c>
      <c r="N1938">
        <v>1150</v>
      </c>
    </row>
    <row r="1939" spans="1:14" x14ac:dyDescent="0.35">
      <c r="A1939" t="s">
        <v>2023</v>
      </c>
      <c r="B1939" t="s">
        <v>15</v>
      </c>
      <c r="C1939" t="s">
        <v>16</v>
      </c>
      <c r="D1939">
        <v>159</v>
      </c>
      <c r="E1939" t="s">
        <v>2011</v>
      </c>
      <c r="F1939">
        <v>5419</v>
      </c>
      <c r="G1939" t="s">
        <v>18</v>
      </c>
      <c r="H1939">
        <v>27</v>
      </c>
      <c r="I1939" t="s">
        <v>19</v>
      </c>
      <c r="J1939">
        <v>1998</v>
      </c>
      <c r="K1939">
        <v>1998</v>
      </c>
      <c r="L1939" t="s">
        <v>20</v>
      </c>
      <c r="M1939">
        <v>16023</v>
      </c>
      <c r="N1939">
        <v>1150</v>
      </c>
    </row>
    <row r="1940" spans="1:14" x14ac:dyDescent="0.35">
      <c r="A1940" t="s">
        <v>2024</v>
      </c>
      <c r="B1940" t="s">
        <v>15</v>
      </c>
      <c r="C1940" t="s">
        <v>16</v>
      </c>
      <c r="D1940">
        <v>159</v>
      </c>
      <c r="E1940" t="s">
        <v>2011</v>
      </c>
      <c r="F1940">
        <v>5419</v>
      </c>
      <c r="G1940" t="s">
        <v>18</v>
      </c>
      <c r="H1940">
        <v>27</v>
      </c>
      <c r="I1940" t="s">
        <v>19</v>
      </c>
      <c r="J1940">
        <v>1999</v>
      </c>
      <c r="K1940">
        <v>1999</v>
      </c>
      <c r="L1940" t="s">
        <v>20</v>
      </c>
      <c r="M1940">
        <v>14957</v>
      </c>
      <c r="N1940">
        <v>1150</v>
      </c>
    </row>
    <row r="1941" spans="1:14" x14ac:dyDescent="0.35">
      <c r="A1941" t="s">
        <v>2025</v>
      </c>
      <c r="B1941" t="s">
        <v>15</v>
      </c>
      <c r="C1941" t="s">
        <v>16</v>
      </c>
      <c r="D1941">
        <v>159</v>
      </c>
      <c r="E1941" t="s">
        <v>2011</v>
      </c>
      <c r="F1941">
        <v>5419</v>
      </c>
      <c r="G1941" t="s">
        <v>18</v>
      </c>
      <c r="H1941">
        <v>27</v>
      </c>
      <c r="I1941" t="s">
        <v>19</v>
      </c>
      <c r="J1941">
        <v>2000</v>
      </c>
      <c r="K1941">
        <v>2000</v>
      </c>
      <c r="L1941" t="s">
        <v>20</v>
      </c>
      <c r="M1941">
        <v>14998</v>
      </c>
      <c r="N1941">
        <v>1150</v>
      </c>
    </row>
    <row r="1942" spans="1:14" x14ac:dyDescent="0.35">
      <c r="A1942" t="s">
        <v>2026</v>
      </c>
      <c r="B1942" t="s">
        <v>15</v>
      </c>
      <c r="C1942" t="s">
        <v>16</v>
      </c>
      <c r="D1942">
        <v>159</v>
      </c>
      <c r="E1942" t="s">
        <v>2011</v>
      </c>
      <c r="F1942">
        <v>5419</v>
      </c>
      <c r="G1942" t="s">
        <v>18</v>
      </c>
      <c r="H1942">
        <v>27</v>
      </c>
      <c r="I1942" t="s">
        <v>19</v>
      </c>
      <c r="J1942">
        <v>2001</v>
      </c>
      <c r="K1942">
        <v>2001</v>
      </c>
      <c r="L1942" t="s">
        <v>20</v>
      </c>
      <c r="M1942">
        <v>13000</v>
      </c>
      <c r="N1942">
        <v>1150</v>
      </c>
    </row>
    <row r="1943" spans="1:14" x14ac:dyDescent="0.35">
      <c r="A1943" t="s">
        <v>2027</v>
      </c>
      <c r="B1943" t="s">
        <v>15</v>
      </c>
      <c r="C1943" t="s">
        <v>16</v>
      </c>
      <c r="D1943">
        <v>159</v>
      </c>
      <c r="E1943" t="s">
        <v>2011</v>
      </c>
      <c r="F1943">
        <v>5419</v>
      </c>
      <c r="G1943" t="s">
        <v>18</v>
      </c>
      <c r="H1943">
        <v>27</v>
      </c>
      <c r="I1943" t="s">
        <v>19</v>
      </c>
      <c r="J1943">
        <v>2002</v>
      </c>
      <c r="K1943">
        <v>2002</v>
      </c>
      <c r="L1943" t="s">
        <v>20</v>
      </c>
      <c r="M1943">
        <v>13400</v>
      </c>
      <c r="N1943">
        <v>1150</v>
      </c>
    </row>
    <row r="1944" spans="1:14" x14ac:dyDescent="0.35">
      <c r="A1944" t="s">
        <v>2028</v>
      </c>
      <c r="B1944" t="s">
        <v>15</v>
      </c>
      <c r="C1944" t="s">
        <v>16</v>
      </c>
      <c r="D1944">
        <v>159</v>
      </c>
      <c r="E1944" t="s">
        <v>2011</v>
      </c>
      <c r="F1944">
        <v>5419</v>
      </c>
      <c r="G1944" t="s">
        <v>18</v>
      </c>
      <c r="H1944">
        <v>27</v>
      </c>
      <c r="I1944" t="s">
        <v>19</v>
      </c>
      <c r="J1944">
        <v>2004</v>
      </c>
      <c r="K1944">
        <v>2004</v>
      </c>
      <c r="L1944" t="s">
        <v>20</v>
      </c>
      <c r="M1944">
        <v>14199</v>
      </c>
      <c r="N1944">
        <v>1150</v>
      </c>
    </row>
    <row r="1945" spans="1:14" x14ac:dyDescent="0.35">
      <c r="A1945" t="s">
        <v>2029</v>
      </c>
      <c r="B1945" t="s">
        <v>15</v>
      </c>
      <c r="C1945" t="s">
        <v>16</v>
      </c>
      <c r="D1945">
        <v>159</v>
      </c>
      <c r="E1945" t="s">
        <v>2011</v>
      </c>
      <c r="F1945">
        <v>5419</v>
      </c>
      <c r="G1945" t="s">
        <v>18</v>
      </c>
      <c r="H1945">
        <v>27</v>
      </c>
      <c r="I1945" t="s">
        <v>19</v>
      </c>
      <c r="J1945">
        <v>2005</v>
      </c>
      <c r="K1945">
        <v>2005</v>
      </c>
      <c r="L1945" t="s">
        <v>20</v>
      </c>
      <c r="M1945">
        <v>14302</v>
      </c>
      <c r="N1945">
        <v>1150</v>
      </c>
    </row>
    <row r="1946" spans="1:14" x14ac:dyDescent="0.35">
      <c r="A1946" t="s">
        <v>2030</v>
      </c>
      <c r="B1946" t="s">
        <v>15</v>
      </c>
      <c r="C1946" t="s">
        <v>16</v>
      </c>
      <c r="D1946">
        <v>159</v>
      </c>
      <c r="E1946" t="s">
        <v>2011</v>
      </c>
      <c r="F1946">
        <v>5419</v>
      </c>
      <c r="G1946" t="s">
        <v>18</v>
      </c>
      <c r="H1946">
        <v>27</v>
      </c>
      <c r="I1946" t="s">
        <v>19</v>
      </c>
      <c r="J1946">
        <v>2006</v>
      </c>
      <c r="K1946">
        <v>2006</v>
      </c>
      <c r="L1946" t="s">
        <v>20</v>
      </c>
      <c r="M1946">
        <v>14833</v>
      </c>
      <c r="N1946">
        <v>1150</v>
      </c>
    </row>
    <row r="1947" spans="1:14" x14ac:dyDescent="0.35">
      <c r="A1947" t="s">
        <v>2031</v>
      </c>
      <c r="B1947" t="s">
        <v>15</v>
      </c>
      <c r="C1947" t="s">
        <v>16</v>
      </c>
      <c r="D1947">
        <v>159</v>
      </c>
      <c r="E1947" t="s">
        <v>2011</v>
      </c>
      <c r="F1947">
        <v>5419</v>
      </c>
      <c r="G1947" t="s">
        <v>18</v>
      </c>
      <c r="H1947">
        <v>27</v>
      </c>
      <c r="I1947" t="s">
        <v>19</v>
      </c>
      <c r="J1947">
        <v>2007</v>
      </c>
      <c r="K1947">
        <v>2007</v>
      </c>
      <c r="L1947" t="s">
        <v>20</v>
      </c>
      <c r="M1947">
        <v>12999</v>
      </c>
      <c r="N1947">
        <v>1150</v>
      </c>
    </row>
    <row r="1948" spans="1:14" x14ac:dyDescent="0.35">
      <c r="A1948" t="s">
        <v>2032</v>
      </c>
      <c r="B1948" t="s">
        <v>15</v>
      </c>
      <c r="C1948" t="s">
        <v>16</v>
      </c>
      <c r="D1948">
        <v>159</v>
      </c>
      <c r="E1948" t="s">
        <v>2011</v>
      </c>
      <c r="F1948">
        <v>5419</v>
      </c>
      <c r="G1948" t="s">
        <v>18</v>
      </c>
      <c r="H1948">
        <v>27</v>
      </c>
      <c r="I1948" t="s">
        <v>19</v>
      </c>
      <c r="J1948">
        <v>2008</v>
      </c>
      <c r="K1948">
        <v>2008</v>
      </c>
      <c r="L1948" t="s">
        <v>20</v>
      </c>
      <c r="M1948">
        <v>17544</v>
      </c>
      <c r="N1948">
        <v>1150</v>
      </c>
    </row>
    <row r="1949" spans="1:14" x14ac:dyDescent="0.35">
      <c r="A1949" t="s">
        <v>2033</v>
      </c>
      <c r="B1949" t="s">
        <v>15</v>
      </c>
      <c r="C1949" t="s">
        <v>16</v>
      </c>
      <c r="D1949">
        <v>159</v>
      </c>
      <c r="E1949" t="s">
        <v>2011</v>
      </c>
      <c r="F1949">
        <v>5419</v>
      </c>
      <c r="G1949" t="s">
        <v>18</v>
      </c>
      <c r="H1949">
        <v>27</v>
      </c>
      <c r="I1949" t="s">
        <v>19</v>
      </c>
      <c r="J1949">
        <v>2009</v>
      </c>
      <c r="K1949">
        <v>2009</v>
      </c>
      <c r="L1949" t="s">
        <v>20</v>
      </c>
      <c r="M1949">
        <v>19306</v>
      </c>
      <c r="N1949">
        <v>1150</v>
      </c>
    </row>
    <row r="1950" spans="1:14" x14ac:dyDescent="0.35">
      <c r="A1950" t="s">
        <v>2034</v>
      </c>
      <c r="B1950" t="s">
        <v>15</v>
      </c>
      <c r="C1950" t="s">
        <v>16</v>
      </c>
      <c r="D1950">
        <v>159</v>
      </c>
      <c r="E1950" t="s">
        <v>2011</v>
      </c>
      <c r="F1950">
        <v>5419</v>
      </c>
      <c r="G1950" t="s">
        <v>18</v>
      </c>
      <c r="H1950">
        <v>27</v>
      </c>
      <c r="I1950" t="s">
        <v>19</v>
      </c>
      <c r="J1950">
        <v>2010</v>
      </c>
      <c r="K1950">
        <v>2010</v>
      </c>
      <c r="L1950" t="s">
        <v>20</v>
      </c>
      <c r="M1950">
        <v>18386</v>
      </c>
      <c r="N1950">
        <v>1150</v>
      </c>
    </row>
    <row r="1951" spans="1:14" x14ac:dyDescent="0.35">
      <c r="A1951" t="s">
        <v>2035</v>
      </c>
      <c r="B1951" t="s">
        <v>15</v>
      </c>
      <c r="C1951" t="s">
        <v>16</v>
      </c>
      <c r="D1951">
        <v>159</v>
      </c>
      <c r="E1951" t="s">
        <v>2011</v>
      </c>
      <c r="F1951">
        <v>5419</v>
      </c>
      <c r="G1951" t="s">
        <v>18</v>
      </c>
      <c r="H1951">
        <v>27</v>
      </c>
      <c r="I1951" t="s">
        <v>19</v>
      </c>
      <c r="J1951">
        <v>2011</v>
      </c>
      <c r="K1951">
        <v>2011</v>
      </c>
      <c r="L1951" t="s">
        <v>20</v>
      </c>
      <c r="M1951">
        <v>20325</v>
      </c>
      <c r="N1951">
        <v>1150</v>
      </c>
    </row>
    <row r="1952" spans="1:14" x14ac:dyDescent="0.35">
      <c r="A1952" t="s">
        <v>2036</v>
      </c>
      <c r="B1952" t="s">
        <v>15</v>
      </c>
      <c r="C1952" t="s">
        <v>16</v>
      </c>
      <c r="D1952">
        <v>159</v>
      </c>
      <c r="E1952" t="s">
        <v>2011</v>
      </c>
      <c r="F1952">
        <v>5419</v>
      </c>
      <c r="G1952" t="s">
        <v>18</v>
      </c>
      <c r="H1952">
        <v>27</v>
      </c>
      <c r="I1952" t="s">
        <v>19</v>
      </c>
      <c r="J1952">
        <v>2012</v>
      </c>
      <c r="K1952">
        <v>2012</v>
      </c>
      <c r="L1952" t="s">
        <v>20</v>
      </c>
      <c r="M1952">
        <v>18971</v>
      </c>
      <c r="N1952">
        <v>1150</v>
      </c>
    </row>
    <row r="1953" spans="1:14" x14ac:dyDescent="0.35">
      <c r="A1953" t="s">
        <v>2037</v>
      </c>
      <c r="B1953" t="s">
        <v>15</v>
      </c>
      <c r="C1953" t="s">
        <v>16</v>
      </c>
      <c r="D1953">
        <v>159</v>
      </c>
      <c r="E1953" t="s">
        <v>2011</v>
      </c>
      <c r="F1953">
        <v>5419</v>
      </c>
      <c r="G1953" t="s">
        <v>18</v>
      </c>
      <c r="H1953">
        <v>27</v>
      </c>
      <c r="I1953" t="s">
        <v>19</v>
      </c>
      <c r="J1953">
        <v>2013</v>
      </c>
      <c r="K1953">
        <v>2013</v>
      </c>
      <c r="L1953" t="s">
        <v>20</v>
      </c>
      <c r="M1953">
        <v>16454</v>
      </c>
      <c r="N1953">
        <v>1150</v>
      </c>
    </row>
    <row r="1954" spans="1:14" x14ac:dyDescent="0.35">
      <c r="A1954" t="s">
        <v>2038</v>
      </c>
      <c r="B1954" t="s">
        <v>15</v>
      </c>
      <c r="C1954" t="s">
        <v>16</v>
      </c>
      <c r="D1954">
        <v>159</v>
      </c>
      <c r="E1954" t="s">
        <v>2011</v>
      </c>
      <c r="F1954">
        <v>5419</v>
      </c>
      <c r="G1954" t="s">
        <v>18</v>
      </c>
      <c r="H1954">
        <v>27</v>
      </c>
      <c r="I1954" t="s">
        <v>19</v>
      </c>
      <c r="J1954">
        <v>2014</v>
      </c>
      <c r="K1954">
        <v>2014</v>
      </c>
      <c r="L1954" t="s">
        <v>20</v>
      </c>
      <c r="M1954">
        <v>19478</v>
      </c>
      <c r="N1954">
        <v>1150</v>
      </c>
    </row>
    <row r="1955" spans="1:14" x14ac:dyDescent="0.35">
      <c r="A1955" t="s">
        <v>2039</v>
      </c>
      <c r="B1955" t="s">
        <v>15</v>
      </c>
      <c r="C1955" t="s">
        <v>16</v>
      </c>
      <c r="D1955">
        <v>159</v>
      </c>
      <c r="E1955" t="s">
        <v>2011</v>
      </c>
      <c r="F1955">
        <v>5419</v>
      </c>
      <c r="G1955" t="s">
        <v>18</v>
      </c>
      <c r="H1955">
        <v>27</v>
      </c>
      <c r="I1955" t="s">
        <v>19</v>
      </c>
      <c r="J1955">
        <v>2015</v>
      </c>
      <c r="K1955">
        <v>2015</v>
      </c>
      <c r="L1955" t="s">
        <v>20</v>
      </c>
      <c r="M1955">
        <v>20042</v>
      </c>
      <c r="N1955">
        <v>1150</v>
      </c>
    </row>
    <row r="1956" spans="1:14" x14ac:dyDescent="0.35">
      <c r="A1956" t="s">
        <v>2040</v>
      </c>
      <c r="B1956" t="s">
        <v>15</v>
      </c>
      <c r="C1956" t="s">
        <v>16</v>
      </c>
      <c r="D1956">
        <v>159</v>
      </c>
      <c r="E1956" t="s">
        <v>2011</v>
      </c>
      <c r="F1956">
        <v>5419</v>
      </c>
      <c r="G1956" t="s">
        <v>18</v>
      </c>
      <c r="H1956">
        <v>27</v>
      </c>
      <c r="I1956" t="s">
        <v>19</v>
      </c>
      <c r="J1956">
        <v>2016</v>
      </c>
      <c r="K1956">
        <v>2016</v>
      </c>
      <c r="L1956" t="s">
        <v>20</v>
      </c>
      <c r="M1956">
        <v>20265</v>
      </c>
      <c r="N1956">
        <v>1150</v>
      </c>
    </row>
    <row r="1957" spans="1:14" x14ac:dyDescent="0.35">
      <c r="A1957" t="s">
        <v>2041</v>
      </c>
      <c r="B1957" t="s">
        <v>15</v>
      </c>
      <c r="C1957" t="s">
        <v>16</v>
      </c>
      <c r="D1957">
        <v>165</v>
      </c>
      <c r="E1957" t="s">
        <v>2042</v>
      </c>
      <c r="F1957">
        <v>5419</v>
      </c>
      <c r="G1957" t="s">
        <v>18</v>
      </c>
      <c r="H1957">
        <v>27</v>
      </c>
      <c r="I1957" t="s">
        <v>19</v>
      </c>
      <c r="J1957">
        <v>1985</v>
      </c>
      <c r="K1957">
        <v>1985</v>
      </c>
      <c r="L1957" t="s">
        <v>20</v>
      </c>
      <c r="M1957">
        <v>23499</v>
      </c>
      <c r="N1957">
        <v>494</v>
      </c>
    </row>
    <row r="1958" spans="1:14" x14ac:dyDescent="0.35">
      <c r="A1958" t="s">
        <v>2043</v>
      </c>
      <c r="B1958" t="s">
        <v>15</v>
      </c>
      <c r="C1958" t="s">
        <v>16</v>
      </c>
      <c r="D1958">
        <v>165</v>
      </c>
      <c r="E1958" t="s">
        <v>2042</v>
      </c>
      <c r="F1958">
        <v>5419</v>
      </c>
      <c r="G1958" t="s">
        <v>18</v>
      </c>
      <c r="H1958">
        <v>27</v>
      </c>
      <c r="I1958" t="s">
        <v>19</v>
      </c>
      <c r="J1958">
        <v>1986</v>
      </c>
      <c r="K1958">
        <v>1986</v>
      </c>
      <c r="L1958" t="s">
        <v>20</v>
      </c>
      <c r="M1958">
        <v>25320</v>
      </c>
      <c r="N1958">
        <v>494</v>
      </c>
    </row>
    <row r="1959" spans="1:14" x14ac:dyDescent="0.35">
      <c r="A1959" t="s">
        <v>2044</v>
      </c>
      <c r="B1959" t="s">
        <v>15</v>
      </c>
      <c r="C1959" t="s">
        <v>16</v>
      </c>
      <c r="D1959">
        <v>165</v>
      </c>
      <c r="E1959" t="s">
        <v>2042</v>
      </c>
      <c r="F1959">
        <v>5419</v>
      </c>
      <c r="G1959" t="s">
        <v>18</v>
      </c>
      <c r="H1959">
        <v>27</v>
      </c>
      <c r="I1959" t="s">
        <v>19</v>
      </c>
      <c r="J1959">
        <v>1987</v>
      </c>
      <c r="K1959">
        <v>1987</v>
      </c>
      <c r="L1959" t="s">
        <v>20</v>
      </c>
      <c r="M1959">
        <v>24765</v>
      </c>
      <c r="N1959">
        <v>494</v>
      </c>
    </row>
    <row r="1960" spans="1:14" x14ac:dyDescent="0.35">
      <c r="A1960" t="s">
        <v>2045</v>
      </c>
      <c r="B1960" t="s">
        <v>15</v>
      </c>
      <c r="C1960" t="s">
        <v>16</v>
      </c>
      <c r="D1960">
        <v>165</v>
      </c>
      <c r="E1960" t="s">
        <v>2042</v>
      </c>
      <c r="F1960">
        <v>5419</v>
      </c>
      <c r="G1960" t="s">
        <v>18</v>
      </c>
      <c r="H1960">
        <v>27</v>
      </c>
      <c r="I1960" t="s">
        <v>19</v>
      </c>
      <c r="J1960">
        <v>1989</v>
      </c>
      <c r="K1960">
        <v>1989</v>
      </c>
      <c r="L1960" t="s">
        <v>20</v>
      </c>
      <c r="M1960">
        <v>22925</v>
      </c>
      <c r="N1960">
        <v>494</v>
      </c>
    </row>
    <row r="1961" spans="1:14" x14ac:dyDescent="0.35">
      <c r="A1961" t="s">
        <v>2046</v>
      </c>
      <c r="B1961" t="s">
        <v>15</v>
      </c>
      <c r="C1961" t="s">
        <v>16</v>
      </c>
      <c r="D1961">
        <v>165</v>
      </c>
      <c r="E1961" t="s">
        <v>2042</v>
      </c>
      <c r="F1961">
        <v>5419</v>
      </c>
      <c r="G1961" t="s">
        <v>18</v>
      </c>
      <c r="H1961">
        <v>27</v>
      </c>
      <c r="I1961" t="s">
        <v>19</v>
      </c>
      <c r="J1961">
        <v>1990</v>
      </c>
      <c r="K1961">
        <v>1990</v>
      </c>
      <c r="L1961" t="s">
        <v>20</v>
      </c>
      <c r="M1961">
        <v>23151</v>
      </c>
      <c r="N1961">
        <v>494</v>
      </c>
    </row>
    <row r="1962" spans="1:14" x14ac:dyDescent="0.35">
      <c r="A1962" t="s">
        <v>2047</v>
      </c>
      <c r="B1962" t="s">
        <v>15</v>
      </c>
      <c r="C1962" t="s">
        <v>16</v>
      </c>
      <c r="D1962">
        <v>165</v>
      </c>
      <c r="E1962" t="s">
        <v>2042</v>
      </c>
      <c r="F1962">
        <v>5419</v>
      </c>
      <c r="G1962" t="s">
        <v>18</v>
      </c>
      <c r="H1962">
        <v>27</v>
      </c>
      <c r="I1962" t="s">
        <v>19</v>
      </c>
      <c r="J1962">
        <v>1991</v>
      </c>
      <c r="K1962">
        <v>1991</v>
      </c>
      <c r="L1962" t="s">
        <v>20</v>
      </c>
      <c r="M1962">
        <v>23199</v>
      </c>
      <c r="N1962">
        <v>494</v>
      </c>
    </row>
    <row r="1963" spans="1:14" x14ac:dyDescent="0.35">
      <c r="A1963" t="s">
        <v>2048</v>
      </c>
      <c r="B1963" t="s">
        <v>15</v>
      </c>
      <c r="C1963" t="s">
        <v>16</v>
      </c>
      <c r="D1963">
        <v>165</v>
      </c>
      <c r="E1963" t="s">
        <v>2042</v>
      </c>
      <c r="F1963">
        <v>5419</v>
      </c>
      <c r="G1963" t="s">
        <v>18</v>
      </c>
      <c r="H1963">
        <v>27</v>
      </c>
      <c r="I1963" t="s">
        <v>19</v>
      </c>
      <c r="J1963">
        <v>1992</v>
      </c>
      <c r="K1963">
        <v>1992</v>
      </c>
      <c r="L1963" t="s">
        <v>20</v>
      </c>
      <c r="M1963">
        <v>23686</v>
      </c>
      <c r="N1963">
        <v>494</v>
      </c>
    </row>
    <row r="1964" spans="1:14" x14ac:dyDescent="0.35">
      <c r="A1964" t="s">
        <v>2049</v>
      </c>
      <c r="B1964" t="s">
        <v>15</v>
      </c>
      <c r="C1964" t="s">
        <v>16</v>
      </c>
      <c r="D1964">
        <v>165</v>
      </c>
      <c r="E1964" t="s">
        <v>2042</v>
      </c>
      <c r="F1964">
        <v>5419</v>
      </c>
      <c r="G1964" t="s">
        <v>18</v>
      </c>
      <c r="H1964">
        <v>27</v>
      </c>
      <c r="I1964" t="s">
        <v>19</v>
      </c>
      <c r="J1964">
        <v>1993</v>
      </c>
      <c r="K1964">
        <v>1993</v>
      </c>
      <c r="L1964" t="s">
        <v>20</v>
      </c>
      <c r="M1964">
        <v>27397</v>
      </c>
      <c r="N1964">
        <v>494</v>
      </c>
    </row>
    <row r="1965" spans="1:14" x14ac:dyDescent="0.35">
      <c r="A1965" t="s">
        <v>2050</v>
      </c>
      <c r="B1965" t="s">
        <v>15</v>
      </c>
      <c r="C1965" t="s">
        <v>16</v>
      </c>
      <c r="D1965">
        <v>165</v>
      </c>
      <c r="E1965" t="s">
        <v>2042</v>
      </c>
      <c r="F1965">
        <v>5419</v>
      </c>
      <c r="G1965" t="s">
        <v>18</v>
      </c>
      <c r="H1965">
        <v>27</v>
      </c>
      <c r="I1965" t="s">
        <v>19</v>
      </c>
      <c r="J1965">
        <v>1994</v>
      </c>
      <c r="K1965">
        <v>1994</v>
      </c>
      <c r="L1965" t="s">
        <v>20</v>
      </c>
      <c r="M1965">
        <v>24333</v>
      </c>
      <c r="N1965">
        <v>494</v>
      </c>
    </row>
    <row r="1966" spans="1:14" x14ac:dyDescent="0.35">
      <c r="A1966" t="s">
        <v>2051</v>
      </c>
      <c r="B1966" t="s">
        <v>15</v>
      </c>
      <c r="C1966" t="s">
        <v>16</v>
      </c>
      <c r="D1966">
        <v>165</v>
      </c>
      <c r="E1966" t="s">
        <v>2042</v>
      </c>
      <c r="F1966">
        <v>5419</v>
      </c>
      <c r="G1966" t="s">
        <v>18</v>
      </c>
      <c r="H1966">
        <v>27</v>
      </c>
      <c r="I1966" t="s">
        <v>19</v>
      </c>
      <c r="J1966">
        <v>1995</v>
      </c>
      <c r="K1966">
        <v>1995</v>
      </c>
      <c r="L1966" t="s">
        <v>20</v>
      </c>
      <c r="M1966">
        <v>27522</v>
      </c>
      <c r="N1966">
        <v>494</v>
      </c>
    </row>
    <row r="1967" spans="1:14" x14ac:dyDescent="0.35">
      <c r="A1967" t="s">
        <v>2052</v>
      </c>
      <c r="B1967" t="s">
        <v>15</v>
      </c>
      <c r="C1967" t="s">
        <v>16</v>
      </c>
      <c r="D1967">
        <v>165</v>
      </c>
      <c r="E1967" t="s">
        <v>2042</v>
      </c>
      <c r="F1967">
        <v>5419</v>
      </c>
      <c r="G1967" t="s">
        <v>18</v>
      </c>
      <c r="H1967">
        <v>27</v>
      </c>
      <c r="I1967" t="s">
        <v>19</v>
      </c>
      <c r="J1967">
        <v>1996</v>
      </c>
      <c r="K1967">
        <v>1996</v>
      </c>
      <c r="L1967" t="s">
        <v>20</v>
      </c>
      <c r="M1967">
        <v>28685</v>
      </c>
      <c r="N1967">
        <v>494</v>
      </c>
    </row>
    <row r="1968" spans="1:14" x14ac:dyDescent="0.35">
      <c r="A1968" t="s">
        <v>2053</v>
      </c>
      <c r="B1968" t="s">
        <v>15</v>
      </c>
      <c r="C1968" t="s">
        <v>16</v>
      </c>
      <c r="D1968">
        <v>165</v>
      </c>
      <c r="E1968" t="s">
        <v>2042</v>
      </c>
      <c r="F1968">
        <v>5419</v>
      </c>
      <c r="G1968" t="s">
        <v>18</v>
      </c>
      <c r="H1968">
        <v>27</v>
      </c>
      <c r="I1968" t="s">
        <v>19</v>
      </c>
      <c r="J1968">
        <v>1997</v>
      </c>
      <c r="K1968">
        <v>1997</v>
      </c>
      <c r="L1968" t="s">
        <v>20</v>
      </c>
      <c r="M1968">
        <v>28048</v>
      </c>
      <c r="N1968">
        <v>494</v>
      </c>
    </row>
    <row r="1969" spans="1:14" x14ac:dyDescent="0.35">
      <c r="A1969" t="s">
        <v>2054</v>
      </c>
      <c r="B1969" t="s">
        <v>15</v>
      </c>
      <c r="C1969" t="s">
        <v>16</v>
      </c>
      <c r="D1969">
        <v>165</v>
      </c>
      <c r="E1969" t="s">
        <v>2042</v>
      </c>
      <c r="F1969">
        <v>5419</v>
      </c>
      <c r="G1969" t="s">
        <v>18</v>
      </c>
      <c r="H1969">
        <v>27</v>
      </c>
      <c r="I1969" t="s">
        <v>19</v>
      </c>
      <c r="J1969">
        <v>1998</v>
      </c>
      <c r="K1969">
        <v>1998</v>
      </c>
      <c r="L1969" t="s">
        <v>20</v>
      </c>
      <c r="M1969">
        <v>28930</v>
      </c>
      <c r="N1969">
        <v>494</v>
      </c>
    </row>
    <row r="1970" spans="1:14" x14ac:dyDescent="0.35">
      <c r="A1970" t="s">
        <v>2055</v>
      </c>
      <c r="B1970" t="s">
        <v>15</v>
      </c>
      <c r="C1970" t="s">
        <v>16</v>
      </c>
      <c r="D1970">
        <v>165</v>
      </c>
      <c r="E1970" t="s">
        <v>2042</v>
      </c>
      <c r="F1970">
        <v>5419</v>
      </c>
      <c r="G1970" t="s">
        <v>18</v>
      </c>
      <c r="H1970">
        <v>27</v>
      </c>
      <c r="I1970" t="s">
        <v>19</v>
      </c>
      <c r="J1970">
        <v>1999</v>
      </c>
      <c r="K1970">
        <v>1999</v>
      </c>
      <c r="L1970" t="s">
        <v>20</v>
      </c>
      <c r="M1970">
        <v>30744</v>
      </c>
      <c r="N1970">
        <v>494</v>
      </c>
    </row>
    <row r="1971" spans="1:14" x14ac:dyDescent="0.35">
      <c r="A1971" t="s">
        <v>2056</v>
      </c>
      <c r="B1971" t="s">
        <v>15</v>
      </c>
      <c r="C1971" t="s">
        <v>16</v>
      </c>
      <c r="D1971">
        <v>165</v>
      </c>
      <c r="E1971" t="s">
        <v>2042</v>
      </c>
      <c r="F1971">
        <v>5419</v>
      </c>
      <c r="G1971" t="s">
        <v>18</v>
      </c>
      <c r="H1971">
        <v>27</v>
      </c>
      <c r="I1971" t="s">
        <v>19</v>
      </c>
      <c r="J1971">
        <v>2000</v>
      </c>
      <c r="K1971">
        <v>2000</v>
      </c>
      <c r="L1971" t="s">
        <v>20</v>
      </c>
      <c r="M1971">
        <v>30312</v>
      </c>
      <c r="N1971">
        <v>494</v>
      </c>
    </row>
    <row r="1972" spans="1:14" x14ac:dyDescent="0.35">
      <c r="A1972" t="s">
        <v>2057</v>
      </c>
      <c r="B1972" t="s">
        <v>15</v>
      </c>
      <c r="C1972" t="s">
        <v>16</v>
      </c>
      <c r="D1972">
        <v>165</v>
      </c>
      <c r="E1972" t="s">
        <v>2042</v>
      </c>
      <c r="F1972">
        <v>5419</v>
      </c>
      <c r="G1972" t="s">
        <v>18</v>
      </c>
      <c r="H1972">
        <v>27</v>
      </c>
      <c r="I1972" t="s">
        <v>19</v>
      </c>
      <c r="J1972">
        <v>2001</v>
      </c>
      <c r="K1972">
        <v>2001</v>
      </c>
      <c r="L1972" t="s">
        <v>20</v>
      </c>
      <c r="M1972">
        <v>27542</v>
      </c>
      <c r="N1972">
        <v>494</v>
      </c>
    </row>
    <row r="1973" spans="1:14" x14ac:dyDescent="0.35">
      <c r="A1973" t="s">
        <v>2058</v>
      </c>
      <c r="B1973" t="s">
        <v>15</v>
      </c>
      <c r="C1973" t="s">
        <v>16</v>
      </c>
      <c r="D1973">
        <v>165</v>
      </c>
      <c r="E1973" t="s">
        <v>2042</v>
      </c>
      <c r="F1973">
        <v>5419</v>
      </c>
      <c r="G1973" t="s">
        <v>18</v>
      </c>
      <c r="H1973">
        <v>27</v>
      </c>
      <c r="I1973" t="s">
        <v>19</v>
      </c>
      <c r="J1973">
        <v>2002</v>
      </c>
      <c r="K1973">
        <v>2002</v>
      </c>
      <c r="L1973" t="s">
        <v>20</v>
      </c>
      <c r="M1973">
        <v>30192</v>
      </c>
      <c r="N1973">
        <v>494</v>
      </c>
    </row>
    <row r="1974" spans="1:14" x14ac:dyDescent="0.35">
      <c r="A1974" t="s">
        <v>2059</v>
      </c>
      <c r="B1974" t="s">
        <v>15</v>
      </c>
      <c r="C1974" t="s">
        <v>16</v>
      </c>
      <c r="D1974">
        <v>165</v>
      </c>
      <c r="E1974" t="s">
        <v>2042</v>
      </c>
      <c r="F1974">
        <v>5419</v>
      </c>
      <c r="G1974" t="s">
        <v>18</v>
      </c>
      <c r="H1974">
        <v>27</v>
      </c>
      <c r="I1974" t="s">
        <v>19</v>
      </c>
      <c r="J1974">
        <v>2004</v>
      </c>
      <c r="K1974">
        <v>2004</v>
      </c>
      <c r="L1974" t="s">
        <v>20</v>
      </c>
      <c r="M1974">
        <v>29914</v>
      </c>
      <c r="N1974">
        <v>494</v>
      </c>
    </row>
    <row r="1975" spans="1:14" x14ac:dyDescent="0.35">
      <c r="A1975" t="s">
        <v>2060</v>
      </c>
      <c r="B1975" t="s">
        <v>15</v>
      </c>
      <c r="C1975" t="s">
        <v>16</v>
      </c>
      <c r="D1975">
        <v>165</v>
      </c>
      <c r="E1975" t="s">
        <v>2042</v>
      </c>
      <c r="F1975">
        <v>5419</v>
      </c>
      <c r="G1975" t="s">
        <v>18</v>
      </c>
      <c r="H1975">
        <v>27</v>
      </c>
      <c r="I1975" t="s">
        <v>19</v>
      </c>
      <c r="J1975">
        <v>2005</v>
      </c>
      <c r="K1975">
        <v>2005</v>
      </c>
      <c r="L1975" t="s">
        <v>20</v>
      </c>
      <c r="M1975">
        <v>31742</v>
      </c>
      <c r="N1975">
        <v>494</v>
      </c>
    </row>
    <row r="1976" spans="1:14" x14ac:dyDescent="0.35">
      <c r="A1976" t="s">
        <v>2061</v>
      </c>
      <c r="B1976" t="s">
        <v>15</v>
      </c>
      <c r="C1976" t="s">
        <v>16</v>
      </c>
      <c r="D1976">
        <v>165</v>
      </c>
      <c r="E1976" t="s">
        <v>2042</v>
      </c>
      <c r="F1976">
        <v>5419</v>
      </c>
      <c r="G1976" t="s">
        <v>18</v>
      </c>
      <c r="H1976">
        <v>27</v>
      </c>
      <c r="I1976" t="s">
        <v>19</v>
      </c>
      <c r="J1976">
        <v>2006</v>
      </c>
      <c r="K1976">
        <v>2006</v>
      </c>
      <c r="L1976" t="s">
        <v>20</v>
      </c>
      <c r="M1976">
        <v>31604</v>
      </c>
      <c r="N1976">
        <v>494</v>
      </c>
    </row>
    <row r="1977" spans="1:14" x14ac:dyDescent="0.35">
      <c r="A1977" t="s">
        <v>2062</v>
      </c>
      <c r="B1977" t="s">
        <v>15</v>
      </c>
      <c r="C1977" t="s">
        <v>16</v>
      </c>
      <c r="D1977">
        <v>165</v>
      </c>
      <c r="E1977" t="s">
        <v>2042</v>
      </c>
      <c r="F1977">
        <v>5419</v>
      </c>
      <c r="G1977" t="s">
        <v>18</v>
      </c>
      <c r="H1977">
        <v>27</v>
      </c>
      <c r="I1977" t="s">
        <v>19</v>
      </c>
      <c r="J1977">
        <v>2007</v>
      </c>
      <c r="K1977">
        <v>2007</v>
      </c>
      <c r="L1977" t="s">
        <v>20</v>
      </c>
      <c r="M1977">
        <v>33176</v>
      </c>
      <c r="N1977">
        <v>494</v>
      </c>
    </row>
    <row r="1978" spans="1:14" x14ac:dyDescent="0.35">
      <c r="A1978" t="s">
        <v>2063</v>
      </c>
      <c r="B1978" t="s">
        <v>15</v>
      </c>
      <c r="C1978" t="s">
        <v>16</v>
      </c>
      <c r="D1978">
        <v>165</v>
      </c>
      <c r="E1978" t="s">
        <v>2042</v>
      </c>
      <c r="F1978">
        <v>5419</v>
      </c>
      <c r="G1978" t="s">
        <v>18</v>
      </c>
      <c r="H1978">
        <v>27</v>
      </c>
      <c r="I1978" t="s">
        <v>19</v>
      </c>
      <c r="J1978">
        <v>2008</v>
      </c>
      <c r="K1978">
        <v>2008</v>
      </c>
      <c r="L1978" t="s">
        <v>20</v>
      </c>
      <c r="M1978">
        <v>35199</v>
      </c>
      <c r="N1978">
        <v>494</v>
      </c>
    </row>
    <row r="1979" spans="1:14" x14ac:dyDescent="0.35">
      <c r="A1979" t="s">
        <v>2064</v>
      </c>
      <c r="B1979" t="s">
        <v>15</v>
      </c>
      <c r="C1979" t="s">
        <v>16</v>
      </c>
      <c r="D1979">
        <v>165</v>
      </c>
      <c r="E1979" t="s">
        <v>2042</v>
      </c>
      <c r="F1979">
        <v>5419</v>
      </c>
      <c r="G1979" t="s">
        <v>18</v>
      </c>
      <c r="H1979">
        <v>27</v>
      </c>
      <c r="I1979" t="s">
        <v>19</v>
      </c>
      <c r="J1979">
        <v>2009</v>
      </c>
      <c r="K1979">
        <v>2009</v>
      </c>
      <c r="L1979" t="s">
        <v>20</v>
      </c>
      <c r="M1979">
        <v>35809</v>
      </c>
      <c r="N1979">
        <v>494</v>
      </c>
    </row>
    <row r="1980" spans="1:14" x14ac:dyDescent="0.35">
      <c r="A1980" t="s">
        <v>2065</v>
      </c>
      <c r="B1980" t="s">
        <v>15</v>
      </c>
      <c r="C1980" t="s">
        <v>16</v>
      </c>
      <c r="D1980">
        <v>165</v>
      </c>
      <c r="E1980" t="s">
        <v>2042</v>
      </c>
      <c r="F1980">
        <v>5419</v>
      </c>
      <c r="G1980" t="s">
        <v>18</v>
      </c>
      <c r="H1980">
        <v>27</v>
      </c>
      <c r="I1980" t="s">
        <v>19</v>
      </c>
      <c r="J1980">
        <v>2010</v>
      </c>
      <c r="K1980">
        <v>2010</v>
      </c>
      <c r="L1980" t="s">
        <v>20</v>
      </c>
      <c r="M1980">
        <v>30588</v>
      </c>
      <c r="N1980">
        <v>494</v>
      </c>
    </row>
    <row r="1981" spans="1:14" x14ac:dyDescent="0.35">
      <c r="A1981" t="s">
        <v>2066</v>
      </c>
      <c r="B1981" t="s">
        <v>15</v>
      </c>
      <c r="C1981" t="s">
        <v>16</v>
      </c>
      <c r="D1981">
        <v>165</v>
      </c>
      <c r="E1981" t="s">
        <v>2042</v>
      </c>
      <c r="F1981">
        <v>5419</v>
      </c>
      <c r="G1981" t="s">
        <v>18</v>
      </c>
      <c r="H1981">
        <v>27</v>
      </c>
      <c r="I1981" t="s">
        <v>19</v>
      </c>
      <c r="J1981">
        <v>2011</v>
      </c>
      <c r="K1981">
        <v>2011</v>
      </c>
      <c r="L1981" t="s">
        <v>20</v>
      </c>
      <c r="M1981">
        <v>35939</v>
      </c>
      <c r="N1981">
        <v>494</v>
      </c>
    </row>
    <row r="1982" spans="1:14" x14ac:dyDescent="0.35">
      <c r="A1982" t="s">
        <v>2067</v>
      </c>
      <c r="B1982" t="s">
        <v>15</v>
      </c>
      <c r="C1982" t="s">
        <v>16</v>
      </c>
      <c r="D1982">
        <v>165</v>
      </c>
      <c r="E1982" t="s">
        <v>2042</v>
      </c>
      <c r="F1982">
        <v>5419</v>
      </c>
      <c r="G1982" t="s">
        <v>18</v>
      </c>
      <c r="H1982">
        <v>27</v>
      </c>
      <c r="I1982" t="s">
        <v>19</v>
      </c>
      <c r="J1982">
        <v>2012</v>
      </c>
      <c r="K1982">
        <v>2012</v>
      </c>
      <c r="L1982" t="s">
        <v>20</v>
      </c>
      <c r="M1982">
        <v>35966</v>
      </c>
      <c r="N1982">
        <v>494</v>
      </c>
    </row>
    <row r="1983" spans="1:14" x14ac:dyDescent="0.35">
      <c r="A1983" t="s">
        <v>2068</v>
      </c>
      <c r="B1983" t="s">
        <v>15</v>
      </c>
      <c r="C1983" t="s">
        <v>16</v>
      </c>
      <c r="D1983">
        <v>165</v>
      </c>
      <c r="E1983" t="s">
        <v>2042</v>
      </c>
      <c r="F1983">
        <v>5419</v>
      </c>
      <c r="G1983" t="s">
        <v>18</v>
      </c>
      <c r="H1983">
        <v>27</v>
      </c>
      <c r="I1983" t="s">
        <v>19</v>
      </c>
      <c r="J1983">
        <v>2013</v>
      </c>
      <c r="K1983">
        <v>2013</v>
      </c>
      <c r="L1983" t="s">
        <v>20</v>
      </c>
      <c r="M1983">
        <v>37528</v>
      </c>
      <c r="N1983">
        <v>494</v>
      </c>
    </row>
    <row r="1984" spans="1:14" x14ac:dyDescent="0.35">
      <c r="A1984" t="s">
        <v>2069</v>
      </c>
      <c r="B1984" t="s">
        <v>15</v>
      </c>
      <c r="C1984" t="s">
        <v>16</v>
      </c>
      <c r="D1984">
        <v>165</v>
      </c>
      <c r="E1984" t="s">
        <v>2042</v>
      </c>
      <c r="F1984">
        <v>5419</v>
      </c>
      <c r="G1984" t="s">
        <v>18</v>
      </c>
      <c r="H1984">
        <v>27</v>
      </c>
      <c r="I1984" t="s">
        <v>19</v>
      </c>
      <c r="J1984">
        <v>2014</v>
      </c>
      <c r="K1984">
        <v>2014</v>
      </c>
      <c r="L1984" t="s">
        <v>20</v>
      </c>
      <c r="M1984">
        <v>36339</v>
      </c>
      <c r="N1984">
        <v>494</v>
      </c>
    </row>
    <row r="1985" spans="1:14" x14ac:dyDescent="0.35">
      <c r="A1985" t="s">
        <v>2070</v>
      </c>
      <c r="B1985" t="s">
        <v>15</v>
      </c>
      <c r="C1985" t="s">
        <v>16</v>
      </c>
      <c r="D1985">
        <v>165</v>
      </c>
      <c r="E1985" t="s">
        <v>2042</v>
      </c>
      <c r="F1985">
        <v>5419</v>
      </c>
      <c r="G1985" t="s">
        <v>18</v>
      </c>
      <c r="H1985">
        <v>27</v>
      </c>
      <c r="I1985" t="s">
        <v>19</v>
      </c>
      <c r="J1985">
        <v>2015</v>
      </c>
      <c r="K1985">
        <v>2015</v>
      </c>
      <c r="L1985" t="s">
        <v>20</v>
      </c>
      <c r="M1985">
        <v>37240</v>
      </c>
      <c r="N1985">
        <v>494</v>
      </c>
    </row>
    <row r="1986" spans="1:14" x14ac:dyDescent="0.35">
      <c r="A1986" t="s">
        <v>2071</v>
      </c>
      <c r="B1986" t="s">
        <v>15</v>
      </c>
      <c r="C1986" t="s">
        <v>16</v>
      </c>
      <c r="D1986">
        <v>165</v>
      </c>
      <c r="E1986" t="s">
        <v>2042</v>
      </c>
      <c r="F1986">
        <v>5419</v>
      </c>
      <c r="G1986" t="s">
        <v>18</v>
      </c>
      <c r="H1986">
        <v>27</v>
      </c>
      <c r="I1986" t="s">
        <v>19</v>
      </c>
      <c r="J1986">
        <v>2016</v>
      </c>
      <c r="K1986">
        <v>2016</v>
      </c>
      <c r="L1986" t="s">
        <v>20</v>
      </c>
      <c r="M1986">
        <v>37649</v>
      </c>
      <c r="N1986">
        <v>494</v>
      </c>
    </row>
    <row r="1987" spans="1:14" x14ac:dyDescent="0.35">
      <c r="A1987" t="s">
        <v>2072</v>
      </c>
      <c r="B1987" t="s">
        <v>15</v>
      </c>
      <c r="C1987" t="s">
        <v>16</v>
      </c>
      <c r="D1987">
        <v>166</v>
      </c>
      <c r="E1987" t="s">
        <v>2073</v>
      </c>
      <c r="F1987">
        <v>5419</v>
      </c>
      <c r="G1987" t="s">
        <v>18</v>
      </c>
      <c r="H1987">
        <v>27</v>
      </c>
      <c r="I1987" t="s">
        <v>19</v>
      </c>
      <c r="J1987">
        <v>1985</v>
      </c>
      <c r="K1987">
        <v>1985</v>
      </c>
      <c r="L1987" t="s">
        <v>20</v>
      </c>
      <c r="M1987">
        <v>20648</v>
      </c>
      <c r="N1987">
        <v>2928</v>
      </c>
    </row>
    <row r="1988" spans="1:14" x14ac:dyDescent="0.35">
      <c r="A1988" t="s">
        <v>2074</v>
      </c>
      <c r="B1988" t="s">
        <v>15</v>
      </c>
      <c r="C1988" t="s">
        <v>16</v>
      </c>
      <c r="D1988">
        <v>166</v>
      </c>
      <c r="E1988" t="s">
        <v>2073</v>
      </c>
      <c r="F1988">
        <v>5419</v>
      </c>
      <c r="G1988" t="s">
        <v>18</v>
      </c>
      <c r="H1988">
        <v>27</v>
      </c>
      <c r="I1988" t="s">
        <v>19</v>
      </c>
      <c r="J1988">
        <v>1986</v>
      </c>
      <c r="K1988">
        <v>1986</v>
      </c>
      <c r="L1988" t="s">
        <v>20</v>
      </c>
      <c r="M1988">
        <v>20925</v>
      </c>
      <c r="N1988">
        <v>2928</v>
      </c>
    </row>
    <row r="1989" spans="1:14" x14ac:dyDescent="0.35">
      <c r="A1989" t="s">
        <v>2075</v>
      </c>
      <c r="B1989" t="s">
        <v>15</v>
      </c>
      <c r="C1989" t="s">
        <v>16</v>
      </c>
      <c r="D1989">
        <v>166</v>
      </c>
      <c r="E1989" t="s">
        <v>2073</v>
      </c>
      <c r="F1989">
        <v>5419</v>
      </c>
      <c r="G1989" t="s">
        <v>18</v>
      </c>
      <c r="H1989">
        <v>27</v>
      </c>
      <c r="I1989" t="s">
        <v>19</v>
      </c>
      <c r="J1989">
        <v>1987</v>
      </c>
      <c r="K1989">
        <v>1987</v>
      </c>
      <c r="L1989" t="s">
        <v>20</v>
      </c>
      <c r="M1989">
        <v>21712</v>
      </c>
      <c r="N1989">
        <v>2928</v>
      </c>
    </row>
    <row r="1990" spans="1:14" x14ac:dyDescent="0.35">
      <c r="A1990" t="s">
        <v>2076</v>
      </c>
      <c r="B1990" t="s">
        <v>15</v>
      </c>
      <c r="C1990" t="s">
        <v>16</v>
      </c>
      <c r="D1990">
        <v>166</v>
      </c>
      <c r="E1990" t="s">
        <v>2073</v>
      </c>
      <c r="F1990">
        <v>5419</v>
      </c>
      <c r="G1990" t="s">
        <v>18</v>
      </c>
      <c r="H1990">
        <v>27</v>
      </c>
      <c r="I1990" t="s">
        <v>19</v>
      </c>
      <c r="J1990">
        <v>1989</v>
      </c>
      <c r="K1990">
        <v>1989</v>
      </c>
      <c r="L1990" t="s">
        <v>20</v>
      </c>
      <c r="M1990">
        <v>23565</v>
      </c>
      <c r="N1990">
        <v>2928</v>
      </c>
    </row>
    <row r="1991" spans="1:14" x14ac:dyDescent="0.35">
      <c r="A1991" t="s">
        <v>2077</v>
      </c>
      <c r="B1991" t="s">
        <v>15</v>
      </c>
      <c r="C1991" t="s">
        <v>16</v>
      </c>
      <c r="D1991">
        <v>166</v>
      </c>
      <c r="E1991" t="s">
        <v>2073</v>
      </c>
      <c r="F1991">
        <v>5419</v>
      </c>
      <c r="G1991" t="s">
        <v>18</v>
      </c>
      <c r="H1991">
        <v>27</v>
      </c>
      <c r="I1991" t="s">
        <v>19</v>
      </c>
      <c r="J1991">
        <v>1990</v>
      </c>
      <c r="K1991">
        <v>1990</v>
      </c>
      <c r="L1991" t="s">
        <v>20</v>
      </c>
      <c r="M1991">
        <v>22600</v>
      </c>
      <c r="N1991">
        <v>2928</v>
      </c>
    </row>
    <row r="1992" spans="1:14" x14ac:dyDescent="0.35">
      <c r="A1992" t="s">
        <v>2078</v>
      </c>
      <c r="B1992" t="s">
        <v>15</v>
      </c>
      <c r="C1992" t="s">
        <v>16</v>
      </c>
      <c r="D1992">
        <v>166</v>
      </c>
      <c r="E1992" t="s">
        <v>2073</v>
      </c>
      <c r="F1992">
        <v>5419</v>
      </c>
      <c r="G1992" t="s">
        <v>18</v>
      </c>
      <c r="H1992">
        <v>27</v>
      </c>
      <c r="I1992" t="s">
        <v>19</v>
      </c>
      <c r="J1992">
        <v>1991</v>
      </c>
      <c r="K1992">
        <v>1991</v>
      </c>
      <c r="L1992" t="s">
        <v>20</v>
      </c>
      <c r="M1992">
        <v>20940</v>
      </c>
      <c r="N1992">
        <v>2928</v>
      </c>
    </row>
    <row r="1993" spans="1:14" x14ac:dyDescent="0.35">
      <c r="A1993" t="s">
        <v>2079</v>
      </c>
      <c r="B1993" t="s">
        <v>15</v>
      </c>
      <c r="C1993" t="s">
        <v>16</v>
      </c>
      <c r="D1993">
        <v>166</v>
      </c>
      <c r="E1993" t="s">
        <v>2073</v>
      </c>
      <c r="F1993">
        <v>5419</v>
      </c>
      <c r="G1993" t="s">
        <v>18</v>
      </c>
      <c r="H1993">
        <v>27</v>
      </c>
      <c r="I1993" t="s">
        <v>19</v>
      </c>
      <c r="J1993">
        <v>1992</v>
      </c>
      <c r="K1993">
        <v>1992</v>
      </c>
      <c r="L1993" t="s">
        <v>20</v>
      </c>
      <c r="M1993">
        <v>21316</v>
      </c>
      <c r="N1993">
        <v>2928</v>
      </c>
    </row>
    <row r="1994" spans="1:14" x14ac:dyDescent="0.35">
      <c r="A1994" t="s">
        <v>2080</v>
      </c>
      <c r="B1994" t="s">
        <v>15</v>
      </c>
      <c r="C1994" t="s">
        <v>16</v>
      </c>
      <c r="D1994">
        <v>166</v>
      </c>
      <c r="E1994" t="s">
        <v>2073</v>
      </c>
      <c r="F1994">
        <v>5419</v>
      </c>
      <c r="G1994" t="s">
        <v>18</v>
      </c>
      <c r="H1994">
        <v>27</v>
      </c>
      <c r="I1994" t="s">
        <v>19</v>
      </c>
      <c r="J1994">
        <v>1993</v>
      </c>
      <c r="K1994">
        <v>1993</v>
      </c>
      <c r="L1994" t="s">
        <v>20</v>
      </c>
      <c r="M1994">
        <v>22460</v>
      </c>
      <c r="N1994">
        <v>2928</v>
      </c>
    </row>
    <row r="1995" spans="1:14" x14ac:dyDescent="0.35">
      <c r="A1995" t="s">
        <v>2081</v>
      </c>
      <c r="B1995" t="s">
        <v>15</v>
      </c>
      <c r="C1995" t="s">
        <v>16</v>
      </c>
      <c r="D1995">
        <v>166</v>
      </c>
      <c r="E1995" t="s">
        <v>2073</v>
      </c>
      <c r="F1995">
        <v>5419</v>
      </c>
      <c r="G1995" t="s">
        <v>18</v>
      </c>
      <c r="H1995">
        <v>27</v>
      </c>
      <c r="I1995" t="s">
        <v>19</v>
      </c>
      <c r="J1995">
        <v>1994</v>
      </c>
      <c r="K1995">
        <v>1994</v>
      </c>
      <c r="L1995" t="s">
        <v>20</v>
      </c>
      <c r="M1995">
        <v>22921</v>
      </c>
      <c r="N1995">
        <v>2928</v>
      </c>
    </row>
    <row r="1996" spans="1:14" x14ac:dyDescent="0.35">
      <c r="A1996" t="s">
        <v>2082</v>
      </c>
      <c r="B1996" t="s">
        <v>15</v>
      </c>
      <c r="C1996" t="s">
        <v>16</v>
      </c>
      <c r="D1996">
        <v>166</v>
      </c>
      <c r="E1996" t="s">
        <v>2073</v>
      </c>
      <c r="F1996">
        <v>5419</v>
      </c>
      <c r="G1996" t="s">
        <v>18</v>
      </c>
      <c r="H1996">
        <v>27</v>
      </c>
      <c r="I1996" t="s">
        <v>19</v>
      </c>
      <c r="J1996">
        <v>1995</v>
      </c>
      <c r="K1996">
        <v>1995</v>
      </c>
      <c r="L1996" t="s">
        <v>20</v>
      </c>
      <c r="M1996">
        <v>22413</v>
      </c>
      <c r="N1996">
        <v>2928</v>
      </c>
    </row>
    <row r="1997" spans="1:14" x14ac:dyDescent="0.35">
      <c r="A1997" t="s">
        <v>2083</v>
      </c>
      <c r="B1997" t="s">
        <v>15</v>
      </c>
      <c r="C1997" t="s">
        <v>16</v>
      </c>
      <c r="D1997">
        <v>166</v>
      </c>
      <c r="E1997" t="s">
        <v>2073</v>
      </c>
      <c r="F1997">
        <v>5419</v>
      </c>
      <c r="G1997" t="s">
        <v>18</v>
      </c>
      <c r="H1997">
        <v>27</v>
      </c>
      <c r="I1997" t="s">
        <v>19</v>
      </c>
      <c r="J1997">
        <v>1996</v>
      </c>
      <c r="K1997">
        <v>1996</v>
      </c>
      <c r="L1997" t="s">
        <v>20</v>
      </c>
      <c r="M1997">
        <v>24683</v>
      </c>
      <c r="N1997">
        <v>2928</v>
      </c>
    </row>
    <row r="1998" spans="1:14" x14ac:dyDescent="0.35">
      <c r="A1998" t="s">
        <v>2084</v>
      </c>
      <c r="B1998" t="s">
        <v>15</v>
      </c>
      <c r="C1998" t="s">
        <v>16</v>
      </c>
      <c r="D1998">
        <v>166</v>
      </c>
      <c r="E1998" t="s">
        <v>2073</v>
      </c>
      <c r="F1998">
        <v>5419</v>
      </c>
      <c r="G1998" t="s">
        <v>18</v>
      </c>
      <c r="H1998">
        <v>27</v>
      </c>
      <c r="I1998" t="s">
        <v>19</v>
      </c>
      <c r="J1998">
        <v>1997</v>
      </c>
      <c r="K1998">
        <v>1997</v>
      </c>
      <c r="L1998" t="s">
        <v>20</v>
      </c>
      <c r="M1998">
        <v>22046</v>
      </c>
      <c r="N1998">
        <v>2928</v>
      </c>
    </row>
    <row r="1999" spans="1:14" x14ac:dyDescent="0.35">
      <c r="A1999" t="s">
        <v>2085</v>
      </c>
      <c r="B1999" t="s">
        <v>15</v>
      </c>
      <c r="C1999" t="s">
        <v>16</v>
      </c>
      <c r="D1999">
        <v>166</v>
      </c>
      <c r="E1999" t="s">
        <v>2073</v>
      </c>
      <c r="F1999">
        <v>5419</v>
      </c>
      <c r="G1999" t="s">
        <v>18</v>
      </c>
      <c r="H1999">
        <v>27</v>
      </c>
      <c r="I1999" t="s">
        <v>19</v>
      </c>
      <c r="J1999">
        <v>1998</v>
      </c>
      <c r="K1999">
        <v>1998</v>
      </c>
      <c r="L1999" t="s">
        <v>20</v>
      </c>
      <c r="M1999">
        <v>26337</v>
      </c>
      <c r="N1999">
        <v>2928</v>
      </c>
    </row>
    <row r="2000" spans="1:14" x14ac:dyDescent="0.35">
      <c r="A2000" t="s">
        <v>2086</v>
      </c>
      <c r="B2000" t="s">
        <v>15</v>
      </c>
      <c r="C2000" t="s">
        <v>16</v>
      </c>
      <c r="D2000">
        <v>166</v>
      </c>
      <c r="E2000" t="s">
        <v>2073</v>
      </c>
      <c r="F2000">
        <v>5419</v>
      </c>
      <c r="G2000" t="s">
        <v>18</v>
      </c>
      <c r="H2000">
        <v>27</v>
      </c>
      <c r="I2000" t="s">
        <v>19</v>
      </c>
      <c r="J2000">
        <v>1999</v>
      </c>
      <c r="K2000">
        <v>1999</v>
      </c>
      <c r="L2000" t="s">
        <v>20</v>
      </c>
      <c r="M2000">
        <v>28776</v>
      </c>
      <c r="N2000">
        <v>2928</v>
      </c>
    </row>
    <row r="2001" spans="1:14" x14ac:dyDescent="0.35">
      <c r="A2001" t="s">
        <v>2087</v>
      </c>
      <c r="B2001" t="s">
        <v>15</v>
      </c>
      <c r="C2001" t="s">
        <v>16</v>
      </c>
      <c r="D2001">
        <v>166</v>
      </c>
      <c r="E2001" t="s">
        <v>2073</v>
      </c>
      <c r="F2001">
        <v>5419</v>
      </c>
      <c r="G2001" t="s">
        <v>18</v>
      </c>
      <c r="H2001">
        <v>27</v>
      </c>
      <c r="I2001" t="s">
        <v>19</v>
      </c>
      <c r="J2001">
        <v>2000</v>
      </c>
      <c r="K2001">
        <v>2000</v>
      </c>
      <c r="L2001" t="s">
        <v>20</v>
      </c>
      <c r="M2001">
        <v>26600</v>
      </c>
      <c r="N2001">
        <v>2928</v>
      </c>
    </row>
    <row r="2002" spans="1:14" x14ac:dyDescent="0.35">
      <c r="A2002" t="s">
        <v>2088</v>
      </c>
      <c r="B2002" t="s">
        <v>15</v>
      </c>
      <c r="C2002" t="s">
        <v>16</v>
      </c>
      <c r="D2002">
        <v>166</v>
      </c>
      <c r="E2002" t="s">
        <v>2073</v>
      </c>
      <c r="F2002">
        <v>5419</v>
      </c>
      <c r="G2002" t="s">
        <v>18</v>
      </c>
      <c r="H2002">
        <v>27</v>
      </c>
      <c r="I2002" t="s">
        <v>19</v>
      </c>
      <c r="J2002">
        <v>2001</v>
      </c>
      <c r="K2002">
        <v>2001</v>
      </c>
      <c r="L2002" t="s">
        <v>20</v>
      </c>
      <c r="M2002">
        <v>31699</v>
      </c>
      <c r="N2002">
        <v>2928</v>
      </c>
    </row>
    <row r="2003" spans="1:14" x14ac:dyDescent="0.35">
      <c r="A2003" t="s">
        <v>2089</v>
      </c>
      <c r="B2003" t="s">
        <v>15</v>
      </c>
      <c r="C2003" t="s">
        <v>16</v>
      </c>
      <c r="D2003">
        <v>166</v>
      </c>
      <c r="E2003" t="s">
        <v>2073</v>
      </c>
      <c r="F2003">
        <v>5419</v>
      </c>
      <c r="G2003" t="s">
        <v>18</v>
      </c>
      <c r="H2003">
        <v>27</v>
      </c>
      <c r="I2003" t="s">
        <v>19</v>
      </c>
      <c r="J2003">
        <v>2002</v>
      </c>
      <c r="K2003">
        <v>2002</v>
      </c>
      <c r="L2003" t="s">
        <v>20</v>
      </c>
      <c r="M2003">
        <v>30832</v>
      </c>
      <c r="N2003">
        <v>2928</v>
      </c>
    </row>
    <row r="2004" spans="1:14" x14ac:dyDescent="0.35">
      <c r="A2004" t="s">
        <v>2090</v>
      </c>
      <c r="B2004" t="s">
        <v>15</v>
      </c>
      <c r="C2004" t="s">
        <v>16</v>
      </c>
      <c r="D2004">
        <v>166</v>
      </c>
      <c r="E2004" t="s">
        <v>2073</v>
      </c>
      <c r="F2004">
        <v>5419</v>
      </c>
      <c r="G2004" t="s">
        <v>18</v>
      </c>
      <c r="H2004">
        <v>27</v>
      </c>
      <c r="I2004" t="s">
        <v>19</v>
      </c>
      <c r="J2004">
        <v>2004</v>
      </c>
      <c r="K2004">
        <v>2004</v>
      </c>
      <c r="L2004" t="s">
        <v>20</v>
      </c>
      <c r="M2004">
        <v>24600</v>
      </c>
      <c r="N2004">
        <v>2928</v>
      </c>
    </row>
    <row r="2005" spans="1:14" x14ac:dyDescent="0.35">
      <c r="A2005" t="s">
        <v>2091</v>
      </c>
      <c r="B2005" t="s">
        <v>15</v>
      </c>
      <c r="C2005" t="s">
        <v>16</v>
      </c>
      <c r="D2005">
        <v>166</v>
      </c>
      <c r="E2005" t="s">
        <v>2073</v>
      </c>
      <c r="F2005">
        <v>5419</v>
      </c>
      <c r="G2005" t="s">
        <v>18</v>
      </c>
      <c r="H2005">
        <v>27</v>
      </c>
      <c r="I2005" t="s">
        <v>19</v>
      </c>
      <c r="J2005">
        <v>2005</v>
      </c>
      <c r="K2005">
        <v>2005</v>
      </c>
      <c r="L2005" t="s">
        <v>20</v>
      </c>
      <c r="M2005">
        <v>30229</v>
      </c>
      <c r="N2005">
        <v>2928</v>
      </c>
    </row>
    <row r="2006" spans="1:14" x14ac:dyDescent="0.35">
      <c r="A2006" t="s">
        <v>2092</v>
      </c>
      <c r="B2006" t="s">
        <v>15</v>
      </c>
      <c r="C2006" t="s">
        <v>16</v>
      </c>
      <c r="D2006">
        <v>166</v>
      </c>
      <c r="E2006" t="s">
        <v>2073</v>
      </c>
      <c r="F2006">
        <v>5419</v>
      </c>
      <c r="G2006" t="s">
        <v>18</v>
      </c>
      <c r="H2006">
        <v>27</v>
      </c>
      <c r="I2006" t="s">
        <v>19</v>
      </c>
      <c r="J2006">
        <v>2006</v>
      </c>
      <c r="K2006">
        <v>2006</v>
      </c>
      <c r="L2006" t="s">
        <v>20</v>
      </c>
      <c r="M2006">
        <v>26414</v>
      </c>
      <c r="N2006">
        <v>2928</v>
      </c>
    </row>
    <row r="2007" spans="1:14" x14ac:dyDescent="0.35">
      <c r="A2007" t="s">
        <v>2093</v>
      </c>
      <c r="B2007" t="s">
        <v>15</v>
      </c>
      <c r="C2007" t="s">
        <v>16</v>
      </c>
      <c r="D2007">
        <v>166</v>
      </c>
      <c r="E2007" t="s">
        <v>2073</v>
      </c>
      <c r="F2007">
        <v>5419</v>
      </c>
      <c r="G2007" t="s">
        <v>18</v>
      </c>
      <c r="H2007">
        <v>27</v>
      </c>
      <c r="I2007" t="s">
        <v>19</v>
      </c>
      <c r="J2007">
        <v>2007</v>
      </c>
      <c r="K2007">
        <v>2007</v>
      </c>
      <c r="L2007" t="s">
        <v>20</v>
      </c>
      <c r="M2007">
        <v>29451</v>
      </c>
      <c r="N2007">
        <v>2928</v>
      </c>
    </row>
    <row r="2008" spans="1:14" x14ac:dyDescent="0.35">
      <c r="A2008" t="s">
        <v>2094</v>
      </c>
      <c r="B2008" t="s">
        <v>15</v>
      </c>
      <c r="C2008" t="s">
        <v>16</v>
      </c>
      <c r="D2008">
        <v>166</v>
      </c>
      <c r="E2008" t="s">
        <v>2073</v>
      </c>
      <c r="F2008">
        <v>5419</v>
      </c>
      <c r="G2008" t="s">
        <v>18</v>
      </c>
      <c r="H2008">
        <v>27</v>
      </c>
      <c r="I2008" t="s">
        <v>19</v>
      </c>
      <c r="J2008">
        <v>2008</v>
      </c>
      <c r="K2008">
        <v>2008</v>
      </c>
      <c r="L2008" t="s">
        <v>20</v>
      </c>
      <c r="M2008">
        <v>31209</v>
      </c>
      <c r="N2008">
        <v>2928</v>
      </c>
    </row>
    <row r="2009" spans="1:14" x14ac:dyDescent="0.35">
      <c r="A2009" t="s">
        <v>2095</v>
      </c>
      <c r="B2009" t="s">
        <v>15</v>
      </c>
      <c r="C2009" t="s">
        <v>16</v>
      </c>
      <c r="D2009">
        <v>166</v>
      </c>
      <c r="E2009" t="s">
        <v>2073</v>
      </c>
      <c r="F2009">
        <v>5419</v>
      </c>
      <c r="G2009" t="s">
        <v>18</v>
      </c>
      <c r="H2009">
        <v>27</v>
      </c>
      <c r="I2009" t="s">
        <v>19</v>
      </c>
      <c r="J2009">
        <v>2009</v>
      </c>
      <c r="K2009">
        <v>2009</v>
      </c>
      <c r="L2009" t="s">
        <v>20</v>
      </c>
      <c r="M2009">
        <v>29846</v>
      </c>
      <c r="N2009">
        <v>2928</v>
      </c>
    </row>
    <row r="2010" spans="1:14" x14ac:dyDescent="0.35">
      <c r="A2010" t="s">
        <v>2096</v>
      </c>
      <c r="B2010" t="s">
        <v>15</v>
      </c>
      <c r="C2010" t="s">
        <v>16</v>
      </c>
      <c r="D2010">
        <v>166</v>
      </c>
      <c r="E2010" t="s">
        <v>2073</v>
      </c>
      <c r="F2010">
        <v>5419</v>
      </c>
      <c r="G2010" t="s">
        <v>18</v>
      </c>
      <c r="H2010">
        <v>27</v>
      </c>
      <c r="I2010" t="s">
        <v>19</v>
      </c>
      <c r="J2010">
        <v>2010</v>
      </c>
      <c r="K2010">
        <v>2010</v>
      </c>
      <c r="L2010" t="s">
        <v>20</v>
      </c>
      <c r="M2010">
        <v>26130</v>
      </c>
      <c r="N2010">
        <v>2928</v>
      </c>
    </row>
    <row r="2011" spans="1:14" x14ac:dyDescent="0.35">
      <c r="A2011" t="s">
        <v>2097</v>
      </c>
      <c r="B2011" t="s">
        <v>15</v>
      </c>
      <c r="C2011" t="s">
        <v>16</v>
      </c>
      <c r="D2011">
        <v>166</v>
      </c>
      <c r="E2011" t="s">
        <v>2073</v>
      </c>
      <c r="F2011">
        <v>5419</v>
      </c>
      <c r="G2011" t="s">
        <v>18</v>
      </c>
      <c r="H2011">
        <v>27</v>
      </c>
      <c r="I2011" t="s">
        <v>19</v>
      </c>
      <c r="J2011">
        <v>2011</v>
      </c>
      <c r="K2011">
        <v>2011</v>
      </c>
      <c r="L2011" t="s">
        <v>20</v>
      </c>
      <c r="M2011">
        <v>29504</v>
      </c>
      <c r="N2011">
        <v>2928</v>
      </c>
    </row>
    <row r="2012" spans="1:14" x14ac:dyDescent="0.35">
      <c r="A2012" t="s">
        <v>2098</v>
      </c>
      <c r="B2012" t="s">
        <v>15</v>
      </c>
      <c r="C2012" t="s">
        <v>16</v>
      </c>
      <c r="D2012">
        <v>166</v>
      </c>
      <c r="E2012" t="s">
        <v>2073</v>
      </c>
      <c r="F2012">
        <v>5419</v>
      </c>
      <c r="G2012" t="s">
        <v>18</v>
      </c>
      <c r="H2012">
        <v>27</v>
      </c>
      <c r="I2012" t="s">
        <v>19</v>
      </c>
      <c r="J2012">
        <v>2012</v>
      </c>
      <c r="K2012">
        <v>2012</v>
      </c>
      <c r="L2012" t="s">
        <v>20</v>
      </c>
      <c r="M2012">
        <v>28751</v>
      </c>
      <c r="N2012">
        <v>2928</v>
      </c>
    </row>
    <row r="2013" spans="1:14" x14ac:dyDescent="0.35">
      <c r="A2013" t="s">
        <v>2099</v>
      </c>
      <c r="B2013" t="s">
        <v>15</v>
      </c>
      <c r="C2013" t="s">
        <v>16</v>
      </c>
      <c r="D2013">
        <v>166</v>
      </c>
      <c r="E2013" t="s">
        <v>2073</v>
      </c>
      <c r="F2013">
        <v>5419</v>
      </c>
      <c r="G2013" t="s">
        <v>18</v>
      </c>
      <c r="H2013">
        <v>27</v>
      </c>
      <c r="I2013" t="s">
        <v>19</v>
      </c>
      <c r="J2013">
        <v>2013</v>
      </c>
      <c r="K2013">
        <v>2013</v>
      </c>
      <c r="L2013" t="s">
        <v>20</v>
      </c>
      <c r="M2013">
        <v>30886</v>
      </c>
      <c r="N2013">
        <v>2928</v>
      </c>
    </row>
    <row r="2014" spans="1:14" x14ac:dyDescent="0.35">
      <c r="A2014" t="s">
        <v>2100</v>
      </c>
      <c r="B2014" t="s">
        <v>15</v>
      </c>
      <c r="C2014" t="s">
        <v>16</v>
      </c>
      <c r="D2014">
        <v>166</v>
      </c>
      <c r="E2014" t="s">
        <v>2073</v>
      </c>
      <c r="F2014">
        <v>5419</v>
      </c>
      <c r="G2014" t="s">
        <v>18</v>
      </c>
      <c r="H2014">
        <v>27</v>
      </c>
      <c r="I2014" t="s">
        <v>19</v>
      </c>
      <c r="J2014">
        <v>2014</v>
      </c>
      <c r="K2014">
        <v>2014</v>
      </c>
      <c r="L2014" t="s">
        <v>20</v>
      </c>
      <c r="M2014">
        <v>32618</v>
      </c>
      <c r="N2014">
        <v>2928</v>
      </c>
    </row>
    <row r="2015" spans="1:14" x14ac:dyDescent="0.35">
      <c r="A2015" t="s">
        <v>2101</v>
      </c>
      <c r="B2015" t="s">
        <v>15</v>
      </c>
      <c r="C2015" t="s">
        <v>16</v>
      </c>
      <c r="D2015">
        <v>166</v>
      </c>
      <c r="E2015" t="s">
        <v>2073</v>
      </c>
      <c r="F2015">
        <v>5419</v>
      </c>
      <c r="G2015" t="s">
        <v>18</v>
      </c>
      <c r="H2015">
        <v>27</v>
      </c>
      <c r="I2015" t="s">
        <v>19</v>
      </c>
      <c r="J2015">
        <v>2015</v>
      </c>
      <c r="K2015">
        <v>2015</v>
      </c>
      <c r="L2015" t="s">
        <v>20</v>
      </c>
      <c r="M2015">
        <v>30524</v>
      </c>
      <c r="N2015">
        <v>2928</v>
      </c>
    </row>
    <row r="2016" spans="1:14" x14ac:dyDescent="0.35">
      <c r="A2016" t="s">
        <v>2102</v>
      </c>
      <c r="B2016" t="s">
        <v>15</v>
      </c>
      <c r="C2016" t="s">
        <v>16</v>
      </c>
      <c r="D2016">
        <v>166</v>
      </c>
      <c r="E2016" t="s">
        <v>2073</v>
      </c>
      <c r="F2016">
        <v>5419</v>
      </c>
      <c r="G2016" t="s">
        <v>18</v>
      </c>
      <c r="H2016">
        <v>27</v>
      </c>
      <c r="I2016" t="s">
        <v>19</v>
      </c>
      <c r="J2016">
        <v>2016</v>
      </c>
      <c r="K2016">
        <v>2016</v>
      </c>
      <c r="L2016" t="s">
        <v>20</v>
      </c>
      <c r="M2016">
        <v>30417</v>
      </c>
      <c r="N2016">
        <v>2928</v>
      </c>
    </row>
    <row r="2017" spans="1:14" x14ac:dyDescent="0.35">
      <c r="A2017" t="s">
        <v>2103</v>
      </c>
      <c r="B2017" t="s">
        <v>15</v>
      </c>
      <c r="C2017" t="s">
        <v>16</v>
      </c>
      <c r="D2017">
        <v>168</v>
      </c>
      <c r="E2017" t="s">
        <v>2104</v>
      </c>
      <c r="F2017">
        <v>5419</v>
      </c>
      <c r="G2017" t="s">
        <v>18</v>
      </c>
      <c r="H2017">
        <v>27</v>
      </c>
      <c r="I2017" t="s">
        <v>19</v>
      </c>
      <c r="J2017">
        <v>1985</v>
      </c>
      <c r="K2017">
        <v>1985</v>
      </c>
      <c r="L2017" t="s">
        <v>20</v>
      </c>
      <c r="M2017">
        <v>20000</v>
      </c>
      <c r="N2017">
        <v>3142</v>
      </c>
    </row>
    <row r="2018" spans="1:14" x14ac:dyDescent="0.35">
      <c r="A2018" t="s">
        <v>2105</v>
      </c>
      <c r="B2018" t="s">
        <v>15</v>
      </c>
      <c r="C2018" t="s">
        <v>16</v>
      </c>
      <c r="D2018">
        <v>168</v>
      </c>
      <c r="E2018" t="s">
        <v>2104</v>
      </c>
      <c r="F2018">
        <v>5419</v>
      </c>
      <c r="G2018" t="s">
        <v>18</v>
      </c>
      <c r="H2018">
        <v>27</v>
      </c>
      <c r="I2018" t="s">
        <v>19</v>
      </c>
      <c r="J2018">
        <v>1986</v>
      </c>
      <c r="K2018">
        <v>1986</v>
      </c>
      <c r="L2018" t="s">
        <v>20</v>
      </c>
      <c r="M2018">
        <v>18182</v>
      </c>
      <c r="N2018">
        <v>3142</v>
      </c>
    </row>
    <row r="2019" spans="1:14" x14ac:dyDescent="0.35">
      <c r="A2019" t="s">
        <v>2106</v>
      </c>
      <c r="B2019" t="s">
        <v>15</v>
      </c>
      <c r="C2019" t="s">
        <v>16</v>
      </c>
      <c r="D2019">
        <v>168</v>
      </c>
      <c r="E2019" t="s">
        <v>2104</v>
      </c>
      <c r="F2019">
        <v>5419</v>
      </c>
      <c r="G2019" t="s">
        <v>18</v>
      </c>
      <c r="H2019">
        <v>27</v>
      </c>
      <c r="I2019" t="s">
        <v>19</v>
      </c>
      <c r="J2019">
        <v>1987</v>
      </c>
      <c r="K2019">
        <v>1987</v>
      </c>
      <c r="L2019" t="s">
        <v>20</v>
      </c>
      <c r="M2019">
        <v>18182</v>
      </c>
      <c r="N2019">
        <v>3142</v>
      </c>
    </row>
    <row r="2020" spans="1:14" x14ac:dyDescent="0.35">
      <c r="A2020" t="s">
        <v>2107</v>
      </c>
      <c r="B2020" t="s">
        <v>15</v>
      </c>
      <c r="C2020" t="s">
        <v>16</v>
      </c>
      <c r="D2020">
        <v>168</v>
      </c>
      <c r="E2020" t="s">
        <v>2104</v>
      </c>
      <c r="F2020">
        <v>5419</v>
      </c>
      <c r="G2020" t="s">
        <v>18</v>
      </c>
      <c r="H2020">
        <v>27</v>
      </c>
      <c r="I2020" t="s">
        <v>19</v>
      </c>
      <c r="J2020">
        <v>1989</v>
      </c>
      <c r="K2020">
        <v>1989</v>
      </c>
      <c r="L2020" t="s">
        <v>20</v>
      </c>
      <c r="M2020">
        <v>18750</v>
      </c>
      <c r="N2020">
        <v>3142</v>
      </c>
    </row>
    <row r="2021" spans="1:14" x14ac:dyDescent="0.35">
      <c r="A2021" t="s">
        <v>2108</v>
      </c>
      <c r="B2021" t="s">
        <v>15</v>
      </c>
      <c r="C2021" t="s">
        <v>16</v>
      </c>
      <c r="D2021">
        <v>168</v>
      </c>
      <c r="E2021" t="s">
        <v>2104</v>
      </c>
      <c r="F2021">
        <v>5419</v>
      </c>
      <c r="G2021" t="s">
        <v>18</v>
      </c>
      <c r="H2021">
        <v>27</v>
      </c>
      <c r="I2021" t="s">
        <v>19</v>
      </c>
      <c r="J2021">
        <v>1990</v>
      </c>
      <c r="K2021">
        <v>1990</v>
      </c>
      <c r="L2021" t="s">
        <v>20</v>
      </c>
      <c r="M2021">
        <v>18235</v>
      </c>
      <c r="N2021">
        <v>3142</v>
      </c>
    </row>
    <row r="2022" spans="1:14" x14ac:dyDescent="0.35">
      <c r="A2022" t="s">
        <v>2109</v>
      </c>
      <c r="B2022" t="s">
        <v>15</v>
      </c>
      <c r="C2022" t="s">
        <v>16</v>
      </c>
      <c r="D2022">
        <v>168</v>
      </c>
      <c r="E2022" t="s">
        <v>2104</v>
      </c>
      <c r="F2022">
        <v>5419</v>
      </c>
      <c r="G2022" t="s">
        <v>18</v>
      </c>
      <c r="H2022">
        <v>27</v>
      </c>
      <c r="I2022" t="s">
        <v>19</v>
      </c>
      <c r="J2022">
        <v>1991</v>
      </c>
      <c r="K2022">
        <v>1991</v>
      </c>
      <c r="L2022" t="s">
        <v>20</v>
      </c>
      <c r="M2022">
        <v>17458</v>
      </c>
      <c r="N2022">
        <v>3142</v>
      </c>
    </row>
    <row r="2023" spans="1:14" x14ac:dyDescent="0.35">
      <c r="A2023" t="s">
        <v>2110</v>
      </c>
      <c r="B2023" t="s">
        <v>15</v>
      </c>
      <c r="C2023" t="s">
        <v>16</v>
      </c>
      <c r="D2023">
        <v>168</v>
      </c>
      <c r="E2023" t="s">
        <v>2104</v>
      </c>
      <c r="F2023">
        <v>5419</v>
      </c>
      <c r="G2023" t="s">
        <v>18</v>
      </c>
      <c r="H2023">
        <v>27</v>
      </c>
      <c r="I2023" t="s">
        <v>19</v>
      </c>
      <c r="J2023">
        <v>1992</v>
      </c>
      <c r="K2023">
        <v>1992</v>
      </c>
      <c r="L2023" t="s">
        <v>20</v>
      </c>
      <c r="M2023">
        <v>17695</v>
      </c>
      <c r="N2023">
        <v>3142</v>
      </c>
    </row>
    <row r="2024" spans="1:14" x14ac:dyDescent="0.35">
      <c r="A2024" t="s">
        <v>2111</v>
      </c>
      <c r="B2024" t="s">
        <v>15</v>
      </c>
      <c r="C2024" t="s">
        <v>16</v>
      </c>
      <c r="D2024">
        <v>168</v>
      </c>
      <c r="E2024" t="s">
        <v>2104</v>
      </c>
      <c r="F2024">
        <v>5419</v>
      </c>
      <c r="G2024" t="s">
        <v>18</v>
      </c>
      <c r="H2024">
        <v>27</v>
      </c>
      <c r="I2024" t="s">
        <v>19</v>
      </c>
      <c r="J2024">
        <v>1993</v>
      </c>
      <c r="K2024">
        <v>1993</v>
      </c>
      <c r="L2024" t="s">
        <v>20</v>
      </c>
      <c r="M2024">
        <v>18000</v>
      </c>
      <c r="N2024">
        <v>3142</v>
      </c>
    </row>
    <row r="2025" spans="1:14" x14ac:dyDescent="0.35">
      <c r="A2025" t="s">
        <v>2112</v>
      </c>
      <c r="B2025" t="s">
        <v>15</v>
      </c>
      <c r="C2025" t="s">
        <v>16</v>
      </c>
      <c r="D2025">
        <v>168</v>
      </c>
      <c r="E2025" t="s">
        <v>2104</v>
      </c>
      <c r="F2025">
        <v>5419</v>
      </c>
      <c r="G2025" t="s">
        <v>18</v>
      </c>
      <c r="H2025">
        <v>27</v>
      </c>
      <c r="I2025" t="s">
        <v>19</v>
      </c>
      <c r="J2025">
        <v>1994</v>
      </c>
      <c r="K2025">
        <v>1994</v>
      </c>
      <c r="L2025" t="s">
        <v>20</v>
      </c>
      <c r="M2025">
        <v>17844</v>
      </c>
      <c r="N2025">
        <v>3142</v>
      </c>
    </row>
    <row r="2026" spans="1:14" x14ac:dyDescent="0.35">
      <c r="A2026" t="s">
        <v>2113</v>
      </c>
      <c r="B2026" t="s">
        <v>15</v>
      </c>
      <c r="C2026" t="s">
        <v>16</v>
      </c>
      <c r="D2026">
        <v>168</v>
      </c>
      <c r="E2026" t="s">
        <v>2104</v>
      </c>
      <c r="F2026">
        <v>5419</v>
      </c>
      <c r="G2026" t="s">
        <v>18</v>
      </c>
      <c r="H2026">
        <v>27</v>
      </c>
      <c r="I2026" t="s">
        <v>19</v>
      </c>
      <c r="J2026">
        <v>1995</v>
      </c>
      <c r="K2026">
        <v>1995</v>
      </c>
      <c r="L2026" t="s">
        <v>20</v>
      </c>
      <c r="M2026">
        <v>17872</v>
      </c>
      <c r="N2026">
        <v>3142</v>
      </c>
    </row>
    <row r="2027" spans="1:14" x14ac:dyDescent="0.35">
      <c r="A2027" t="s">
        <v>2114</v>
      </c>
      <c r="B2027" t="s">
        <v>15</v>
      </c>
      <c r="C2027" t="s">
        <v>16</v>
      </c>
      <c r="D2027">
        <v>168</v>
      </c>
      <c r="E2027" t="s">
        <v>2104</v>
      </c>
      <c r="F2027">
        <v>5419</v>
      </c>
      <c r="G2027" t="s">
        <v>18</v>
      </c>
      <c r="H2027">
        <v>27</v>
      </c>
      <c r="I2027" t="s">
        <v>19</v>
      </c>
      <c r="J2027">
        <v>1996</v>
      </c>
      <c r="K2027">
        <v>1996</v>
      </c>
      <c r="L2027" t="s">
        <v>20</v>
      </c>
      <c r="M2027">
        <v>17914</v>
      </c>
      <c r="N2027">
        <v>3142</v>
      </c>
    </row>
    <row r="2028" spans="1:14" x14ac:dyDescent="0.35">
      <c r="A2028" t="s">
        <v>2115</v>
      </c>
      <c r="B2028" t="s">
        <v>15</v>
      </c>
      <c r="C2028" t="s">
        <v>16</v>
      </c>
      <c r="D2028">
        <v>168</v>
      </c>
      <c r="E2028" t="s">
        <v>2104</v>
      </c>
      <c r="F2028">
        <v>5419</v>
      </c>
      <c r="G2028" t="s">
        <v>18</v>
      </c>
      <c r="H2028">
        <v>27</v>
      </c>
      <c r="I2028" t="s">
        <v>19</v>
      </c>
      <c r="J2028">
        <v>1997</v>
      </c>
      <c r="K2028">
        <v>1997</v>
      </c>
      <c r="L2028" t="s">
        <v>20</v>
      </c>
      <c r="M2028">
        <v>17143</v>
      </c>
      <c r="N2028">
        <v>3142</v>
      </c>
    </row>
    <row r="2029" spans="1:14" x14ac:dyDescent="0.35">
      <c r="A2029" t="s">
        <v>2116</v>
      </c>
      <c r="B2029" t="s">
        <v>15</v>
      </c>
      <c r="C2029" t="s">
        <v>16</v>
      </c>
      <c r="D2029">
        <v>168</v>
      </c>
      <c r="E2029" t="s">
        <v>2104</v>
      </c>
      <c r="F2029">
        <v>5419</v>
      </c>
      <c r="G2029" t="s">
        <v>18</v>
      </c>
      <c r="H2029">
        <v>27</v>
      </c>
      <c r="I2029" t="s">
        <v>19</v>
      </c>
      <c r="J2029">
        <v>1998</v>
      </c>
      <c r="K2029">
        <v>1998</v>
      </c>
      <c r="L2029" t="s">
        <v>20</v>
      </c>
      <c r="M2029">
        <v>18270</v>
      </c>
      <c r="N2029">
        <v>3142</v>
      </c>
    </row>
    <row r="2030" spans="1:14" x14ac:dyDescent="0.35">
      <c r="A2030" t="s">
        <v>2117</v>
      </c>
      <c r="B2030" t="s">
        <v>15</v>
      </c>
      <c r="C2030" t="s">
        <v>16</v>
      </c>
      <c r="D2030">
        <v>168</v>
      </c>
      <c r="E2030" t="s">
        <v>2104</v>
      </c>
      <c r="F2030">
        <v>5419</v>
      </c>
      <c r="G2030" t="s">
        <v>18</v>
      </c>
      <c r="H2030">
        <v>27</v>
      </c>
      <c r="I2030" t="s">
        <v>19</v>
      </c>
      <c r="J2030">
        <v>1999</v>
      </c>
      <c r="K2030">
        <v>1999</v>
      </c>
      <c r="L2030" t="s">
        <v>20</v>
      </c>
      <c r="M2030">
        <v>18583</v>
      </c>
      <c r="N2030">
        <v>3142</v>
      </c>
    </row>
    <row r="2031" spans="1:14" x14ac:dyDescent="0.35">
      <c r="A2031" t="s">
        <v>2118</v>
      </c>
      <c r="B2031" t="s">
        <v>15</v>
      </c>
      <c r="C2031" t="s">
        <v>16</v>
      </c>
      <c r="D2031">
        <v>168</v>
      </c>
      <c r="E2031" t="s">
        <v>2104</v>
      </c>
      <c r="F2031">
        <v>5419</v>
      </c>
      <c r="G2031" t="s">
        <v>18</v>
      </c>
      <c r="H2031">
        <v>27</v>
      </c>
      <c r="I2031" t="s">
        <v>19</v>
      </c>
      <c r="J2031">
        <v>2000</v>
      </c>
      <c r="K2031">
        <v>2000</v>
      </c>
      <c r="L2031" t="s">
        <v>20</v>
      </c>
      <c r="M2031">
        <v>18910</v>
      </c>
      <c r="N2031">
        <v>3142</v>
      </c>
    </row>
    <row r="2032" spans="1:14" x14ac:dyDescent="0.35">
      <c r="A2032" t="s">
        <v>2119</v>
      </c>
      <c r="B2032" t="s">
        <v>15</v>
      </c>
      <c r="C2032" t="s">
        <v>16</v>
      </c>
      <c r="D2032">
        <v>168</v>
      </c>
      <c r="E2032" t="s">
        <v>2104</v>
      </c>
      <c r="F2032">
        <v>5419</v>
      </c>
      <c r="G2032" t="s">
        <v>18</v>
      </c>
      <c r="H2032">
        <v>27</v>
      </c>
      <c r="I2032" t="s">
        <v>19</v>
      </c>
      <c r="J2032">
        <v>2001</v>
      </c>
      <c r="K2032">
        <v>2001</v>
      </c>
      <c r="L2032" t="s">
        <v>20</v>
      </c>
      <c r="M2032">
        <v>20000</v>
      </c>
      <c r="N2032">
        <v>3142</v>
      </c>
    </row>
    <row r="2033" spans="1:14" x14ac:dyDescent="0.35">
      <c r="A2033" t="s">
        <v>2120</v>
      </c>
      <c r="B2033" t="s">
        <v>15</v>
      </c>
      <c r="C2033" t="s">
        <v>16</v>
      </c>
      <c r="D2033">
        <v>168</v>
      </c>
      <c r="E2033" t="s">
        <v>2104</v>
      </c>
      <c r="F2033">
        <v>5419</v>
      </c>
      <c r="G2033" t="s">
        <v>18</v>
      </c>
      <c r="H2033">
        <v>27</v>
      </c>
      <c r="I2033" t="s">
        <v>19</v>
      </c>
      <c r="J2033">
        <v>2002</v>
      </c>
      <c r="K2033">
        <v>2002</v>
      </c>
      <c r="L2033" t="s">
        <v>20</v>
      </c>
      <c r="M2033">
        <v>19276</v>
      </c>
      <c r="N2033">
        <v>3142</v>
      </c>
    </row>
    <row r="2034" spans="1:14" x14ac:dyDescent="0.35">
      <c r="A2034" t="s">
        <v>2121</v>
      </c>
      <c r="B2034" t="s">
        <v>15</v>
      </c>
      <c r="C2034" t="s">
        <v>16</v>
      </c>
      <c r="D2034">
        <v>168</v>
      </c>
      <c r="E2034" t="s">
        <v>2104</v>
      </c>
      <c r="F2034">
        <v>5419</v>
      </c>
      <c r="G2034" t="s">
        <v>18</v>
      </c>
      <c r="H2034">
        <v>27</v>
      </c>
      <c r="I2034" t="s">
        <v>19</v>
      </c>
      <c r="J2034">
        <v>2004</v>
      </c>
      <c r="K2034">
        <v>2004</v>
      </c>
      <c r="L2034" t="s">
        <v>20</v>
      </c>
      <c r="M2034">
        <v>19266</v>
      </c>
      <c r="N2034">
        <v>3142</v>
      </c>
    </row>
    <row r="2035" spans="1:14" x14ac:dyDescent="0.35">
      <c r="A2035" t="s">
        <v>2122</v>
      </c>
      <c r="B2035" t="s">
        <v>15</v>
      </c>
      <c r="C2035" t="s">
        <v>16</v>
      </c>
      <c r="D2035">
        <v>168</v>
      </c>
      <c r="E2035" t="s">
        <v>2104</v>
      </c>
      <c r="F2035">
        <v>5419</v>
      </c>
      <c r="G2035" t="s">
        <v>18</v>
      </c>
      <c r="H2035">
        <v>27</v>
      </c>
      <c r="I2035" t="s">
        <v>19</v>
      </c>
      <c r="J2035">
        <v>2005</v>
      </c>
      <c r="K2035">
        <v>2005</v>
      </c>
      <c r="L2035" t="s">
        <v>20</v>
      </c>
      <c r="M2035">
        <v>19409</v>
      </c>
      <c r="N2035">
        <v>3142</v>
      </c>
    </row>
    <row r="2036" spans="1:14" x14ac:dyDescent="0.35">
      <c r="A2036" t="s">
        <v>2123</v>
      </c>
      <c r="B2036" t="s">
        <v>15</v>
      </c>
      <c r="C2036" t="s">
        <v>16</v>
      </c>
      <c r="D2036">
        <v>168</v>
      </c>
      <c r="E2036" t="s">
        <v>2104</v>
      </c>
      <c r="F2036">
        <v>5419</v>
      </c>
      <c r="G2036" t="s">
        <v>18</v>
      </c>
      <c r="H2036">
        <v>27</v>
      </c>
      <c r="I2036" t="s">
        <v>19</v>
      </c>
      <c r="J2036">
        <v>2006</v>
      </c>
      <c r="K2036">
        <v>2006</v>
      </c>
      <c r="L2036" t="s">
        <v>20</v>
      </c>
      <c r="M2036">
        <v>19552</v>
      </c>
      <c r="N2036">
        <v>3142</v>
      </c>
    </row>
    <row r="2037" spans="1:14" x14ac:dyDescent="0.35">
      <c r="A2037" t="s">
        <v>2124</v>
      </c>
      <c r="B2037" t="s">
        <v>15</v>
      </c>
      <c r="C2037" t="s">
        <v>16</v>
      </c>
      <c r="D2037">
        <v>168</v>
      </c>
      <c r="E2037" t="s">
        <v>2104</v>
      </c>
      <c r="F2037">
        <v>5419</v>
      </c>
      <c r="G2037" t="s">
        <v>18</v>
      </c>
      <c r="H2037">
        <v>27</v>
      </c>
      <c r="I2037" t="s">
        <v>19</v>
      </c>
      <c r="J2037">
        <v>2007</v>
      </c>
      <c r="K2037">
        <v>2007</v>
      </c>
      <c r="L2037" t="s">
        <v>20</v>
      </c>
      <c r="M2037">
        <v>19694</v>
      </c>
      <c r="N2037">
        <v>3142</v>
      </c>
    </row>
    <row r="2038" spans="1:14" x14ac:dyDescent="0.35">
      <c r="A2038" t="s">
        <v>2125</v>
      </c>
      <c r="B2038" t="s">
        <v>15</v>
      </c>
      <c r="C2038" t="s">
        <v>16</v>
      </c>
      <c r="D2038">
        <v>168</v>
      </c>
      <c r="E2038" t="s">
        <v>2104</v>
      </c>
      <c r="F2038">
        <v>5419</v>
      </c>
      <c r="G2038" t="s">
        <v>18</v>
      </c>
      <c r="H2038">
        <v>27</v>
      </c>
      <c r="I2038" t="s">
        <v>19</v>
      </c>
      <c r="J2038">
        <v>2008</v>
      </c>
      <c r="K2038">
        <v>2008</v>
      </c>
      <c r="L2038" t="s">
        <v>20</v>
      </c>
      <c r="M2038">
        <v>19837</v>
      </c>
      <c r="N2038">
        <v>3142</v>
      </c>
    </row>
    <row r="2039" spans="1:14" x14ac:dyDescent="0.35">
      <c r="A2039" t="s">
        <v>2126</v>
      </c>
      <c r="B2039" t="s">
        <v>15</v>
      </c>
      <c r="C2039" t="s">
        <v>16</v>
      </c>
      <c r="D2039">
        <v>168</v>
      </c>
      <c r="E2039" t="s">
        <v>2104</v>
      </c>
      <c r="F2039">
        <v>5419</v>
      </c>
      <c r="G2039" t="s">
        <v>18</v>
      </c>
      <c r="H2039">
        <v>27</v>
      </c>
      <c r="I2039" t="s">
        <v>19</v>
      </c>
      <c r="J2039">
        <v>2009</v>
      </c>
      <c r="K2039">
        <v>2009</v>
      </c>
      <c r="L2039" t="s">
        <v>20</v>
      </c>
      <c r="M2039">
        <v>19979</v>
      </c>
      <c r="N2039">
        <v>3142</v>
      </c>
    </row>
    <row r="2040" spans="1:14" x14ac:dyDescent="0.35">
      <c r="A2040" t="s">
        <v>2127</v>
      </c>
      <c r="B2040" t="s">
        <v>15</v>
      </c>
      <c r="C2040" t="s">
        <v>16</v>
      </c>
      <c r="D2040">
        <v>168</v>
      </c>
      <c r="E2040" t="s">
        <v>2104</v>
      </c>
      <c r="F2040">
        <v>5419</v>
      </c>
      <c r="G2040" t="s">
        <v>18</v>
      </c>
      <c r="H2040">
        <v>27</v>
      </c>
      <c r="I2040" t="s">
        <v>19</v>
      </c>
      <c r="J2040">
        <v>2010</v>
      </c>
      <c r="K2040">
        <v>2010</v>
      </c>
      <c r="L2040" t="s">
        <v>20</v>
      </c>
      <c r="M2040">
        <v>20122</v>
      </c>
      <c r="N2040">
        <v>3142</v>
      </c>
    </row>
    <row r="2041" spans="1:14" x14ac:dyDescent="0.35">
      <c r="A2041" t="s">
        <v>2128</v>
      </c>
      <c r="B2041" t="s">
        <v>15</v>
      </c>
      <c r="C2041" t="s">
        <v>16</v>
      </c>
      <c r="D2041">
        <v>168</v>
      </c>
      <c r="E2041" t="s">
        <v>2104</v>
      </c>
      <c r="F2041">
        <v>5419</v>
      </c>
      <c r="G2041" t="s">
        <v>18</v>
      </c>
      <c r="H2041">
        <v>27</v>
      </c>
      <c r="I2041" t="s">
        <v>19</v>
      </c>
      <c r="J2041">
        <v>2011</v>
      </c>
      <c r="K2041">
        <v>2011</v>
      </c>
      <c r="L2041" t="s">
        <v>20</v>
      </c>
      <c r="M2041">
        <v>20264</v>
      </c>
      <c r="N2041">
        <v>3142</v>
      </c>
    </row>
    <row r="2042" spans="1:14" x14ac:dyDescent="0.35">
      <c r="A2042" t="s">
        <v>2129</v>
      </c>
      <c r="B2042" t="s">
        <v>15</v>
      </c>
      <c r="C2042" t="s">
        <v>16</v>
      </c>
      <c r="D2042">
        <v>168</v>
      </c>
      <c r="E2042" t="s">
        <v>2104</v>
      </c>
      <c r="F2042">
        <v>5419</v>
      </c>
      <c r="G2042" t="s">
        <v>18</v>
      </c>
      <c r="H2042">
        <v>27</v>
      </c>
      <c r="I2042" t="s">
        <v>19</v>
      </c>
      <c r="J2042">
        <v>2012</v>
      </c>
      <c r="K2042">
        <v>2012</v>
      </c>
      <c r="L2042" t="s">
        <v>20</v>
      </c>
      <c r="M2042">
        <v>20407</v>
      </c>
      <c r="N2042">
        <v>3142</v>
      </c>
    </row>
    <row r="2043" spans="1:14" x14ac:dyDescent="0.35">
      <c r="A2043" t="s">
        <v>2130</v>
      </c>
      <c r="B2043" t="s">
        <v>15</v>
      </c>
      <c r="C2043" t="s">
        <v>16</v>
      </c>
      <c r="D2043">
        <v>168</v>
      </c>
      <c r="E2043" t="s">
        <v>2104</v>
      </c>
      <c r="F2043">
        <v>5419</v>
      </c>
      <c r="G2043" t="s">
        <v>18</v>
      </c>
      <c r="H2043">
        <v>27</v>
      </c>
      <c r="I2043" t="s">
        <v>19</v>
      </c>
      <c r="J2043">
        <v>2013</v>
      </c>
      <c r="K2043">
        <v>2013</v>
      </c>
      <c r="L2043" t="s">
        <v>20</v>
      </c>
      <c r="M2043">
        <v>20549</v>
      </c>
      <c r="N2043">
        <v>3142</v>
      </c>
    </row>
    <row r="2044" spans="1:14" x14ac:dyDescent="0.35">
      <c r="A2044" t="s">
        <v>2131</v>
      </c>
      <c r="B2044" t="s">
        <v>15</v>
      </c>
      <c r="C2044" t="s">
        <v>16</v>
      </c>
      <c r="D2044">
        <v>168</v>
      </c>
      <c r="E2044" t="s">
        <v>2104</v>
      </c>
      <c r="F2044">
        <v>5419</v>
      </c>
      <c r="G2044" t="s">
        <v>18</v>
      </c>
      <c r="H2044">
        <v>27</v>
      </c>
      <c r="I2044" t="s">
        <v>19</v>
      </c>
      <c r="J2044">
        <v>2014</v>
      </c>
      <c r="K2044">
        <v>2014</v>
      </c>
      <c r="L2044" t="s">
        <v>20</v>
      </c>
      <c r="M2044">
        <v>20692</v>
      </c>
      <c r="N2044">
        <v>3142</v>
      </c>
    </row>
    <row r="2045" spans="1:14" x14ac:dyDescent="0.35">
      <c r="A2045" t="s">
        <v>2132</v>
      </c>
      <c r="B2045" t="s">
        <v>15</v>
      </c>
      <c r="C2045" t="s">
        <v>16</v>
      </c>
      <c r="D2045">
        <v>168</v>
      </c>
      <c r="E2045" t="s">
        <v>2104</v>
      </c>
      <c r="F2045">
        <v>5419</v>
      </c>
      <c r="G2045" t="s">
        <v>18</v>
      </c>
      <c r="H2045">
        <v>27</v>
      </c>
      <c r="I2045" t="s">
        <v>19</v>
      </c>
      <c r="J2045">
        <v>2015</v>
      </c>
      <c r="K2045">
        <v>2015</v>
      </c>
      <c r="L2045" t="s">
        <v>20</v>
      </c>
      <c r="M2045">
        <v>20835</v>
      </c>
      <c r="N2045">
        <v>3142</v>
      </c>
    </row>
    <row r="2046" spans="1:14" x14ac:dyDescent="0.35">
      <c r="A2046" t="s">
        <v>2133</v>
      </c>
      <c r="B2046" t="s">
        <v>15</v>
      </c>
      <c r="C2046" t="s">
        <v>16</v>
      </c>
      <c r="D2046">
        <v>168</v>
      </c>
      <c r="E2046" t="s">
        <v>2104</v>
      </c>
      <c r="F2046">
        <v>5419</v>
      </c>
      <c r="G2046" t="s">
        <v>18</v>
      </c>
      <c r="H2046">
        <v>27</v>
      </c>
      <c r="I2046" t="s">
        <v>19</v>
      </c>
      <c r="J2046">
        <v>2016</v>
      </c>
      <c r="K2046">
        <v>2016</v>
      </c>
      <c r="L2046" t="s">
        <v>20</v>
      </c>
      <c r="M2046">
        <v>20977</v>
      </c>
      <c r="N2046">
        <v>3142</v>
      </c>
    </row>
    <row r="2047" spans="1:14" x14ac:dyDescent="0.35">
      <c r="A2047" t="s">
        <v>2134</v>
      </c>
      <c r="B2047" t="s">
        <v>15</v>
      </c>
      <c r="C2047" t="s">
        <v>16</v>
      </c>
      <c r="D2047">
        <v>169</v>
      </c>
      <c r="E2047" t="s">
        <v>2135</v>
      </c>
      <c r="F2047">
        <v>5419</v>
      </c>
      <c r="G2047" t="s">
        <v>18</v>
      </c>
      <c r="H2047">
        <v>27</v>
      </c>
      <c r="I2047" t="s">
        <v>19</v>
      </c>
      <c r="J2047">
        <v>1985</v>
      </c>
      <c r="K2047">
        <v>1985</v>
      </c>
      <c r="L2047" t="s">
        <v>20</v>
      </c>
      <c r="M2047">
        <v>24925</v>
      </c>
      <c r="N2047">
        <v>3142</v>
      </c>
    </row>
    <row r="2048" spans="1:14" x14ac:dyDescent="0.35">
      <c r="A2048" t="s">
        <v>2136</v>
      </c>
      <c r="B2048" t="s">
        <v>15</v>
      </c>
      <c r="C2048" t="s">
        <v>16</v>
      </c>
      <c r="D2048">
        <v>169</v>
      </c>
      <c r="E2048" t="s">
        <v>2135</v>
      </c>
      <c r="F2048">
        <v>5419</v>
      </c>
      <c r="G2048" t="s">
        <v>18</v>
      </c>
      <c r="H2048">
        <v>27</v>
      </c>
      <c r="I2048" t="s">
        <v>19</v>
      </c>
      <c r="J2048">
        <v>1986</v>
      </c>
      <c r="K2048">
        <v>1986</v>
      </c>
      <c r="L2048" t="s">
        <v>20</v>
      </c>
      <c r="M2048">
        <v>20066</v>
      </c>
      <c r="N2048">
        <v>1130</v>
      </c>
    </row>
    <row r="2049" spans="1:14" x14ac:dyDescent="0.35">
      <c r="A2049" t="s">
        <v>2137</v>
      </c>
      <c r="B2049" t="s">
        <v>15</v>
      </c>
      <c r="C2049" t="s">
        <v>16</v>
      </c>
      <c r="D2049">
        <v>169</v>
      </c>
      <c r="E2049" t="s">
        <v>2135</v>
      </c>
      <c r="F2049">
        <v>5419</v>
      </c>
      <c r="G2049" t="s">
        <v>18</v>
      </c>
      <c r="H2049">
        <v>27</v>
      </c>
      <c r="I2049" t="s">
        <v>19</v>
      </c>
      <c r="J2049">
        <v>1987</v>
      </c>
      <c r="K2049">
        <v>1987</v>
      </c>
      <c r="L2049" t="s">
        <v>20</v>
      </c>
      <c r="M2049">
        <v>25731</v>
      </c>
      <c r="N2049">
        <v>1130</v>
      </c>
    </row>
    <row r="2050" spans="1:14" x14ac:dyDescent="0.35">
      <c r="A2050" t="s">
        <v>2138</v>
      </c>
      <c r="B2050" t="s">
        <v>15</v>
      </c>
      <c r="C2050" t="s">
        <v>16</v>
      </c>
      <c r="D2050">
        <v>169</v>
      </c>
      <c r="E2050" t="s">
        <v>2135</v>
      </c>
      <c r="F2050">
        <v>5419</v>
      </c>
      <c r="G2050" t="s">
        <v>18</v>
      </c>
      <c r="H2050">
        <v>27</v>
      </c>
      <c r="I2050" t="s">
        <v>19</v>
      </c>
      <c r="J2050">
        <v>1989</v>
      </c>
      <c r="K2050">
        <v>1989</v>
      </c>
      <c r="L2050" t="s">
        <v>20</v>
      </c>
      <c r="M2050">
        <v>26996</v>
      </c>
      <c r="N2050">
        <v>1130</v>
      </c>
    </row>
    <row r="2051" spans="1:14" x14ac:dyDescent="0.35">
      <c r="A2051" t="s">
        <v>2139</v>
      </c>
      <c r="B2051" t="s">
        <v>15</v>
      </c>
      <c r="C2051" t="s">
        <v>16</v>
      </c>
      <c r="D2051">
        <v>169</v>
      </c>
      <c r="E2051" t="s">
        <v>2135</v>
      </c>
      <c r="F2051">
        <v>5419</v>
      </c>
      <c r="G2051" t="s">
        <v>18</v>
      </c>
      <c r="H2051">
        <v>27</v>
      </c>
      <c r="I2051" t="s">
        <v>19</v>
      </c>
      <c r="J2051">
        <v>1990</v>
      </c>
      <c r="K2051">
        <v>1990</v>
      </c>
      <c r="L2051" t="s">
        <v>20</v>
      </c>
      <c r="M2051">
        <v>25206</v>
      </c>
      <c r="N2051">
        <v>1130</v>
      </c>
    </row>
    <row r="2052" spans="1:14" x14ac:dyDescent="0.35">
      <c r="A2052" t="s">
        <v>2140</v>
      </c>
      <c r="B2052" t="s">
        <v>15</v>
      </c>
      <c r="C2052" t="s">
        <v>16</v>
      </c>
      <c r="D2052">
        <v>169</v>
      </c>
      <c r="E2052" t="s">
        <v>2135</v>
      </c>
      <c r="F2052">
        <v>5419</v>
      </c>
      <c r="G2052" t="s">
        <v>18</v>
      </c>
      <c r="H2052">
        <v>27</v>
      </c>
      <c r="I2052" t="s">
        <v>19</v>
      </c>
      <c r="J2052">
        <v>1991</v>
      </c>
      <c r="K2052">
        <v>1991</v>
      </c>
      <c r="L2052" t="s">
        <v>20</v>
      </c>
      <c r="M2052">
        <v>31698</v>
      </c>
      <c r="N2052">
        <v>1130</v>
      </c>
    </row>
    <row r="2053" spans="1:14" x14ac:dyDescent="0.35">
      <c r="A2053" t="s">
        <v>2141</v>
      </c>
      <c r="B2053" t="s">
        <v>15</v>
      </c>
      <c r="C2053" t="s">
        <v>16</v>
      </c>
      <c r="D2053">
        <v>169</v>
      </c>
      <c r="E2053" t="s">
        <v>2135</v>
      </c>
      <c r="F2053">
        <v>5419</v>
      </c>
      <c r="G2053" t="s">
        <v>18</v>
      </c>
      <c r="H2053">
        <v>27</v>
      </c>
      <c r="I2053" t="s">
        <v>19</v>
      </c>
      <c r="J2053">
        <v>1992</v>
      </c>
      <c r="K2053">
        <v>1992</v>
      </c>
      <c r="L2053" t="s">
        <v>20</v>
      </c>
      <c r="M2053">
        <v>38317</v>
      </c>
      <c r="N2053">
        <v>1130</v>
      </c>
    </row>
    <row r="2054" spans="1:14" x14ac:dyDescent="0.35">
      <c r="A2054" t="s">
        <v>2142</v>
      </c>
      <c r="B2054" t="s">
        <v>15</v>
      </c>
      <c r="C2054" t="s">
        <v>16</v>
      </c>
      <c r="D2054">
        <v>169</v>
      </c>
      <c r="E2054" t="s">
        <v>2135</v>
      </c>
      <c r="F2054">
        <v>5419</v>
      </c>
      <c r="G2054" t="s">
        <v>18</v>
      </c>
      <c r="H2054">
        <v>27</v>
      </c>
      <c r="I2054" t="s">
        <v>19</v>
      </c>
      <c r="J2054">
        <v>1993</v>
      </c>
      <c r="K2054">
        <v>1993</v>
      </c>
      <c r="L2054" t="s">
        <v>20</v>
      </c>
      <c r="M2054">
        <v>37715</v>
      </c>
      <c r="N2054">
        <v>1130</v>
      </c>
    </row>
    <row r="2055" spans="1:14" x14ac:dyDescent="0.35">
      <c r="A2055" t="s">
        <v>2143</v>
      </c>
      <c r="B2055" t="s">
        <v>15</v>
      </c>
      <c r="C2055" t="s">
        <v>16</v>
      </c>
      <c r="D2055">
        <v>169</v>
      </c>
      <c r="E2055" t="s">
        <v>2135</v>
      </c>
      <c r="F2055">
        <v>5419</v>
      </c>
      <c r="G2055" t="s">
        <v>18</v>
      </c>
      <c r="H2055">
        <v>27</v>
      </c>
      <c r="I2055" t="s">
        <v>19</v>
      </c>
      <c r="J2055">
        <v>1994</v>
      </c>
      <c r="K2055">
        <v>1994</v>
      </c>
      <c r="L2055" t="s">
        <v>20</v>
      </c>
      <c r="M2055">
        <v>39785</v>
      </c>
      <c r="N2055">
        <v>1130</v>
      </c>
    </row>
    <row r="2056" spans="1:14" x14ac:dyDescent="0.35">
      <c r="A2056" t="s">
        <v>2144</v>
      </c>
      <c r="B2056" t="s">
        <v>15</v>
      </c>
      <c r="C2056" t="s">
        <v>16</v>
      </c>
      <c r="D2056">
        <v>169</v>
      </c>
      <c r="E2056" t="s">
        <v>2135</v>
      </c>
      <c r="F2056">
        <v>5419</v>
      </c>
      <c r="G2056" t="s">
        <v>18</v>
      </c>
      <c r="H2056">
        <v>27</v>
      </c>
      <c r="I2056" t="s">
        <v>19</v>
      </c>
      <c r="J2056">
        <v>1995</v>
      </c>
      <c r="K2056">
        <v>1995</v>
      </c>
      <c r="L2056" t="s">
        <v>20</v>
      </c>
      <c r="M2056">
        <v>41143</v>
      </c>
      <c r="N2056">
        <v>1130</v>
      </c>
    </row>
    <row r="2057" spans="1:14" x14ac:dyDescent="0.35">
      <c r="A2057" t="s">
        <v>2145</v>
      </c>
      <c r="B2057" t="s">
        <v>15</v>
      </c>
      <c r="C2057" t="s">
        <v>16</v>
      </c>
      <c r="D2057">
        <v>169</v>
      </c>
      <c r="E2057" t="s">
        <v>2135</v>
      </c>
      <c r="F2057">
        <v>5419</v>
      </c>
      <c r="G2057" t="s">
        <v>18</v>
      </c>
      <c r="H2057">
        <v>27</v>
      </c>
      <c r="I2057" t="s">
        <v>19</v>
      </c>
      <c r="J2057">
        <v>1996</v>
      </c>
      <c r="K2057">
        <v>1996</v>
      </c>
      <c r="L2057" t="s">
        <v>20</v>
      </c>
      <c r="M2057">
        <v>36692</v>
      </c>
      <c r="N2057">
        <v>1130</v>
      </c>
    </row>
    <row r="2058" spans="1:14" x14ac:dyDescent="0.35">
      <c r="A2058" t="s">
        <v>2146</v>
      </c>
      <c r="B2058" t="s">
        <v>15</v>
      </c>
      <c r="C2058" t="s">
        <v>16</v>
      </c>
      <c r="D2058">
        <v>169</v>
      </c>
      <c r="E2058" t="s">
        <v>2135</v>
      </c>
      <c r="F2058">
        <v>5419</v>
      </c>
      <c r="G2058" t="s">
        <v>18</v>
      </c>
      <c r="H2058">
        <v>27</v>
      </c>
      <c r="I2058" t="s">
        <v>19</v>
      </c>
      <c r="J2058">
        <v>1997</v>
      </c>
      <c r="K2058">
        <v>1997</v>
      </c>
      <c r="L2058" t="s">
        <v>20</v>
      </c>
      <c r="M2058">
        <v>36988</v>
      </c>
      <c r="N2058">
        <v>1130</v>
      </c>
    </row>
    <row r="2059" spans="1:14" x14ac:dyDescent="0.35">
      <c r="A2059" t="s">
        <v>2147</v>
      </c>
      <c r="B2059" t="s">
        <v>15</v>
      </c>
      <c r="C2059" t="s">
        <v>16</v>
      </c>
      <c r="D2059">
        <v>169</v>
      </c>
      <c r="E2059" t="s">
        <v>2135</v>
      </c>
      <c r="F2059">
        <v>5419</v>
      </c>
      <c r="G2059" t="s">
        <v>18</v>
      </c>
      <c r="H2059">
        <v>27</v>
      </c>
      <c r="I2059" t="s">
        <v>19</v>
      </c>
      <c r="J2059">
        <v>1998</v>
      </c>
      <c r="K2059">
        <v>1998</v>
      </c>
      <c r="L2059" t="s">
        <v>20</v>
      </c>
      <c r="M2059">
        <v>38792</v>
      </c>
      <c r="N2059">
        <v>1130</v>
      </c>
    </row>
    <row r="2060" spans="1:14" x14ac:dyDescent="0.35">
      <c r="A2060" t="s">
        <v>2148</v>
      </c>
      <c r="B2060" t="s">
        <v>15</v>
      </c>
      <c r="C2060" t="s">
        <v>16</v>
      </c>
      <c r="D2060">
        <v>169</v>
      </c>
      <c r="E2060" t="s">
        <v>2135</v>
      </c>
      <c r="F2060">
        <v>5419</v>
      </c>
      <c r="G2060" t="s">
        <v>18</v>
      </c>
      <c r="H2060">
        <v>27</v>
      </c>
      <c r="I2060" t="s">
        <v>19</v>
      </c>
      <c r="J2060">
        <v>1999</v>
      </c>
      <c r="K2060">
        <v>1999</v>
      </c>
      <c r="L2060" t="s">
        <v>20</v>
      </c>
      <c r="M2060">
        <v>46126</v>
      </c>
      <c r="N2060">
        <v>1130</v>
      </c>
    </row>
    <row r="2061" spans="1:14" x14ac:dyDescent="0.35">
      <c r="A2061" t="s">
        <v>2149</v>
      </c>
      <c r="B2061" t="s">
        <v>15</v>
      </c>
      <c r="C2061" t="s">
        <v>16</v>
      </c>
      <c r="D2061">
        <v>169</v>
      </c>
      <c r="E2061" t="s">
        <v>2135</v>
      </c>
      <c r="F2061">
        <v>5419</v>
      </c>
      <c r="G2061" t="s">
        <v>18</v>
      </c>
      <c r="H2061">
        <v>27</v>
      </c>
      <c r="I2061" t="s">
        <v>19</v>
      </c>
      <c r="J2061">
        <v>2000</v>
      </c>
      <c r="K2061">
        <v>2000</v>
      </c>
      <c r="L2061" t="s">
        <v>20</v>
      </c>
      <c r="M2061">
        <v>38492</v>
      </c>
      <c r="N2061">
        <v>1130</v>
      </c>
    </row>
    <row r="2062" spans="1:14" x14ac:dyDescent="0.35">
      <c r="A2062" t="s">
        <v>2150</v>
      </c>
      <c r="B2062" t="s">
        <v>15</v>
      </c>
      <c r="C2062" t="s">
        <v>16</v>
      </c>
      <c r="D2062">
        <v>169</v>
      </c>
      <c r="E2062" t="s">
        <v>2135</v>
      </c>
      <c r="F2062">
        <v>5419</v>
      </c>
      <c r="G2062" t="s">
        <v>18</v>
      </c>
      <c r="H2062">
        <v>27</v>
      </c>
      <c r="I2062" t="s">
        <v>19</v>
      </c>
      <c r="J2062">
        <v>2001</v>
      </c>
      <c r="K2062">
        <v>2001</v>
      </c>
      <c r="L2062" t="s">
        <v>20</v>
      </c>
      <c r="M2062">
        <v>39797</v>
      </c>
      <c r="N2062">
        <v>1130</v>
      </c>
    </row>
    <row r="2063" spans="1:14" x14ac:dyDescent="0.35">
      <c r="A2063" t="s">
        <v>2151</v>
      </c>
      <c r="B2063" t="s">
        <v>15</v>
      </c>
      <c r="C2063" t="s">
        <v>16</v>
      </c>
      <c r="D2063">
        <v>169</v>
      </c>
      <c r="E2063" t="s">
        <v>2135</v>
      </c>
      <c r="F2063">
        <v>5419</v>
      </c>
      <c r="G2063" t="s">
        <v>18</v>
      </c>
      <c r="H2063">
        <v>27</v>
      </c>
      <c r="I2063" t="s">
        <v>19</v>
      </c>
      <c r="J2063">
        <v>2002</v>
      </c>
      <c r="K2063">
        <v>2002</v>
      </c>
      <c r="L2063" t="s">
        <v>20</v>
      </c>
      <c r="M2063">
        <v>38841</v>
      </c>
      <c r="N2063">
        <v>1130</v>
      </c>
    </row>
    <row r="2064" spans="1:14" x14ac:dyDescent="0.35">
      <c r="A2064" t="s">
        <v>2152</v>
      </c>
      <c r="B2064" t="s">
        <v>15</v>
      </c>
      <c r="C2064" t="s">
        <v>16</v>
      </c>
      <c r="D2064">
        <v>169</v>
      </c>
      <c r="E2064" t="s">
        <v>2135</v>
      </c>
      <c r="F2064">
        <v>5419</v>
      </c>
      <c r="G2064" t="s">
        <v>18</v>
      </c>
      <c r="H2064">
        <v>27</v>
      </c>
      <c r="I2064" t="s">
        <v>19</v>
      </c>
      <c r="J2064">
        <v>2004</v>
      </c>
      <c r="K2064">
        <v>2004</v>
      </c>
      <c r="L2064" t="s">
        <v>20</v>
      </c>
      <c r="M2064">
        <v>40323</v>
      </c>
      <c r="N2064">
        <v>1130</v>
      </c>
    </row>
    <row r="2065" spans="1:14" x14ac:dyDescent="0.35">
      <c r="A2065" t="s">
        <v>2153</v>
      </c>
      <c r="B2065" t="s">
        <v>15</v>
      </c>
      <c r="C2065" t="s">
        <v>16</v>
      </c>
      <c r="D2065">
        <v>169</v>
      </c>
      <c r="E2065" t="s">
        <v>2135</v>
      </c>
      <c r="F2065">
        <v>5419</v>
      </c>
      <c r="G2065" t="s">
        <v>18</v>
      </c>
      <c r="H2065">
        <v>27</v>
      </c>
      <c r="I2065" t="s">
        <v>19</v>
      </c>
      <c r="J2065">
        <v>2005</v>
      </c>
      <c r="K2065">
        <v>2005</v>
      </c>
      <c r="L2065" t="s">
        <v>20</v>
      </c>
      <c r="M2065">
        <v>30448</v>
      </c>
      <c r="N2065">
        <v>1130</v>
      </c>
    </row>
    <row r="2066" spans="1:14" x14ac:dyDescent="0.35">
      <c r="A2066" t="s">
        <v>2154</v>
      </c>
      <c r="B2066" t="s">
        <v>15</v>
      </c>
      <c r="C2066" t="s">
        <v>16</v>
      </c>
      <c r="D2066">
        <v>169</v>
      </c>
      <c r="E2066" t="s">
        <v>2135</v>
      </c>
      <c r="F2066">
        <v>5419</v>
      </c>
      <c r="G2066" t="s">
        <v>18</v>
      </c>
      <c r="H2066">
        <v>27</v>
      </c>
      <c r="I2066" t="s">
        <v>19</v>
      </c>
      <c r="J2066">
        <v>2006</v>
      </c>
      <c r="K2066">
        <v>2006</v>
      </c>
      <c r="L2066" t="s">
        <v>20</v>
      </c>
      <c r="M2066">
        <v>30000</v>
      </c>
      <c r="N2066">
        <v>1130</v>
      </c>
    </row>
    <row r="2067" spans="1:14" x14ac:dyDescent="0.35">
      <c r="A2067" t="s">
        <v>2155</v>
      </c>
      <c r="B2067" t="s">
        <v>15</v>
      </c>
      <c r="C2067" t="s">
        <v>16</v>
      </c>
      <c r="D2067">
        <v>169</v>
      </c>
      <c r="E2067" t="s">
        <v>2135</v>
      </c>
      <c r="F2067">
        <v>5419</v>
      </c>
      <c r="G2067" t="s">
        <v>18</v>
      </c>
      <c r="H2067">
        <v>27</v>
      </c>
      <c r="I2067" t="s">
        <v>19</v>
      </c>
      <c r="J2067">
        <v>2007</v>
      </c>
      <c r="K2067">
        <v>2007</v>
      </c>
      <c r="L2067" t="s">
        <v>20</v>
      </c>
      <c r="M2067">
        <v>30952</v>
      </c>
      <c r="N2067">
        <v>1130</v>
      </c>
    </row>
    <row r="2068" spans="1:14" x14ac:dyDescent="0.35">
      <c r="A2068" t="s">
        <v>2156</v>
      </c>
      <c r="B2068" t="s">
        <v>15</v>
      </c>
      <c r="C2068" t="s">
        <v>16</v>
      </c>
      <c r="D2068">
        <v>169</v>
      </c>
      <c r="E2068" t="s">
        <v>2135</v>
      </c>
      <c r="F2068">
        <v>5419</v>
      </c>
      <c r="G2068" t="s">
        <v>18</v>
      </c>
      <c r="H2068">
        <v>27</v>
      </c>
      <c r="I2068" t="s">
        <v>19</v>
      </c>
      <c r="J2068">
        <v>2008</v>
      </c>
      <c r="K2068">
        <v>2008</v>
      </c>
      <c r="L2068" t="s">
        <v>20</v>
      </c>
      <c r="M2068">
        <v>42720</v>
      </c>
      <c r="N2068">
        <v>1130</v>
      </c>
    </row>
    <row r="2069" spans="1:14" x14ac:dyDescent="0.35">
      <c r="A2069" t="s">
        <v>2157</v>
      </c>
      <c r="B2069" t="s">
        <v>15</v>
      </c>
      <c r="C2069" t="s">
        <v>16</v>
      </c>
      <c r="D2069">
        <v>169</v>
      </c>
      <c r="E2069" t="s">
        <v>2135</v>
      </c>
      <c r="F2069">
        <v>5419</v>
      </c>
      <c r="G2069" t="s">
        <v>18</v>
      </c>
      <c r="H2069">
        <v>27</v>
      </c>
      <c r="I2069" t="s">
        <v>19</v>
      </c>
      <c r="J2069">
        <v>2009</v>
      </c>
      <c r="K2069">
        <v>2009</v>
      </c>
      <c r="L2069" t="s">
        <v>20</v>
      </c>
      <c r="M2069">
        <v>43000</v>
      </c>
      <c r="N2069">
        <v>1130</v>
      </c>
    </row>
    <row r="2070" spans="1:14" x14ac:dyDescent="0.35">
      <c r="A2070" t="s">
        <v>2158</v>
      </c>
      <c r="B2070" t="s">
        <v>15</v>
      </c>
      <c r="C2070" t="s">
        <v>16</v>
      </c>
      <c r="D2070">
        <v>169</v>
      </c>
      <c r="E2070" t="s">
        <v>2135</v>
      </c>
      <c r="F2070">
        <v>5419</v>
      </c>
      <c r="G2070" t="s">
        <v>18</v>
      </c>
      <c r="H2070">
        <v>27</v>
      </c>
      <c r="I2070" t="s">
        <v>19</v>
      </c>
      <c r="J2070">
        <v>2010</v>
      </c>
      <c r="K2070">
        <v>2010</v>
      </c>
      <c r="L2070" t="s">
        <v>20</v>
      </c>
      <c r="M2070">
        <v>52998</v>
      </c>
      <c r="N2070">
        <v>1130</v>
      </c>
    </row>
    <row r="2071" spans="1:14" x14ac:dyDescent="0.35">
      <c r="A2071" t="s">
        <v>2159</v>
      </c>
      <c r="B2071" t="s">
        <v>15</v>
      </c>
      <c r="C2071" t="s">
        <v>16</v>
      </c>
      <c r="D2071">
        <v>169</v>
      </c>
      <c r="E2071" t="s">
        <v>2135</v>
      </c>
      <c r="F2071">
        <v>5419</v>
      </c>
      <c r="G2071" t="s">
        <v>18</v>
      </c>
      <c r="H2071">
        <v>27</v>
      </c>
      <c r="I2071" t="s">
        <v>19</v>
      </c>
      <c r="J2071">
        <v>2011</v>
      </c>
      <c r="K2071">
        <v>2011</v>
      </c>
      <c r="L2071" t="s">
        <v>20</v>
      </c>
      <c r="M2071">
        <v>51936</v>
      </c>
      <c r="N2071">
        <v>1130</v>
      </c>
    </row>
    <row r="2072" spans="1:14" x14ac:dyDescent="0.35">
      <c r="A2072" t="s">
        <v>2160</v>
      </c>
      <c r="B2072" t="s">
        <v>15</v>
      </c>
      <c r="C2072" t="s">
        <v>16</v>
      </c>
      <c r="D2072">
        <v>169</v>
      </c>
      <c r="E2072" t="s">
        <v>2135</v>
      </c>
      <c r="F2072">
        <v>5419</v>
      </c>
      <c r="G2072" t="s">
        <v>18</v>
      </c>
      <c r="H2072">
        <v>27</v>
      </c>
      <c r="I2072" t="s">
        <v>19</v>
      </c>
      <c r="J2072">
        <v>2012</v>
      </c>
      <c r="K2072">
        <v>2012</v>
      </c>
      <c r="L2072" t="s">
        <v>20</v>
      </c>
      <c r="M2072">
        <v>49500</v>
      </c>
      <c r="N2072">
        <v>1130</v>
      </c>
    </row>
    <row r="2073" spans="1:14" x14ac:dyDescent="0.35">
      <c r="A2073" t="s">
        <v>2161</v>
      </c>
      <c r="B2073" t="s">
        <v>15</v>
      </c>
      <c r="C2073" t="s">
        <v>16</v>
      </c>
      <c r="D2073">
        <v>169</v>
      </c>
      <c r="E2073" t="s">
        <v>2135</v>
      </c>
      <c r="F2073">
        <v>5419</v>
      </c>
      <c r="G2073" t="s">
        <v>18</v>
      </c>
      <c r="H2073">
        <v>27</v>
      </c>
      <c r="I2073" t="s">
        <v>19</v>
      </c>
      <c r="J2073">
        <v>2013</v>
      </c>
      <c r="K2073">
        <v>2013</v>
      </c>
      <c r="L2073" t="s">
        <v>20</v>
      </c>
      <c r="M2073">
        <v>63000</v>
      </c>
      <c r="N2073">
        <v>1130</v>
      </c>
    </row>
    <row r="2074" spans="1:14" x14ac:dyDescent="0.35">
      <c r="A2074" t="s">
        <v>2162</v>
      </c>
      <c r="B2074" t="s">
        <v>15</v>
      </c>
      <c r="C2074" t="s">
        <v>16</v>
      </c>
      <c r="D2074">
        <v>169</v>
      </c>
      <c r="E2074" t="s">
        <v>2135</v>
      </c>
      <c r="F2074">
        <v>5419</v>
      </c>
      <c r="G2074" t="s">
        <v>18</v>
      </c>
      <c r="H2074">
        <v>27</v>
      </c>
      <c r="I2074" t="s">
        <v>19</v>
      </c>
      <c r="J2074">
        <v>2014</v>
      </c>
      <c r="K2074">
        <v>2014</v>
      </c>
      <c r="L2074" t="s">
        <v>20</v>
      </c>
      <c r="M2074">
        <v>67000</v>
      </c>
      <c r="N2074">
        <v>1130</v>
      </c>
    </row>
    <row r="2075" spans="1:14" x14ac:dyDescent="0.35">
      <c r="A2075" t="s">
        <v>2163</v>
      </c>
      <c r="B2075" t="s">
        <v>15</v>
      </c>
      <c r="C2075" t="s">
        <v>16</v>
      </c>
      <c r="D2075">
        <v>169</v>
      </c>
      <c r="E2075" t="s">
        <v>2135</v>
      </c>
      <c r="F2075">
        <v>5419</v>
      </c>
      <c r="G2075" t="s">
        <v>18</v>
      </c>
      <c r="H2075">
        <v>27</v>
      </c>
      <c r="I2075" t="s">
        <v>19</v>
      </c>
      <c r="J2075">
        <v>2015</v>
      </c>
      <c r="K2075">
        <v>2015</v>
      </c>
      <c r="L2075" t="s">
        <v>20</v>
      </c>
      <c r="M2075">
        <v>67013</v>
      </c>
      <c r="N2075">
        <v>1130</v>
      </c>
    </row>
    <row r="2076" spans="1:14" x14ac:dyDescent="0.35">
      <c r="A2076" t="s">
        <v>2164</v>
      </c>
      <c r="B2076" t="s">
        <v>15</v>
      </c>
      <c r="C2076" t="s">
        <v>16</v>
      </c>
      <c r="D2076">
        <v>169</v>
      </c>
      <c r="E2076" t="s">
        <v>2135</v>
      </c>
      <c r="F2076">
        <v>5419</v>
      </c>
      <c r="G2076" t="s">
        <v>18</v>
      </c>
      <c r="H2076">
        <v>27</v>
      </c>
      <c r="I2076" t="s">
        <v>19</v>
      </c>
      <c r="J2076">
        <v>2016</v>
      </c>
      <c r="K2076">
        <v>2016</v>
      </c>
      <c r="L2076" t="s">
        <v>20</v>
      </c>
      <c r="M2076">
        <v>66000</v>
      </c>
      <c r="N2076">
        <v>1130</v>
      </c>
    </row>
    <row r="2077" spans="1:14" x14ac:dyDescent="0.35">
      <c r="A2077" t="s">
        <v>2165</v>
      </c>
      <c r="B2077" t="s">
        <v>15</v>
      </c>
      <c r="C2077" t="s">
        <v>16</v>
      </c>
      <c r="D2077">
        <v>170</v>
      </c>
      <c r="E2077" t="s">
        <v>2166</v>
      </c>
      <c r="F2077">
        <v>5419</v>
      </c>
      <c r="G2077" t="s">
        <v>18</v>
      </c>
      <c r="H2077">
        <v>27</v>
      </c>
      <c r="I2077" t="s">
        <v>19</v>
      </c>
      <c r="J2077">
        <v>1985</v>
      </c>
      <c r="K2077">
        <v>1985</v>
      </c>
      <c r="L2077" t="s">
        <v>20</v>
      </c>
      <c r="M2077">
        <v>45575</v>
      </c>
      <c r="N2077">
        <v>1738</v>
      </c>
    </row>
    <row r="2078" spans="1:14" x14ac:dyDescent="0.35">
      <c r="A2078" t="s">
        <v>2167</v>
      </c>
      <c r="B2078" t="s">
        <v>15</v>
      </c>
      <c r="C2078" t="s">
        <v>16</v>
      </c>
      <c r="D2078">
        <v>170</v>
      </c>
      <c r="E2078" t="s">
        <v>2166</v>
      </c>
      <c r="F2078">
        <v>5419</v>
      </c>
      <c r="G2078" t="s">
        <v>18</v>
      </c>
      <c r="H2078">
        <v>27</v>
      </c>
      <c r="I2078" t="s">
        <v>19</v>
      </c>
      <c r="J2078">
        <v>1986</v>
      </c>
      <c r="K2078">
        <v>1986</v>
      </c>
      <c r="L2078" t="s">
        <v>20</v>
      </c>
      <c r="M2078">
        <v>45045</v>
      </c>
      <c r="N2078">
        <v>1738</v>
      </c>
    </row>
    <row r="2079" spans="1:14" x14ac:dyDescent="0.35">
      <c r="A2079" t="s">
        <v>2168</v>
      </c>
      <c r="B2079" t="s">
        <v>15</v>
      </c>
      <c r="C2079" t="s">
        <v>16</v>
      </c>
      <c r="D2079">
        <v>170</v>
      </c>
      <c r="E2079" t="s">
        <v>2166</v>
      </c>
      <c r="F2079">
        <v>5419</v>
      </c>
      <c r="G2079" t="s">
        <v>18</v>
      </c>
      <c r="H2079">
        <v>27</v>
      </c>
      <c r="I2079" t="s">
        <v>19</v>
      </c>
      <c r="J2079">
        <v>1987</v>
      </c>
      <c r="K2079">
        <v>1987</v>
      </c>
      <c r="L2079" t="s">
        <v>20</v>
      </c>
      <c r="M2079">
        <v>50927</v>
      </c>
      <c r="N2079">
        <v>1738</v>
      </c>
    </row>
    <row r="2080" spans="1:14" x14ac:dyDescent="0.35">
      <c r="A2080" t="s">
        <v>2169</v>
      </c>
      <c r="B2080" t="s">
        <v>15</v>
      </c>
      <c r="C2080" t="s">
        <v>16</v>
      </c>
      <c r="D2080">
        <v>170</v>
      </c>
      <c r="E2080" t="s">
        <v>2166</v>
      </c>
      <c r="F2080">
        <v>5419</v>
      </c>
      <c r="G2080" t="s">
        <v>18</v>
      </c>
      <c r="H2080">
        <v>27</v>
      </c>
      <c r="I2080" t="s">
        <v>19</v>
      </c>
      <c r="J2080">
        <v>1989</v>
      </c>
      <c r="K2080">
        <v>1989</v>
      </c>
      <c r="L2080" t="s">
        <v>20</v>
      </c>
      <c r="M2080">
        <v>51166</v>
      </c>
      <c r="N2080">
        <v>1738</v>
      </c>
    </row>
    <row r="2081" spans="1:14" x14ac:dyDescent="0.35">
      <c r="A2081" t="s">
        <v>2170</v>
      </c>
      <c r="B2081" t="s">
        <v>15</v>
      </c>
      <c r="C2081" t="s">
        <v>16</v>
      </c>
      <c r="D2081">
        <v>170</v>
      </c>
      <c r="E2081" t="s">
        <v>2166</v>
      </c>
      <c r="F2081">
        <v>5419</v>
      </c>
      <c r="G2081" t="s">
        <v>18</v>
      </c>
      <c r="H2081">
        <v>27</v>
      </c>
      <c r="I2081" t="s">
        <v>19</v>
      </c>
      <c r="J2081">
        <v>1990</v>
      </c>
      <c r="K2081">
        <v>1990</v>
      </c>
      <c r="L2081" t="s">
        <v>20</v>
      </c>
      <c r="M2081">
        <v>52290</v>
      </c>
      <c r="N2081">
        <v>1738</v>
      </c>
    </row>
    <row r="2082" spans="1:14" x14ac:dyDescent="0.35">
      <c r="A2082" t="s">
        <v>2171</v>
      </c>
      <c r="B2082" t="s">
        <v>15</v>
      </c>
      <c r="C2082" t="s">
        <v>16</v>
      </c>
      <c r="D2082">
        <v>170</v>
      </c>
      <c r="E2082" t="s">
        <v>2166</v>
      </c>
      <c r="F2082">
        <v>5419</v>
      </c>
      <c r="G2082" t="s">
        <v>18</v>
      </c>
      <c r="H2082">
        <v>27</v>
      </c>
      <c r="I2082" t="s">
        <v>19</v>
      </c>
      <c r="J2082">
        <v>1991</v>
      </c>
      <c r="K2082">
        <v>1991</v>
      </c>
      <c r="L2082" t="s">
        <v>20</v>
      </c>
      <c r="M2082">
        <v>51416</v>
      </c>
      <c r="N2082">
        <v>1738</v>
      </c>
    </row>
    <row r="2083" spans="1:14" x14ac:dyDescent="0.35">
      <c r="A2083" t="s">
        <v>2172</v>
      </c>
      <c r="B2083" t="s">
        <v>15</v>
      </c>
      <c r="C2083" t="s">
        <v>16</v>
      </c>
      <c r="D2083">
        <v>170</v>
      </c>
      <c r="E2083" t="s">
        <v>2166</v>
      </c>
      <c r="F2083">
        <v>5419</v>
      </c>
      <c r="G2083" t="s">
        <v>18</v>
      </c>
      <c r="H2083">
        <v>27</v>
      </c>
      <c r="I2083" t="s">
        <v>19</v>
      </c>
      <c r="J2083">
        <v>1992</v>
      </c>
      <c r="K2083">
        <v>1992</v>
      </c>
      <c r="L2083" t="s">
        <v>20</v>
      </c>
      <c r="M2083">
        <v>49812</v>
      </c>
      <c r="N2083">
        <v>1738</v>
      </c>
    </row>
    <row r="2084" spans="1:14" x14ac:dyDescent="0.35">
      <c r="A2084" t="s">
        <v>2173</v>
      </c>
      <c r="B2084" t="s">
        <v>15</v>
      </c>
      <c r="C2084" t="s">
        <v>16</v>
      </c>
      <c r="D2084">
        <v>170</v>
      </c>
      <c r="E2084" t="s">
        <v>2166</v>
      </c>
      <c r="F2084">
        <v>5419</v>
      </c>
      <c r="G2084" t="s">
        <v>18</v>
      </c>
      <c r="H2084">
        <v>27</v>
      </c>
      <c r="I2084" t="s">
        <v>19</v>
      </c>
      <c r="J2084">
        <v>1993</v>
      </c>
      <c r="K2084">
        <v>1993</v>
      </c>
      <c r="L2084" t="s">
        <v>20</v>
      </c>
      <c r="M2084">
        <v>54506</v>
      </c>
      <c r="N2084">
        <v>1738</v>
      </c>
    </row>
    <row r="2085" spans="1:14" x14ac:dyDescent="0.35">
      <c r="A2085" t="s">
        <v>2174</v>
      </c>
      <c r="B2085" t="s">
        <v>15</v>
      </c>
      <c r="C2085" t="s">
        <v>16</v>
      </c>
      <c r="D2085">
        <v>170</v>
      </c>
      <c r="E2085" t="s">
        <v>2166</v>
      </c>
      <c r="F2085">
        <v>5419</v>
      </c>
      <c r="G2085" t="s">
        <v>18</v>
      </c>
      <c r="H2085">
        <v>27</v>
      </c>
      <c r="I2085" t="s">
        <v>19</v>
      </c>
      <c r="J2085">
        <v>1994</v>
      </c>
      <c r="K2085">
        <v>1994</v>
      </c>
      <c r="L2085" t="s">
        <v>20</v>
      </c>
      <c r="M2085">
        <v>58525</v>
      </c>
      <c r="N2085">
        <v>1738</v>
      </c>
    </row>
    <row r="2086" spans="1:14" x14ac:dyDescent="0.35">
      <c r="A2086" t="s">
        <v>2175</v>
      </c>
      <c r="B2086" t="s">
        <v>15</v>
      </c>
      <c r="C2086" t="s">
        <v>16</v>
      </c>
      <c r="D2086">
        <v>170</v>
      </c>
      <c r="E2086" t="s">
        <v>2166</v>
      </c>
      <c r="F2086">
        <v>5419</v>
      </c>
      <c r="G2086" t="s">
        <v>18</v>
      </c>
      <c r="H2086">
        <v>27</v>
      </c>
      <c r="I2086" t="s">
        <v>19</v>
      </c>
      <c r="J2086">
        <v>1995</v>
      </c>
      <c r="K2086">
        <v>1995</v>
      </c>
      <c r="L2086" t="s">
        <v>20</v>
      </c>
      <c r="M2086">
        <v>56180</v>
      </c>
      <c r="N2086">
        <v>1738</v>
      </c>
    </row>
    <row r="2087" spans="1:14" x14ac:dyDescent="0.35">
      <c r="A2087" t="s">
        <v>2176</v>
      </c>
      <c r="B2087" t="s">
        <v>15</v>
      </c>
      <c r="C2087" t="s">
        <v>16</v>
      </c>
      <c r="D2087">
        <v>170</v>
      </c>
      <c r="E2087" t="s">
        <v>2166</v>
      </c>
      <c r="F2087">
        <v>5419</v>
      </c>
      <c r="G2087" t="s">
        <v>18</v>
      </c>
      <c r="H2087">
        <v>27</v>
      </c>
      <c r="I2087" t="s">
        <v>19</v>
      </c>
      <c r="J2087">
        <v>1996</v>
      </c>
      <c r="K2087">
        <v>1996</v>
      </c>
      <c r="L2087" t="s">
        <v>20</v>
      </c>
      <c r="M2087">
        <v>57198</v>
      </c>
      <c r="N2087">
        <v>1738</v>
      </c>
    </row>
    <row r="2088" spans="1:14" x14ac:dyDescent="0.35">
      <c r="A2088" t="s">
        <v>2177</v>
      </c>
      <c r="B2088" t="s">
        <v>15</v>
      </c>
      <c r="C2088" t="s">
        <v>16</v>
      </c>
      <c r="D2088">
        <v>170</v>
      </c>
      <c r="E2088" t="s">
        <v>2166</v>
      </c>
      <c r="F2088">
        <v>5419</v>
      </c>
      <c r="G2088" t="s">
        <v>18</v>
      </c>
      <c r="H2088">
        <v>27</v>
      </c>
      <c r="I2088" t="s">
        <v>19</v>
      </c>
      <c r="J2088">
        <v>1997</v>
      </c>
      <c r="K2088">
        <v>1997</v>
      </c>
      <c r="L2088" t="s">
        <v>20</v>
      </c>
      <c r="M2088">
        <v>61154</v>
      </c>
      <c r="N2088">
        <v>1738</v>
      </c>
    </row>
    <row r="2089" spans="1:14" x14ac:dyDescent="0.35">
      <c r="A2089" t="s">
        <v>2178</v>
      </c>
      <c r="B2089" t="s">
        <v>15</v>
      </c>
      <c r="C2089" t="s">
        <v>16</v>
      </c>
      <c r="D2089">
        <v>170</v>
      </c>
      <c r="E2089" t="s">
        <v>2166</v>
      </c>
      <c r="F2089">
        <v>5419</v>
      </c>
      <c r="G2089" t="s">
        <v>18</v>
      </c>
      <c r="H2089">
        <v>27</v>
      </c>
      <c r="I2089" t="s">
        <v>19</v>
      </c>
      <c r="J2089">
        <v>1998</v>
      </c>
      <c r="K2089">
        <v>1998</v>
      </c>
      <c r="L2089" t="s">
        <v>20</v>
      </c>
      <c r="M2089">
        <v>57558</v>
      </c>
      <c r="N2089">
        <v>1738</v>
      </c>
    </row>
    <row r="2090" spans="1:14" x14ac:dyDescent="0.35">
      <c r="A2090" t="s">
        <v>2179</v>
      </c>
      <c r="B2090" t="s">
        <v>15</v>
      </c>
      <c r="C2090" t="s">
        <v>16</v>
      </c>
      <c r="D2090">
        <v>170</v>
      </c>
      <c r="E2090" t="s">
        <v>2166</v>
      </c>
      <c r="F2090">
        <v>5419</v>
      </c>
      <c r="G2090" t="s">
        <v>18</v>
      </c>
      <c r="H2090">
        <v>27</v>
      </c>
      <c r="I2090" t="s">
        <v>19</v>
      </c>
      <c r="J2090">
        <v>1999</v>
      </c>
      <c r="K2090">
        <v>1999</v>
      </c>
      <c r="L2090" t="s">
        <v>20</v>
      </c>
      <c r="M2090">
        <v>62514</v>
      </c>
      <c r="N2090">
        <v>1738</v>
      </c>
    </row>
    <row r="2091" spans="1:14" x14ac:dyDescent="0.35">
      <c r="A2091" t="s">
        <v>2180</v>
      </c>
      <c r="B2091" t="s">
        <v>15</v>
      </c>
      <c r="C2091" t="s">
        <v>16</v>
      </c>
      <c r="D2091">
        <v>170</v>
      </c>
      <c r="E2091" t="s">
        <v>2166</v>
      </c>
      <c r="F2091">
        <v>5419</v>
      </c>
      <c r="G2091" t="s">
        <v>18</v>
      </c>
      <c r="H2091">
        <v>27</v>
      </c>
      <c r="I2091" t="s">
        <v>19</v>
      </c>
      <c r="J2091">
        <v>2000</v>
      </c>
      <c r="K2091">
        <v>2000</v>
      </c>
      <c r="L2091" t="s">
        <v>20</v>
      </c>
      <c r="M2091">
        <v>65901</v>
      </c>
      <c r="N2091">
        <v>1738</v>
      </c>
    </row>
    <row r="2092" spans="1:14" x14ac:dyDescent="0.35">
      <c r="A2092" t="s">
        <v>2181</v>
      </c>
      <c r="B2092" t="s">
        <v>15</v>
      </c>
      <c r="C2092" t="s">
        <v>16</v>
      </c>
      <c r="D2092">
        <v>170</v>
      </c>
      <c r="E2092" t="s">
        <v>2166</v>
      </c>
      <c r="F2092">
        <v>5419</v>
      </c>
      <c r="G2092" t="s">
        <v>18</v>
      </c>
      <c r="H2092">
        <v>27</v>
      </c>
      <c r="I2092" t="s">
        <v>19</v>
      </c>
      <c r="J2092">
        <v>2001</v>
      </c>
      <c r="K2092">
        <v>2001</v>
      </c>
      <c r="L2092" t="s">
        <v>20</v>
      </c>
      <c r="M2092">
        <v>66941</v>
      </c>
      <c r="N2092">
        <v>1738</v>
      </c>
    </row>
    <row r="2093" spans="1:14" x14ac:dyDescent="0.35">
      <c r="A2093" t="s">
        <v>2182</v>
      </c>
      <c r="B2093" t="s">
        <v>15</v>
      </c>
      <c r="C2093" t="s">
        <v>16</v>
      </c>
      <c r="D2093">
        <v>170</v>
      </c>
      <c r="E2093" t="s">
        <v>2166</v>
      </c>
      <c r="F2093">
        <v>5419</v>
      </c>
      <c r="G2093" t="s">
        <v>18</v>
      </c>
      <c r="H2093">
        <v>27</v>
      </c>
      <c r="I2093" t="s">
        <v>19</v>
      </c>
      <c r="J2093">
        <v>2002</v>
      </c>
      <c r="K2093">
        <v>2002</v>
      </c>
      <c r="L2093" t="s">
        <v>20</v>
      </c>
      <c r="M2093">
        <v>66876</v>
      </c>
      <c r="N2093">
        <v>1738</v>
      </c>
    </row>
    <row r="2094" spans="1:14" x14ac:dyDescent="0.35">
      <c r="A2094" t="s">
        <v>2183</v>
      </c>
      <c r="B2094" t="s">
        <v>15</v>
      </c>
      <c r="C2094" t="s">
        <v>16</v>
      </c>
      <c r="D2094">
        <v>170</v>
      </c>
      <c r="E2094" t="s">
        <v>2166</v>
      </c>
      <c r="F2094">
        <v>5419</v>
      </c>
      <c r="G2094" t="s">
        <v>18</v>
      </c>
      <c r="H2094">
        <v>27</v>
      </c>
      <c r="I2094" t="s">
        <v>19</v>
      </c>
      <c r="J2094">
        <v>2004</v>
      </c>
      <c r="K2094">
        <v>2004</v>
      </c>
      <c r="L2094" t="s">
        <v>20</v>
      </c>
      <c r="M2094">
        <v>64401</v>
      </c>
      <c r="N2094">
        <v>1738</v>
      </c>
    </row>
    <row r="2095" spans="1:14" x14ac:dyDescent="0.35">
      <c r="A2095" t="s">
        <v>2184</v>
      </c>
      <c r="B2095" t="s">
        <v>15</v>
      </c>
      <c r="C2095" t="s">
        <v>16</v>
      </c>
      <c r="D2095">
        <v>170</v>
      </c>
      <c r="E2095" t="s">
        <v>2166</v>
      </c>
      <c r="F2095">
        <v>5419</v>
      </c>
      <c r="G2095" t="s">
        <v>18</v>
      </c>
      <c r="H2095">
        <v>27</v>
      </c>
      <c r="I2095" t="s">
        <v>19</v>
      </c>
      <c r="J2095">
        <v>2005</v>
      </c>
      <c r="K2095">
        <v>2005</v>
      </c>
      <c r="L2095" t="s">
        <v>20</v>
      </c>
      <c r="M2095">
        <v>68971</v>
      </c>
      <c r="N2095">
        <v>1738</v>
      </c>
    </row>
    <row r="2096" spans="1:14" x14ac:dyDescent="0.35">
      <c r="A2096" t="s">
        <v>2185</v>
      </c>
      <c r="B2096" t="s">
        <v>15</v>
      </c>
      <c r="C2096" t="s">
        <v>16</v>
      </c>
      <c r="D2096">
        <v>170</v>
      </c>
      <c r="E2096" t="s">
        <v>2166</v>
      </c>
      <c r="F2096">
        <v>5419</v>
      </c>
      <c r="G2096" t="s">
        <v>18</v>
      </c>
      <c r="H2096">
        <v>27</v>
      </c>
      <c r="I2096" t="s">
        <v>19</v>
      </c>
      <c r="J2096">
        <v>2006</v>
      </c>
      <c r="K2096">
        <v>2006</v>
      </c>
      <c r="L2096" t="s">
        <v>20</v>
      </c>
      <c r="M2096">
        <v>68732</v>
      </c>
      <c r="N2096">
        <v>1738</v>
      </c>
    </row>
    <row r="2097" spans="1:14" x14ac:dyDescent="0.35">
      <c r="A2097" t="s">
        <v>2186</v>
      </c>
      <c r="B2097" t="s">
        <v>15</v>
      </c>
      <c r="C2097" t="s">
        <v>16</v>
      </c>
      <c r="D2097">
        <v>170</v>
      </c>
      <c r="E2097" t="s">
        <v>2166</v>
      </c>
      <c r="F2097">
        <v>5419</v>
      </c>
      <c r="G2097" t="s">
        <v>18</v>
      </c>
      <c r="H2097">
        <v>27</v>
      </c>
      <c r="I2097" t="s">
        <v>19</v>
      </c>
      <c r="J2097">
        <v>2007</v>
      </c>
      <c r="K2097">
        <v>2007</v>
      </c>
      <c r="L2097" t="s">
        <v>20</v>
      </c>
      <c r="M2097">
        <v>66817</v>
      </c>
      <c r="N2097">
        <v>1738</v>
      </c>
    </row>
    <row r="2098" spans="1:14" x14ac:dyDescent="0.35">
      <c r="A2098" t="s">
        <v>2187</v>
      </c>
      <c r="B2098" t="s">
        <v>15</v>
      </c>
      <c r="C2098" t="s">
        <v>16</v>
      </c>
      <c r="D2098">
        <v>170</v>
      </c>
      <c r="E2098" t="s">
        <v>2166</v>
      </c>
      <c r="F2098">
        <v>5419</v>
      </c>
      <c r="G2098" t="s">
        <v>18</v>
      </c>
      <c r="H2098">
        <v>27</v>
      </c>
      <c r="I2098" t="s">
        <v>19</v>
      </c>
      <c r="J2098">
        <v>2008</v>
      </c>
      <c r="K2098">
        <v>2008</v>
      </c>
      <c r="L2098" t="s">
        <v>20</v>
      </c>
      <c r="M2098">
        <v>73089</v>
      </c>
      <c r="N2098">
        <v>1738</v>
      </c>
    </row>
    <row r="2099" spans="1:14" x14ac:dyDescent="0.35">
      <c r="A2099" t="s">
        <v>2188</v>
      </c>
      <c r="B2099" t="s">
        <v>15</v>
      </c>
      <c r="C2099" t="s">
        <v>16</v>
      </c>
      <c r="D2099">
        <v>170</v>
      </c>
      <c r="E2099" t="s">
        <v>2166</v>
      </c>
      <c r="F2099">
        <v>5419</v>
      </c>
      <c r="G2099" t="s">
        <v>18</v>
      </c>
      <c r="H2099">
        <v>27</v>
      </c>
      <c r="I2099" t="s">
        <v>19</v>
      </c>
      <c r="J2099">
        <v>2009</v>
      </c>
      <c r="K2099">
        <v>2009</v>
      </c>
      <c r="L2099" t="s">
        <v>20</v>
      </c>
      <c r="M2099">
        <v>73926</v>
      </c>
      <c r="N2099">
        <v>1738</v>
      </c>
    </row>
    <row r="2100" spans="1:14" x14ac:dyDescent="0.35">
      <c r="A2100" t="s">
        <v>2189</v>
      </c>
      <c r="B2100" t="s">
        <v>15</v>
      </c>
      <c r="C2100" t="s">
        <v>16</v>
      </c>
      <c r="D2100">
        <v>170</v>
      </c>
      <c r="E2100" t="s">
        <v>2166</v>
      </c>
      <c r="F2100">
        <v>5419</v>
      </c>
      <c r="G2100" t="s">
        <v>18</v>
      </c>
      <c r="H2100">
        <v>27</v>
      </c>
      <c r="I2100" t="s">
        <v>19</v>
      </c>
      <c r="J2100">
        <v>2010</v>
      </c>
      <c r="K2100">
        <v>2010</v>
      </c>
      <c r="L2100" t="s">
        <v>20</v>
      </c>
      <c r="M2100">
        <v>72850</v>
      </c>
      <c r="N2100">
        <v>1738</v>
      </c>
    </row>
    <row r="2101" spans="1:14" x14ac:dyDescent="0.35">
      <c r="A2101" t="s">
        <v>2190</v>
      </c>
      <c r="B2101" t="s">
        <v>15</v>
      </c>
      <c r="C2101" t="s">
        <v>16</v>
      </c>
      <c r="D2101">
        <v>170</v>
      </c>
      <c r="E2101" t="s">
        <v>2166</v>
      </c>
      <c r="F2101">
        <v>5419</v>
      </c>
      <c r="G2101" t="s">
        <v>18</v>
      </c>
      <c r="H2101">
        <v>27</v>
      </c>
      <c r="I2101" t="s">
        <v>19</v>
      </c>
      <c r="J2101">
        <v>2011</v>
      </c>
      <c r="K2101">
        <v>2011</v>
      </c>
      <c r="L2101" t="s">
        <v>20</v>
      </c>
      <c r="M2101">
        <v>72980</v>
      </c>
      <c r="N2101">
        <v>1738</v>
      </c>
    </row>
    <row r="2102" spans="1:14" x14ac:dyDescent="0.35">
      <c r="A2102" t="s">
        <v>2191</v>
      </c>
      <c r="B2102" t="s">
        <v>15</v>
      </c>
      <c r="C2102" t="s">
        <v>16</v>
      </c>
      <c r="D2102">
        <v>170</v>
      </c>
      <c r="E2102" t="s">
        <v>2166</v>
      </c>
      <c r="F2102">
        <v>5419</v>
      </c>
      <c r="G2102" t="s">
        <v>18</v>
      </c>
      <c r="H2102">
        <v>27</v>
      </c>
      <c r="I2102" t="s">
        <v>19</v>
      </c>
      <c r="J2102">
        <v>2012</v>
      </c>
      <c r="K2102">
        <v>2012</v>
      </c>
      <c r="L2102" t="s">
        <v>20</v>
      </c>
      <c r="M2102">
        <v>77851</v>
      </c>
      <c r="N2102">
        <v>1738</v>
      </c>
    </row>
    <row r="2103" spans="1:14" x14ac:dyDescent="0.35">
      <c r="A2103" t="s">
        <v>2192</v>
      </c>
      <c r="B2103" t="s">
        <v>15</v>
      </c>
      <c r="C2103" t="s">
        <v>16</v>
      </c>
      <c r="D2103">
        <v>170</v>
      </c>
      <c r="E2103" t="s">
        <v>2166</v>
      </c>
      <c r="F2103">
        <v>5419</v>
      </c>
      <c r="G2103" t="s">
        <v>18</v>
      </c>
      <c r="H2103">
        <v>27</v>
      </c>
      <c r="I2103" t="s">
        <v>19</v>
      </c>
      <c r="J2103">
        <v>2013</v>
      </c>
      <c r="K2103">
        <v>2013</v>
      </c>
      <c r="L2103" t="s">
        <v>20</v>
      </c>
      <c r="M2103">
        <v>77112</v>
      </c>
      <c r="N2103">
        <v>1738</v>
      </c>
    </row>
    <row r="2104" spans="1:14" x14ac:dyDescent="0.35">
      <c r="A2104" t="s">
        <v>2193</v>
      </c>
      <c r="B2104" t="s">
        <v>15</v>
      </c>
      <c r="C2104" t="s">
        <v>16</v>
      </c>
      <c r="D2104">
        <v>170</v>
      </c>
      <c r="E2104" t="s">
        <v>2166</v>
      </c>
      <c r="F2104">
        <v>5419</v>
      </c>
      <c r="G2104" t="s">
        <v>18</v>
      </c>
      <c r="H2104">
        <v>27</v>
      </c>
      <c r="I2104" t="s">
        <v>19</v>
      </c>
      <c r="J2104">
        <v>2014</v>
      </c>
      <c r="K2104">
        <v>2014</v>
      </c>
      <c r="L2104" t="s">
        <v>20</v>
      </c>
      <c r="M2104">
        <v>75953</v>
      </c>
      <c r="N2104">
        <v>1738</v>
      </c>
    </row>
    <row r="2105" spans="1:14" x14ac:dyDescent="0.35">
      <c r="A2105" t="s">
        <v>2194</v>
      </c>
      <c r="B2105" t="s">
        <v>15</v>
      </c>
      <c r="C2105" t="s">
        <v>16</v>
      </c>
      <c r="D2105">
        <v>170</v>
      </c>
      <c r="E2105" t="s">
        <v>2166</v>
      </c>
      <c r="F2105">
        <v>5419</v>
      </c>
      <c r="G2105" t="s">
        <v>18</v>
      </c>
      <c r="H2105">
        <v>27</v>
      </c>
      <c r="I2105" t="s">
        <v>19</v>
      </c>
      <c r="J2105">
        <v>2015</v>
      </c>
      <c r="K2105">
        <v>2015</v>
      </c>
      <c r="L2105" t="s">
        <v>20</v>
      </c>
      <c r="M2105">
        <v>78884</v>
      </c>
      <c r="N2105">
        <v>1738</v>
      </c>
    </row>
    <row r="2106" spans="1:14" x14ac:dyDescent="0.35">
      <c r="A2106" t="s">
        <v>2195</v>
      </c>
      <c r="B2106" t="s">
        <v>15</v>
      </c>
      <c r="C2106" t="s">
        <v>16</v>
      </c>
      <c r="D2106">
        <v>170</v>
      </c>
      <c r="E2106" t="s">
        <v>2166</v>
      </c>
      <c r="F2106">
        <v>5419</v>
      </c>
      <c r="G2106" t="s">
        <v>18</v>
      </c>
      <c r="H2106">
        <v>27</v>
      </c>
      <c r="I2106" t="s">
        <v>19</v>
      </c>
      <c r="J2106">
        <v>2016</v>
      </c>
      <c r="K2106">
        <v>2016</v>
      </c>
      <c r="L2106" t="s">
        <v>20</v>
      </c>
      <c r="M2106">
        <v>75453</v>
      </c>
      <c r="N2106">
        <v>1738</v>
      </c>
    </row>
    <row r="2107" spans="1:14" x14ac:dyDescent="0.35">
      <c r="A2107" t="s">
        <v>2196</v>
      </c>
      <c r="B2107" t="s">
        <v>15</v>
      </c>
      <c r="C2107" t="s">
        <v>16</v>
      </c>
      <c r="D2107">
        <v>171</v>
      </c>
      <c r="E2107" t="s">
        <v>2197</v>
      </c>
      <c r="F2107">
        <v>5419</v>
      </c>
      <c r="G2107" t="s">
        <v>18</v>
      </c>
      <c r="H2107">
        <v>27</v>
      </c>
      <c r="I2107" t="s">
        <v>19</v>
      </c>
      <c r="J2107">
        <v>1985</v>
      </c>
      <c r="K2107">
        <v>1985</v>
      </c>
      <c r="L2107" t="s">
        <v>20</v>
      </c>
      <c r="M2107">
        <v>25879</v>
      </c>
      <c r="N2107">
        <v>2348</v>
      </c>
    </row>
    <row r="2108" spans="1:14" x14ac:dyDescent="0.35">
      <c r="A2108" t="s">
        <v>2198</v>
      </c>
      <c r="B2108" t="s">
        <v>15</v>
      </c>
      <c r="C2108" t="s">
        <v>16</v>
      </c>
      <c r="D2108">
        <v>171</v>
      </c>
      <c r="E2108" t="s">
        <v>2197</v>
      </c>
      <c r="F2108">
        <v>5419</v>
      </c>
      <c r="G2108" t="s">
        <v>18</v>
      </c>
      <c r="H2108">
        <v>27</v>
      </c>
      <c r="I2108" t="s">
        <v>19</v>
      </c>
      <c r="J2108">
        <v>1986</v>
      </c>
      <c r="K2108">
        <v>1986</v>
      </c>
      <c r="L2108" t="s">
        <v>20</v>
      </c>
      <c r="M2108">
        <v>27173</v>
      </c>
      <c r="N2108">
        <v>2348</v>
      </c>
    </row>
    <row r="2109" spans="1:14" x14ac:dyDescent="0.35">
      <c r="A2109" t="s">
        <v>2199</v>
      </c>
      <c r="B2109" t="s">
        <v>15</v>
      </c>
      <c r="C2109" t="s">
        <v>16</v>
      </c>
      <c r="D2109">
        <v>171</v>
      </c>
      <c r="E2109" t="s">
        <v>2197</v>
      </c>
      <c r="F2109">
        <v>5419</v>
      </c>
      <c r="G2109" t="s">
        <v>18</v>
      </c>
      <c r="H2109">
        <v>27</v>
      </c>
      <c r="I2109" t="s">
        <v>19</v>
      </c>
      <c r="J2109">
        <v>1987</v>
      </c>
      <c r="K2109">
        <v>1987</v>
      </c>
      <c r="L2109" t="s">
        <v>20</v>
      </c>
      <c r="M2109">
        <v>26229</v>
      </c>
      <c r="N2109">
        <v>2348</v>
      </c>
    </row>
    <row r="2110" spans="1:14" x14ac:dyDescent="0.35">
      <c r="A2110" t="s">
        <v>2200</v>
      </c>
      <c r="B2110" t="s">
        <v>15</v>
      </c>
      <c r="C2110" t="s">
        <v>16</v>
      </c>
      <c r="D2110">
        <v>171</v>
      </c>
      <c r="E2110" t="s">
        <v>2197</v>
      </c>
      <c r="F2110">
        <v>5419</v>
      </c>
      <c r="G2110" t="s">
        <v>18</v>
      </c>
      <c r="H2110">
        <v>27</v>
      </c>
      <c r="I2110" t="s">
        <v>19</v>
      </c>
      <c r="J2110">
        <v>1989</v>
      </c>
      <c r="K2110">
        <v>1989</v>
      </c>
      <c r="L2110" t="s">
        <v>20</v>
      </c>
      <c r="M2110">
        <v>27046</v>
      </c>
      <c r="N2110">
        <v>2348</v>
      </c>
    </row>
    <row r="2111" spans="1:14" x14ac:dyDescent="0.35">
      <c r="A2111" t="s">
        <v>2201</v>
      </c>
      <c r="B2111" t="s">
        <v>15</v>
      </c>
      <c r="C2111" t="s">
        <v>16</v>
      </c>
      <c r="D2111">
        <v>171</v>
      </c>
      <c r="E2111" t="s">
        <v>2197</v>
      </c>
      <c r="F2111">
        <v>5419</v>
      </c>
      <c r="G2111" t="s">
        <v>18</v>
      </c>
      <c r="H2111">
        <v>27</v>
      </c>
      <c r="I2111" t="s">
        <v>19</v>
      </c>
      <c r="J2111">
        <v>1990</v>
      </c>
      <c r="K2111">
        <v>1990</v>
      </c>
      <c r="L2111" t="s">
        <v>20</v>
      </c>
      <c r="M2111">
        <v>29786</v>
      </c>
      <c r="N2111">
        <v>2348</v>
      </c>
    </row>
    <row r="2112" spans="1:14" x14ac:dyDescent="0.35">
      <c r="A2112" t="s">
        <v>2202</v>
      </c>
      <c r="B2112" t="s">
        <v>15</v>
      </c>
      <c r="C2112" t="s">
        <v>16</v>
      </c>
      <c r="D2112">
        <v>171</v>
      </c>
      <c r="E2112" t="s">
        <v>2197</v>
      </c>
      <c r="F2112">
        <v>5419</v>
      </c>
      <c r="G2112" t="s">
        <v>18</v>
      </c>
      <c r="H2112">
        <v>27</v>
      </c>
      <c r="I2112" t="s">
        <v>19</v>
      </c>
      <c r="J2112">
        <v>1991</v>
      </c>
      <c r="K2112">
        <v>1991</v>
      </c>
      <c r="L2112" t="s">
        <v>20</v>
      </c>
      <c r="M2112">
        <v>28243</v>
      </c>
      <c r="N2112">
        <v>2348</v>
      </c>
    </row>
    <row r="2113" spans="1:14" x14ac:dyDescent="0.35">
      <c r="A2113" t="s">
        <v>2203</v>
      </c>
      <c r="B2113" t="s">
        <v>15</v>
      </c>
      <c r="C2113" t="s">
        <v>16</v>
      </c>
      <c r="D2113">
        <v>171</v>
      </c>
      <c r="E2113" t="s">
        <v>2197</v>
      </c>
      <c r="F2113">
        <v>5419</v>
      </c>
      <c r="G2113" t="s">
        <v>18</v>
      </c>
      <c r="H2113">
        <v>27</v>
      </c>
      <c r="I2113" t="s">
        <v>19</v>
      </c>
      <c r="J2113">
        <v>1992</v>
      </c>
      <c r="K2113">
        <v>1992</v>
      </c>
      <c r="L2113" t="s">
        <v>20</v>
      </c>
      <c r="M2113">
        <v>28545</v>
      </c>
      <c r="N2113">
        <v>2348</v>
      </c>
    </row>
    <row r="2114" spans="1:14" x14ac:dyDescent="0.35">
      <c r="A2114" t="s">
        <v>2204</v>
      </c>
      <c r="B2114" t="s">
        <v>15</v>
      </c>
      <c r="C2114" t="s">
        <v>16</v>
      </c>
      <c r="D2114">
        <v>171</v>
      </c>
      <c r="E2114" t="s">
        <v>2197</v>
      </c>
      <c r="F2114">
        <v>5419</v>
      </c>
      <c r="G2114" t="s">
        <v>18</v>
      </c>
      <c r="H2114">
        <v>27</v>
      </c>
      <c r="I2114" t="s">
        <v>19</v>
      </c>
      <c r="J2114">
        <v>1993</v>
      </c>
      <c r="K2114">
        <v>1993</v>
      </c>
      <c r="L2114" t="s">
        <v>20</v>
      </c>
      <c r="M2114">
        <v>28742</v>
      </c>
      <c r="N2114">
        <v>2348</v>
      </c>
    </row>
    <row r="2115" spans="1:14" x14ac:dyDescent="0.35">
      <c r="A2115" t="s">
        <v>2205</v>
      </c>
      <c r="B2115" t="s">
        <v>15</v>
      </c>
      <c r="C2115" t="s">
        <v>16</v>
      </c>
      <c r="D2115">
        <v>171</v>
      </c>
      <c r="E2115" t="s">
        <v>2197</v>
      </c>
      <c r="F2115">
        <v>5419</v>
      </c>
      <c r="G2115" t="s">
        <v>18</v>
      </c>
      <c r="H2115">
        <v>27</v>
      </c>
      <c r="I2115" t="s">
        <v>19</v>
      </c>
      <c r="J2115">
        <v>1994</v>
      </c>
      <c r="K2115">
        <v>1994</v>
      </c>
      <c r="L2115" t="s">
        <v>20</v>
      </c>
      <c r="M2115">
        <v>28859</v>
      </c>
      <c r="N2115">
        <v>2348</v>
      </c>
    </row>
    <row r="2116" spans="1:14" x14ac:dyDescent="0.35">
      <c r="A2116" t="s">
        <v>2206</v>
      </c>
      <c r="B2116" t="s">
        <v>15</v>
      </c>
      <c r="C2116" t="s">
        <v>16</v>
      </c>
      <c r="D2116">
        <v>171</v>
      </c>
      <c r="E2116" t="s">
        <v>2197</v>
      </c>
      <c r="F2116">
        <v>5419</v>
      </c>
      <c r="G2116" t="s">
        <v>18</v>
      </c>
      <c r="H2116">
        <v>27</v>
      </c>
      <c r="I2116" t="s">
        <v>19</v>
      </c>
      <c r="J2116">
        <v>1995</v>
      </c>
      <c r="K2116">
        <v>1995</v>
      </c>
      <c r="L2116" t="s">
        <v>20</v>
      </c>
      <c r="M2116">
        <v>28043</v>
      </c>
      <c r="N2116">
        <v>2348</v>
      </c>
    </row>
    <row r="2117" spans="1:14" x14ac:dyDescent="0.35">
      <c r="A2117" t="s">
        <v>2207</v>
      </c>
      <c r="B2117" t="s">
        <v>15</v>
      </c>
      <c r="C2117" t="s">
        <v>16</v>
      </c>
      <c r="D2117">
        <v>171</v>
      </c>
      <c r="E2117" t="s">
        <v>2197</v>
      </c>
      <c r="F2117">
        <v>5419</v>
      </c>
      <c r="G2117" t="s">
        <v>18</v>
      </c>
      <c r="H2117">
        <v>27</v>
      </c>
      <c r="I2117" t="s">
        <v>19</v>
      </c>
      <c r="J2117">
        <v>1996</v>
      </c>
      <c r="K2117">
        <v>1996</v>
      </c>
      <c r="L2117" t="s">
        <v>20</v>
      </c>
      <c r="M2117">
        <v>28558</v>
      </c>
      <c r="N2117">
        <v>2348</v>
      </c>
    </row>
    <row r="2118" spans="1:14" x14ac:dyDescent="0.35">
      <c r="A2118" t="s">
        <v>2208</v>
      </c>
      <c r="B2118" t="s">
        <v>15</v>
      </c>
      <c r="C2118" t="s">
        <v>16</v>
      </c>
      <c r="D2118">
        <v>171</v>
      </c>
      <c r="E2118" t="s">
        <v>2197</v>
      </c>
      <c r="F2118">
        <v>5419</v>
      </c>
      <c r="G2118" t="s">
        <v>18</v>
      </c>
      <c r="H2118">
        <v>27</v>
      </c>
      <c r="I2118" t="s">
        <v>19</v>
      </c>
      <c r="J2118">
        <v>1997</v>
      </c>
      <c r="K2118">
        <v>1997</v>
      </c>
      <c r="L2118" t="s">
        <v>20</v>
      </c>
      <c r="M2118">
        <v>29329</v>
      </c>
      <c r="N2118">
        <v>2348</v>
      </c>
    </row>
    <row r="2119" spans="1:14" x14ac:dyDescent="0.35">
      <c r="A2119" t="s">
        <v>2209</v>
      </c>
      <c r="B2119" t="s">
        <v>15</v>
      </c>
      <c r="C2119" t="s">
        <v>16</v>
      </c>
      <c r="D2119">
        <v>171</v>
      </c>
      <c r="E2119" t="s">
        <v>2197</v>
      </c>
      <c r="F2119">
        <v>5419</v>
      </c>
      <c r="G2119" t="s">
        <v>18</v>
      </c>
      <c r="H2119">
        <v>27</v>
      </c>
      <c r="I2119" t="s">
        <v>19</v>
      </c>
      <c r="J2119">
        <v>1998</v>
      </c>
      <c r="K2119">
        <v>1998</v>
      </c>
      <c r="L2119" t="s">
        <v>20</v>
      </c>
      <c r="M2119">
        <v>26986</v>
      </c>
      <c r="N2119">
        <v>2348</v>
      </c>
    </row>
    <row r="2120" spans="1:14" x14ac:dyDescent="0.35">
      <c r="A2120" t="s">
        <v>2210</v>
      </c>
      <c r="B2120" t="s">
        <v>15</v>
      </c>
      <c r="C2120" t="s">
        <v>16</v>
      </c>
      <c r="D2120">
        <v>171</v>
      </c>
      <c r="E2120" t="s">
        <v>2197</v>
      </c>
      <c r="F2120">
        <v>5419</v>
      </c>
      <c r="G2120" t="s">
        <v>18</v>
      </c>
      <c r="H2120">
        <v>27</v>
      </c>
      <c r="I2120" t="s">
        <v>19</v>
      </c>
      <c r="J2120">
        <v>1999</v>
      </c>
      <c r="K2120">
        <v>1999</v>
      </c>
      <c r="L2120" t="s">
        <v>20</v>
      </c>
      <c r="M2120">
        <v>29468</v>
      </c>
      <c r="N2120">
        <v>2348</v>
      </c>
    </row>
    <row r="2121" spans="1:14" x14ac:dyDescent="0.35">
      <c r="A2121" t="s">
        <v>2211</v>
      </c>
      <c r="B2121" t="s">
        <v>15</v>
      </c>
      <c r="C2121" t="s">
        <v>16</v>
      </c>
      <c r="D2121">
        <v>171</v>
      </c>
      <c r="E2121" t="s">
        <v>2197</v>
      </c>
      <c r="F2121">
        <v>5419</v>
      </c>
      <c r="G2121" t="s">
        <v>18</v>
      </c>
      <c r="H2121">
        <v>27</v>
      </c>
      <c r="I2121" t="s">
        <v>19</v>
      </c>
      <c r="J2121">
        <v>2000</v>
      </c>
      <c r="K2121">
        <v>2000</v>
      </c>
      <c r="L2121" t="s">
        <v>20</v>
      </c>
      <c r="M2121">
        <v>30681</v>
      </c>
      <c r="N2121">
        <v>2348</v>
      </c>
    </row>
    <row r="2122" spans="1:14" x14ac:dyDescent="0.35">
      <c r="A2122" t="s">
        <v>2212</v>
      </c>
      <c r="B2122" t="s">
        <v>15</v>
      </c>
      <c r="C2122" t="s">
        <v>16</v>
      </c>
      <c r="D2122">
        <v>171</v>
      </c>
      <c r="E2122" t="s">
        <v>2197</v>
      </c>
      <c r="F2122">
        <v>5419</v>
      </c>
      <c r="G2122" t="s">
        <v>18</v>
      </c>
      <c r="H2122">
        <v>27</v>
      </c>
      <c r="I2122" t="s">
        <v>19</v>
      </c>
      <c r="J2122">
        <v>2001</v>
      </c>
      <c r="K2122">
        <v>2001</v>
      </c>
      <c r="L2122" t="s">
        <v>20</v>
      </c>
      <c r="M2122">
        <v>31866</v>
      </c>
      <c r="N2122">
        <v>2348</v>
      </c>
    </row>
    <row r="2123" spans="1:14" x14ac:dyDescent="0.35">
      <c r="A2123" t="s">
        <v>2213</v>
      </c>
      <c r="B2123" t="s">
        <v>15</v>
      </c>
      <c r="C2123" t="s">
        <v>16</v>
      </c>
      <c r="D2123">
        <v>171</v>
      </c>
      <c r="E2123" t="s">
        <v>2197</v>
      </c>
      <c r="F2123">
        <v>5419</v>
      </c>
      <c r="G2123" t="s">
        <v>18</v>
      </c>
      <c r="H2123">
        <v>27</v>
      </c>
      <c r="I2123" t="s">
        <v>19</v>
      </c>
      <c r="J2123">
        <v>2002</v>
      </c>
      <c r="K2123">
        <v>2002</v>
      </c>
      <c r="L2123" t="s">
        <v>20</v>
      </c>
      <c r="M2123">
        <v>32797</v>
      </c>
      <c r="N2123">
        <v>2348</v>
      </c>
    </row>
    <row r="2124" spans="1:14" x14ac:dyDescent="0.35">
      <c r="A2124" t="s">
        <v>2214</v>
      </c>
      <c r="B2124" t="s">
        <v>15</v>
      </c>
      <c r="C2124" t="s">
        <v>16</v>
      </c>
      <c r="D2124">
        <v>171</v>
      </c>
      <c r="E2124" t="s">
        <v>2197</v>
      </c>
      <c r="F2124">
        <v>5419</v>
      </c>
      <c r="G2124" t="s">
        <v>18</v>
      </c>
      <c r="H2124">
        <v>27</v>
      </c>
      <c r="I2124" t="s">
        <v>19</v>
      </c>
      <c r="J2124">
        <v>2004</v>
      </c>
      <c r="K2124">
        <v>2004</v>
      </c>
      <c r="L2124" t="s">
        <v>20</v>
      </c>
      <c r="M2124">
        <v>35130</v>
      </c>
      <c r="N2124">
        <v>2348</v>
      </c>
    </row>
    <row r="2125" spans="1:14" x14ac:dyDescent="0.35">
      <c r="A2125" t="s">
        <v>2215</v>
      </c>
      <c r="B2125" t="s">
        <v>15</v>
      </c>
      <c r="C2125" t="s">
        <v>16</v>
      </c>
      <c r="D2125">
        <v>171</v>
      </c>
      <c r="E2125" t="s">
        <v>2197</v>
      </c>
      <c r="F2125">
        <v>5419</v>
      </c>
      <c r="G2125" t="s">
        <v>18</v>
      </c>
      <c r="H2125">
        <v>27</v>
      </c>
      <c r="I2125" t="s">
        <v>19</v>
      </c>
      <c r="J2125">
        <v>2005</v>
      </c>
      <c r="K2125">
        <v>2005</v>
      </c>
      <c r="L2125" t="s">
        <v>20</v>
      </c>
      <c r="M2125">
        <v>35876</v>
      </c>
      <c r="N2125">
        <v>2348</v>
      </c>
    </row>
    <row r="2126" spans="1:14" x14ac:dyDescent="0.35">
      <c r="A2126" t="s">
        <v>2216</v>
      </c>
      <c r="B2126" t="s">
        <v>15</v>
      </c>
      <c r="C2126" t="s">
        <v>16</v>
      </c>
      <c r="D2126">
        <v>171</v>
      </c>
      <c r="E2126" t="s">
        <v>2197</v>
      </c>
      <c r="F2126">
        <v>5419</v>
      </c>
      <c r="G2126" t="s">
        <v>18</v>
      </c>
      <c r="H2126">
        <v>27</v>
      </c>
      <c r="I2126" t="s">
        <v>19</v>
      </c>
      <c r="J2126">
        <v>2006</v>
      </c>
      <c r="K2126">
        <v>2006</v>
      </c>
      <c r="L2126" t="s">
        <v>20</v>
      </c>
      <c r="M2126">
        <v>36844</v>
      </c>
      <c r="N2126">
        <v>2348</v>
      </c>
    </row>
    <row r="2127" spans="1:14" x14ac:dyDescent="0.35">
      <c r="A2127" t="s">
        <v>2217</v>
      </c>
      <c r="B2127" t="s">
        <v>15</v>
      </c>
      <c r="C2127" t="s">
        <v>16</v>
      </c>
      <c r="D2127">
        <v>171</v>
      </c>
      <c r="E2127" t="s">
        <v>2197</v>
      </c>
      <c r="F2127">
        <v>5419</v>
      </c>
      <c r="G2127" t="s">
        <v>18</v>
      </c>
      <c r="H2127">
        <v>27</v>
      </c>
      <c r="I2127" t="s">
        <v>19</v>
      </c>
      <c r="J2127">
        <v>2007</v>
      </c>
      <c r="K2127">
        <v>2007</v>
      </c>
      <c r="L2127" t="s">
        <v>20</v>
      </c>
      <c r="M2127">
        <v>38008</v>
      </c>
      <c r="N2127">
        <v>2348</v>
      </c>
    </row>
    <row r="2128" spans="1:14" x14ac:dyDescent="0.35">
      <c r="A2128" t="s">
        <v>2218</v>
      </c>
      <c r="B2128" t="s">
        <v>15</v>
      </c>
      <c r="C2128" t="s">
        <v>16</v>
      </c>
      <c r="D2128">
        <v>171</v>
      </c>
      <c r="E2128" t="s">
        <v>2197</v>
      </c>
      <c r="F2128">
        <v>5419</v>
      </c>
      <c r="G2128" t="s">
        <v>18</v>
      </c>
      <c r="H2128">
        <v>27</v>
      </c>
      <c r="I2128" t="s">
        <v>19</v>
      </c>
      <c r="J2128">
        <v>2008</v>
      </c>
      <c r="K2128">
        <v>2008</v>
      </c>
      <c r="L2128" t="s">
        <v>20</v>
      </c>
      <c r="M2128">
        <v>37703</v>
      </c>
      <c r="N2128">
        <v>2348</v>
      </c>
    </row>
    <row r="2129" spans="1:14" x14ac:dyDescent="0.35">
      <c r="A2129" t="s">
        <v>2219</v>
      </c>
      <c r="B2129" t="s">
        <v>15</v>
      </c>
      <c r="C2129" t="s">
        <v>16</v>
      </c>
      <c r="D2129">
        <v>171</v>
      </c>
      <c r="E2129" t="s">
        <v>2197</v>
      </c>
      <c r="F2129">
        <v>5419</v>
      </c>
      <c r="G2129" t="s">
        <v>18</v>
      </c>
      <c r="H2129">
        <v>27</v>
      </c>
      <c r="I2129" t="s">
        <v>19</v>
      </c>
      <c r="J2129">
        <v>2009</v>
      </c>
      <c r="K2129">
        <v>2009</v>
      </c>
      <c r="L2129" t="s">
        <v>20</v>
      </c>
      <c r="M2129">
        <v>35890</v>
      </c>
      <c r="N2129">
        <v>2348</v>
      </c>
    </row>
    <row r="2130" spans="1:14" x14ac:dyDescent="0.35">
      <c r="A2130" t="s">
        <v>2220</v>
      </c>
      <c r="B2130" t="s">
        <v>15</v>
      </c>
      <c r="C2130" t="s">
        <v>16</v>
      </c>
      <c r="D2130">
        <v>171</v>
      </c>
      <c r="E2130" t="s">
        <v>2197</v>
      </c>
      <c r="F2130">
        <v>5419</v>
      </c>
      <c r="G2130" t="s">
        <v>18</v>
      </c>
      <c r="H2130">
        <v>27</v>
      </c>
      <c r="I2130" t="s">
        <v>19</v>
      </c>
      <c r="J2130">
        <v>2010</v>
      </c>
      <c r="K2130">
        <v>2010</v>
      </c>
      <c r="L2130" t="s">
        <v>20</v>
      </c>
      <c r="M2130">
        <v>36224</v>
      </c>
      <c r="N2130">
        <v>2348</v>
      </c>
    </row>
    <row r="2131" spans="1:14" x14ac:dyDescent="0.35">
      <c r="A2131" t="s">
        <v>2221</v>
      </c>
      <c r="B2131" t="s">
        <v>15</v>
      </c>
      <c r="C2131" t="s">
        <v>16</v>
      </c>
      <c r="D2131">
        <v>171</v>
      </c>
      <c r="E2131" t="s">
        <v>2197</v>
      </c>
      <c r="F2131">
        <v>5419</v>
      </c>
      <c r="G2131" t="s">
        <v>18</v>
      </c>
      <c r="H2131">
        <v>27</v>
      </c>
      <c r="I2131" t="s">
        <v>19</v>
      </c>
      <c r="J2131">
        <v>2011</v>
      </c>
      <c r="K2131">
        <v>2011</v>
      </c>
      <c r="L2131" t="s">
        <v>20</v>
      </c>
      <c r="M2131">
        <v>36776</v>
      </c>
      <c r="N2131">
        <v>2348</v>
      </c>
    </row>
    <row r="2132" spans="1:14" x14ac:dyDescent="0.35">
      <c r="A2132" t="s">
        <v>2222</v>
      </c>
      <c r="B2132" t="s">
        <v>15</v>
      </c>
      <c r="C2132" t="s">
        <v>16</v>
      </c>
      <c r="D2132">
        <v>171</v>
      </c>
      <c r="E2132" t="s">
        <v>2197</v>
      </c>
      <c r="F2132">
        <v>5419</v>
      </c>
      <c r="G2132" t="s">
        <v>18</v>
      </c>
      <c r="H2132">
        <v>27</v>
      </c>
      <c r="I2132" t="s">
        <v>19</v>
      </c>
      <c r="J2132">
        <v>2012</v>
      </c>
      <c r="K2132">
        <v>2012</v>
      </c>
      <c r="L2132" t="s">
        <v>20</v>
      </c>
      <c r="M2132">
        <v>38448</v>
      </c>
      <c r="N2132">
        <v>2348</v>
      </c>
    </row>
    <row r="2133" spans="1:14" x14ac:dyDescent="0.35">
      <c r="A2133" t="s">
        <v>2223</v>
      </c>
      <c r="B2133" t="s">
        <v>15</v>
      </c>
      <c r="C2133" t="s">
        <v>16</v>
      </c>
      <c r="D2133">
        <v>171</v>
      </c>
      <c r="E2133" t="s">
        <v>2197</v>
      </c>
      <c r="F2133">
        <v>5419</v>
      </c>
      <c r="G2133" t="s">
        <v>18</v>
      </c>
      <c r="H2133">
        <v>27</v>
      </c>
      <c r="I2133" t="s">
        <v>19</v>
      </c>
      <c r="J2133">
        <v>2013</v>
      </c>
      <c r="K2133">
        <v>2013</v>
      </c>
      <c r="L2133" t="s">
        <v>20</v>
      </c>
      <c r="M2133">
        <v>38852</v>
      </c>
      <c r="N2133">
        <v>2348</v>
      </c>
    </row>
    <row r="2134" spans="1:14" x14ac:dyDescent="0.35">
      <c r="A2134" t="s">
        <v>2224</v>
      </c>
      <c r="B2134" t="s">
        <v>15</v>
      </c>
      <c r="C2134" t="s">
        <v>16</v>
      </c>
      <c r="D2134">
        <v>171</v>
      </c>
      <c r="E2134" t="s">
        <v>2197</v>
      </c>
      <c r="F2134">
        <v>5419</v>
      </c>
      <c r="G2134" t="s">
        <v>18</v>
      </c>
      <c r="H2134">
        <v>27</v>
      </c>
      <c r="I2134" t="s">
        <v>19</v>
      </c>
      <c r="J2134">
        <v>2014</v>
      </c>
      <c r="K2134">
        <v>2014</v>
      </c>
      <c r="L2134" t="s">
        <v>20</v>
      </c>
      <c r="M2134">
        <v>40019</v>
      </c>
      <c r="N2134">
        <v>2348</v>
      </c>
    </row>
    <row r="2135" spans="1:14" x14ac:dyDescent="0.35">
      <c r="A2135" t="s">
        <v>2225</v>
      </c>
      <c r="B2135" t="s">
        <v>15</v>
      </c>
      <c r="C2135" t="s">
        <v>16</v>
      </c>
      <c r="D2135">
        <v>171</v>
      </c>
      <c r="E2135" t="s">
        <v>2197</v>
      </c>
      <c r="F2135">
        <v>5419</v>
      </c>
      <c r="G2135" t="s">
        <v>18</v>
      </c>
      <c r="H2135">
        <v>27</v>
      </c>
      <c r="I2135" t="s">
        <v>19</v>
      </c>
      <c r="J2135">
        <v>2015</v>
      </c>
      <c r="K2135">
        <v>2015</v>
      </c>
      <c r="L2135" t="s">
        <v>20</v>
      </c>
      <c r="M2135">
        <v>38980</v>
      </c>
      <c r="N2135">
        <v>2348</v>
      </c>
    </row>
    <row r="2136" spans="1:14" x14ac:dyDescent="0.35">
      <c r="A2136" t="s">
        <v>2226</v>
      </c>
      <c r="B2136" t="s">
        <v>15</v>
      </c>
      <c r="C2136" t="s">
        <v>16</v>
      </c>
      <c r="D2136">
        <v>171</v>
      </c>
      <c r="E2136" t="s">
        <v>2197</v>
      </c>
      <c r="F2136">
        <v>5419</v>
      </c>
      <c r="G2136" t="s">
        <v>18</v>
      </c>
      <c r="H2136">
        <v>27</v>
      </c>
      <c r="I2136" t="s">
        <v>19</v>
      </c>
      <c r="J2136">
        <v>2016</v>
      </c>
      <c r="K2136">
        <v>2016</v>
      </c>
      <c r="L2136" t="s">
        <v>20</v>
      </c>
      <c r="M2136">
        <v>38690</v>
      </c>
      <c r="N2136">
        <v>2348</v>
      </c>
    </row>
    <row r="2137" spans="1:14" x14ac:dyDescent="0.35">
      <c r="A2137" t="s">
        <v>2227</v>
      </c>
      <c r="B2137" t="s">
        <v>15</v>
      </c>
      <c r="C2137" t="s">
        <v>16</v>
      </c>
      <c r="D2137">
        <v>174</v>
      </c>
      <c r="E2137" t="s">
        <v>2228</v>
      </c>
      <c r="F2137">
        <v>5419</v>
      </c>
      <c r="G2137" t="s">
        <v>18</v>
      </c>
      <c r="H2137">
        <v>27</v>
      </c>
      <c r="I2137" t="s">
        <v>19</v>
      </c>
      <c r="J2137">
        <v>1985</v>
      </c>
      <c r="K2137">
        <v>1985</v>
      </c>
      <c r="L2137" t="s">
        <v>20</v>
      </c>
      <c r="M2137">
        <v>48355</v>
      </c>
      <c r="N2137">
        <v>854</v>
      </c>
    </row>
    <row r="2138" spans="1:14" x14ac:dyDescent="0.35">
      <c r="A2138" t="s">
        <v>2229</v>
      </c>
      <c r="B2138" t="s">
        <v>15</v>
      </c>
      <c r="C2138" t="s">
        <v>16</v>
      </c>
      <c r="D2138">
        <v>174</v>
      </c>
      <c r="E2138" t="s">
        <v>2228</v>
      </c>
      <c r="F2138">
        <v>5419</v>
      </c>
      <c r="G2138" t="s">
        <v>18</v>
      </c>
      <c r="H2138">
        <v>27</v>
      </c>
      <c r="I2138" t="s">
        <v>19</v>
      </c>
      <c r="J2138">
        <v>1986</v>
      </c>
      <c r="K2138">
        <v>1986</v>
      </c>
      <c r="L2138" t="s">
        <v>20</v>
      </c>
      <c r="M2138">
        <v>44630</v>
      </c>
      <c r="N2138">
        <v>854</v>
      </c>
    </row>
    <row r="2139" spans="1:14" x14ac:dyDescent="0.35">
      <c r="A2139" t="s">
        <v>2230</v>
      </c>
      <c r="B2139" t="s">
        <v>15</v>
      </c>
      <c r="C2139" t="s">
        <v>16</v>
      </c>
      <c r="D2139">
        <v>174</v>
      </c>
      <c r="E2139" t="s">
        <v>2228</v>
      </c>
      <c r="F2139">
        <v>5419</v>
      </c>
      <c r="G2139" t="s">
        <v>18</v>
      </c>
      <c r="H2139">
        <v>27</v>
      </c>
      <c r="I2139" t="s">
        <v>19</v>
      </c>
      <c r="J2139">
        <v>1987</v>
      </c>
      <c r="K2139">
        <v>1987</v>
      </c>
      <c r="L2139" t="s">
        <v>20</v>
      </c>
      <c r="M2139">
        <v>43215</v>
      </c>
      <c r="N2139">
        <v>854</v>
      </c>
    </row>
    <row r="2140" spans="1:14" x14ac:dyDescent="0.35">
      <c r="A2140" t="s">
        <v>2231</v>
      </c>
      <c r="B2140" t="s">
        <v>15</v>
      </c>
      <c r="C2140" t="s">
        <v>16</v>
      </c>
      <c r="D2140">
        <v>174</v>
      </c>
      <c r="E2140" t="s">
        <v>2228</v>
      </c>
      <c r="F2140">
        <v>5419</v>
      </c>
      <c r="G2140" t="s">
        <v>18</v>
      </c>
      <c r="H2140">
        <v>27</v>
      </c>
      <c r="I2140" t="s">
        <v>19</v>
      </c>
      <c r="J2140">
        <v>1989</v>
      </c>
      <c r="K2140">
        <v>1989</v>
      </c>
      <c r="L2140" t="s">
        <v>20</v>
      </c>
      <c r="M2140">
        <v>42899</v>
      </c>
      <c r="N2140">
        <v>854</v>
      </c>
    </row>
    <row r="2141" spans="1:14" x14ac:dyDescent="0.35">
      <c r="A2141" t="s">
        <v>2232</v>
      </c>
      <c r="B2141" t="s">
        <v>15</v>
      </c>
      <c r="C2141" t="s">
        <v>16</v>
      </c>
      <c r="D2141">
        <v>174</v>
      </c>
      <c r="E2141" t="s">
        <v>2228</v>
      </c>
      <c r="F2141">
        <v>5419</v>
      </c>
      <c r="G2141" t="s">
        <v>18</v>
      </c>
      <c r="H2141">
        <v>27</v>
      </c>
      <c r="I2141" t="s">
        <v>19</v>
      </c>
      <c r="J2141">
        <v>1990</v>
      </c>
      <c r="K2141">
        <v>1990</v>
      </c>
      <c r="L2141" t="s">
        <v>20</v>
      </c>
      <c r="M2141">
        <v>46142</v>
      </c>
      <c r="N2141">
        <v>854</v>
      </c>
    </row>
    <row r="2142" spans="1:14" x14ac:dyDescent="0.35">
      <c r="A2142" t="s">
        <v>2233</v>
      </c>
      <c r="B2142" t="s">
        <v>15</v>
      </c>
      <c r="C2142" t="s">
        <v>16</v>
      </c>
      <c r="D2142">
        <v>174</v>
      </c>
      <c r="E2142" t="s">
        <v>2228</v>
      </c>
      <c r="F2142">
        <v>5419</v>
      </c>
      <c r="G2142" t="s">
        <v>18</v>
      </c>
      <c r="H2142">
        <v>27</v>
      </c>
      <c r="I2142" t="s">
        <v>19</v>
      </c>
      <c r="J2142">
        <v>1991</v>
      </c>
      <c r="K2142">
        <v>1991</v>
      </c>
      <c r="L2142" t="s">
        <v>20</v>
      </c>
      <c r="M2142">
        <v>50940</v>
      </c>
      <c r="N2142">
        <v>854</v>
      </c>
    </row>
    <row r="2143" spans="1:14" x14ac:dyDescent="0.35">
      <c r="A2143" t="s">
        <v>2234</v>
      </c>
      <c r="B2143" t="s">
        <v>15</v>
      </c>
      <c r="C2143" t="s">
        <v>16</v>
      </c>
      <c r="D2143">
        <v>174</v>
      </c>
      <c r="E2143" t="s">
        <v>2228</v>
      </c>
      <c r="F2143">
        <v>5419</v>
      </c>
      <c r="G2143" t="s">
        <v>18</v>
      </c>
      <c r="H2143">
        <v>27</v>
      </c>
      <c r="I2143" t="s">
        <v>19</v>
      </c>
      <c r="J2143">
        <v>1992</v>
      </c>
      <c r="K2143">
        <v>1992</v>
      </c>
      <c r="L2143" t="s">
        <v>20</v>
      </c>
      <c r="M2143">
        <v>51948</v>
      </c>
      <c r="N2143">
        <v>854</v>
      </c>
    </row>
    <row r="2144" spans="1:14" x14ac:dyDescent="0.35">
      <c r="A2144" t="s">
        <v>2235</v>
      </c>
      <c r="B2144" t="s">
        <v>15</v>
      </c>
      <c r="C2144" t="s">
        <v>16</v>
      </c>
      <c r="D2144">
        <v>174</v>
      </c>
      <c r="E2144" t="s">
        <v>2228</v>
      </c>
      <c r="F2144">
        <v>5419</v>
      </c>
      <c r="G2144" t="s">
        <v>18</v>
      </c>
      <c r="H2144">
        <v>27</v>
      </c>
      <c r="I2144" t="s">
        <v>19</v>
      </c>
      <c r="J2144">
        <v>1993</v>
      </c>
      <c r="K2144">
        <v>1993</v>
      </c>
      <c r="L2144" t="s">
        <v>20</v>
      </c>
      <c r="M2144">
        <v>52273</v>
      </c>
      <c r="N2144">
        <v>854</v>
      </c>
    </row>
    <row r="2145" spans="1:14" x14ac:dyDescent="0.35">
      <c r="A2145" t="s">
        <v>2236</v>
      </c>
      <c r="B2145" t="s">
        <v>15</v>
      </c>
      <c r="C2145" t="s">
        <v>16</v>
      </c>
      <c r="D2145">
        <v>174</v>
      </c>
      <c r="E2145" t="s">
        <v>2228</v>
      </c>
      <c r="F2145">
        <v>5419</v>
      </c>
      <c r="G2145" t="s">
        <v>18</v>
      </c>
      <c r="H2145">
        <v>27</v>
      </c>
      <c r="I2145" t="s">
        <v>19</v>
      </c>
      <c r="J2145">
        <v>1994</v>
      </c>
      <c r="K2145">
        <v>1994</v>
      </c>
      <c r="L2145" t="s">
        <v>20</v>
      </c>
      <c r="M2145">
        <v>54776</v>
      </c>
      <c r="N2145">
        <v>854</v>
      </c>
    </row>
    <row r="2146" spans="1:14" x14ac:dyDescent="0.35">
      <c r="A2146" t="s">
        <v>2237</v>
      </c>
      <c r="B2146" t="s">
        <v>15</v>
      </c>
      <c r="C2146" t="s">
        <v>16</v>
      </c>
      <c r="D2146">
        <v>174</v>
      </c>
      <c r="E2146" t="s">
        <v>2228</v>
      </c>
      <c r="F2146">
        <v>5419</v>
      </c>
      <c r="G2146" t="s">
        <v>18</v>
      </c>
      <c r="H2146">
        <v>27</v>
      </c>
      <c r="I2146" t="s">
        <v>19</v>
      </c>
      <c r="J2146">
        <v>1995</v>
      </c>
      <c r="K2146">
        <v>1995</v>
      </c>
      <c r="L2146" t="s">
        <v>20</v>
      </c>
      <c r="M2146">
        <v>57329</v>
      </c>
      <c r="N2146">
        <v>854</v>
      </c>
    </row>
    <row r="2147" spans="1:14" x14ac:dyDescent="0.35">
      <c r="A2147" t="s">
        <v>2238</v>
      </c>
      <c r="B2147" t="s">
        <v>15</v>
      </c>
      <c r="C2147" t="s">
        <v>16</v>
      </c>
      <c r="D2147">
        <v>174</v>
      </c>
      <c r="E2147" t="s">
        <v>2228</v>
      </c>
      <c r="F2147">
        <v>5419</v>
      </c>
      <c r="G2147" t="s">
        <v>18</v>
      </c>
      <c r="H2147">
        <v>27</v>
      </c>
      <c r="I2147" t="s">
        <v>19</v>
      </c>
      <c r="J2147">
        <v>1996</v>
      </c>
      <c r="K2147">
        <v>1996</v>
      </c>
      <c r="L2147" t="s">
        <v>20</v>
      </c>
      <c r="M2147">
        <v>60906</v>
      </c>
      <c r="N2147">
        <v>854</v>
      </c>
    </row>
    <row r="2148" spans="1:14" x14ac:dyDescent="0.35">
      <c r="A2148" t="s">
        <v>2239</v>
      </c>
      <c r="B2148" t="s">
        <v>15</v>
      </c>
      <c r="C2148" t="s">
        <v>16</v>
      </c>
      <c r="D2148">
        <v>174</v>
      </c>
      <c r="E2148" t="s">
        <v>2228</v>
      </c>
      <c r="F2148">
        <v>5419</v>
      </c>
      <c r="G2148" t="s">
        <v>18</v>
      </c>
      <c r="H2148">
        <v>27</v>
      </c>
      <c r="I2148" t="s">
        <v>19</v>
      </c>
      <c r="J2148">
        <v>1997</v>
      </c>
      <c r="K2148">
        <v>1997</v>
      </c>
      <c r="L2148" t="s">
        <v>20</v>
      </c>
      <c r="M2148">
        <v>57529</v>
      </c>
      <c r="N2148">
        <v>854</v>
      </c>
    </row>
    <row r="2149" spans="1:14" x14ac:dyDescent="0.35">
      <c r="A2149" t="s">
        <v>2240</v>
      </c>
      <c r="B2149" t="s">
        <v>15</v>
      </c>
      <c r="C2149" t="s">
        <v>16</v>
      </c>
      <c r="D2149">
        <v>174</v>
      </c>
      <c r="E2149" t="s">
        <v>2228</v>
      </c>
      <c r="F2149">
        <v>5419</v>
      </c>
      <c r="G2149" t="s">
        <v>18</v>
      </c>
      <c r="H2149">
        <v>27</v>
      </c>
      <c r="I2149" t="s">
        <v>19</v>
      </c>
      <c r="J2149">
        <v>1998</v>
      </c>
      <c r="K2149">
        <v>1998</v>
      </c>
      <c r="L2149" t="s">
        <v>20</v>
      </c>
      <c r="M2149">
        <v>59872</v>
      </c>
      <c r="N2149">
        <v>854</v>
      </c>
    </row>
    <row r="2150" spans="1:14" x14ac:dyDescent="0.35">
      <c r="A2150" t="s">
        <v>2241</v>
      </c>
      <c r="B2150" t="s">
        <v>15</v>
      </c>
      <c r="C2150" t="s">
        <v>16</v>
      </c>
      <c r="D2150">
        <v>174</v>
      </c>
      <c r="E2150" t="s">
        <v>2228</v>
      </c>
      <c r="F2150">
        <v>5419</v>
      </c>
      <c r="G2150" t="s">
        <v>18</v>
      </c>
      <c r="H2150">
        <v>27</v>
      </c>
      <c r="I2150" t="s">
        <v>19</v>
      </c>
      <c r="J2150">
        <v>1999</v>
      </c>
      <c r="K2150">
        <v>1999</v>
      </c>
      <c r="L2150" t="s">
        <v>20</v>
      </c>
      <c r="M2150">
        <v>59924</v>
      </c>
      <c r="N2150">
        <v>854</v>
      </c>
    </row>
    <row r="2151" spans="1:14" x14ac:dyDescent="0.35">
      <c r="A2151" t="s">
        <v>2242</v>
      </c>
      <c r="B2151" t="s">
        <v>15</v>
      </c>
      <c r="C2151" t="s">
        <v>16</v>
      </c>
      <c r="D2151">
        <v>174</v>
      </c>
      <c r="E2151" t="s">
        <v>2228</v>
      </c>
      <c r="F2151">
        <v>5419</v>
      </c>
      <c r="G2151" t="s">
        <v>18</v>
      </c>
      <c r="H2151">
        <v>27</v>
      </c>
      <c r="I2151" t="s">
        <v>19</v>
      </c>
      <c r="J2151">
        <v>2000</v>
      </c>
      <c r="K2151">
        <v>2000</v>
      </c>
      <c r="L2151" t="s">
        <v>20</v>
      </c>
      <c r="M2151">
        <v>59772</v>
      </c>
      <c r="N2151">
        <v>854</v>
      </c>
    </row>
    <row r="2152" spans="1:14" x14ac:dyDescent="0.35">
      <c r="A2152" t="s">
        <v>2243</v>
      </c>
      <c r="B2152" t="s">
        <v>15</v>
      </c>
      <c r="C2152" t="s">
        <v>16</v>
      </c>
      <c r="D2152">
        <v>174</v>
      </c>
      <c r="E2152" t="s">
        <v>2228</v>
      </c>
      <c r="F2152">
        <v>5419</v>
      </c>
      <c r="G2152" t="s">
        <v>18</v>
      </c>
      <c r="H2152">
        <v>27</v>
      </c>
      <c r="I2152" t="s">
        <v>19</v>
      </c>
      <c r="J2152">
        <v>2001</v>
      </c>
      <c r="K2152">
        <v>2001</v>
      </c>
      <c r="L2152" t="s">
        <v>20</v>
      </c>
      <c r="M2152">
        <v>58523</v>
      </c>
      <c r="N2152">
        <v>854</v>
      </c>
    </row>
    <row r="2153" spans="1:14" x14ac:dyDescent="0.35">
      <c r="A2153" t="s">
        <v>2244</v>
      </c>
      <c r="B2153" t="s">
        <v>15</v>
      </c>
      <c r="C2153" t="s">
        <v>16</v>
      </c>
      <c r="D2153">
        <v>174</v>
      </c>
      <c r="E2153" t="s">
        <v>2228</v>
      </c>
      <c r="F2153">
        <v>5419</v>
      </c>
      <c r="G2153" t="s">
        <v>18</v>
      </c>
      <c r="H2153">
        <v>27</v>
      </c>
      <c r="I2153" t="s">
        <v>19</v>
      </c>
      <c r="J2153">
        <v>2002</v>
      </c>
      <c r="K2153">
        <v>2002</v>
      </c>
      <c r="L2153" t="s">
        <v>20</v>
      </c>
      <c r="M2153">
        <v>57862</v>
      </c>
      <c r="N2153">
        <v>854</v>
      </c>
    </row>
    <row r="2154" spans="1:14" x14ac:dyDescent="0.35">
      <c r="A2154" t="s">
        <v>2245</v>
      </c>
      <c r="B2154" t="s">
        <v>15</v>
      </c>
      <c r="C2154" t="s">
        <v>16</v>
      </c>
      <c r="D2154">
        <v>174</v>
      </c>
      <c r="E2154" t="s">
        <v>2228</v>
      </c>
      <c r="F2154">
        <v>5419</v>
      </c>
      <c r="G2154" t="s">
        <v>18</v>
      </c>
      <c r="H2154">
        <v>27</v>
      </c>
      <c r="I2154" t="s">
        <v>19</v>
      </c>
      <c r="J2154">
        <v>2004</v>
      </c>
      <c r="K2154">
        <v>2004</v>
      </c>
      <c r="L2154" t="s">
        <v>20</v>
      </c>
      <c r="M2154">
        <v>58527</v>
      </c>
      <c r="N2154">
        <v>854</v>
      </c>
    </row>
    <row r="2155" spans="1:14" x14ac:dyDescent="0.35">
      <c r="A2155" t="s">
        <v>2246</v>
      </c>
      <c r="B2155" t="s">
        <v>15</v>
      </c>
      <c r="C2155" t="s">
        <v>16</v>
      </c>
      <c r="D2155">
        <v>174</v>
      </c>
      <c r="E2155" t="s">
        <v>2228</v>
      </c>
      <c r="F2155">
        <v>5419</v>
      </c>
      <c r="G2155" t="s">
        <v>18</v>
      </c>
      <c r="H2155">
        <v>27</v>
      </c>
      <c r="I2155" t="s">
        <v>19</v>
      </c>
      <c r="J2155">
        <v>2005</v>
      </c>
      <c r="K2155">
        <v>2005</v>
      </c>
      <c r="L2155" t="s">
        <v>20</v>
      </c>
      <c r="M2155">
        <v>55044</v>
      </c>
      <c r="N2155">
        <v>854</v>
      </c>
    </row>
    <row r="2156" spans="1:14" x14ac:dyDescent="0.35">
      <c r="A2156" t="s">
        <v>2247</v>
      </c>
      <c r="B2156" t="s">
        <v>15</v>
      </c>
      <c r="C2156" t="s">
        <v>16</v>
      </c>
      <c r="D2156">
        <v>174</v>
      </c>
      <c r="E2156" t="s">
        <v>2228</v>
      </c>
      <c r="F2156">
        <v>5419</v>
      </c>
      <c r="G2156" t="s">
        <v>18</v>
      </c>
      <c r="H2156">
        <v>27</v>
      </c>
      <c r="I2156" t="s">
        <v>19</v>
      </c>
      <c r="J2156">
        <v>2006</v>
      </c>
      <c r="K2156">
        <v>2006</v>
      </c>
      <c r="L2156" t="s">
        <v>20</v>
      </c>
      <c r="M2156">
        <v>58551</v>
      </c>
      <c r="N2156">
        <v>854</v>
      </c>
    </row>
    <row r="2157" spans="1:14" x14ac:dyDescent="0.35">
      <c r="A2157" t="s">
        <v>2248</v>
      </c>
      <c r="B2157" t="s">
        <v>15</v>
      </c>
      <c r="C2157" t="s">
        <v>16</v>
      </c>
      <c r="D2157">
        <v>174</v>
      </c>
      <c r="E2157" t="s">
        <v>2228</v>
      </c>
      <c r="F2157">
        <v>5419</v>
      </c>
      <c r="G2157" t="s">
        <v>18</v>
      </c>
      <c r="H2157">
        <v>27</v>
      </c>
      <c r="I2157" t="s">
        <v>19</v>
      </c>
      <c r="J2157">
        <v>2007</v>
      </c>
      <c r="K2157">
        <v>2007</v>
      </c>
      <c r="L2157" t="s">
        <v>20</v>
      </c>
      <c r="M2157">
        <v>58062</v>
      </c>
      <c r="N2157">
        <v>854</v>
      </c>
    </row>
    <row r="2158" spans="1:14" x14ac:dyDescent="0.35">
      <c r="A2158" t="s">
        <v>2249</v>
      </c>
      <c r="B2158" t="s">
        <v>15</v>
      </c>
      <c r="C2158" t="s">
        <v>16</v>
      </c>
      <c r="D2158">
        <v>174</v>
      </c>
      <c r="E2158" t="s">
        <v>2228</v>
      </c>
      <c r="F2158">
        <v>5419</v>
      </c>
      <c r="G2158" t="s">
        <v>18</v>
      </c>
      <c r="H2158">
        <v>27</v>
      </c>
      <c r="I2158" t="s">
        <v>19</v>
      </c>
      <c r="J2158">
        <v>2008</v>
      </c>
      <c r="K2158">
        <v>2008</v>
      </c>
      <c r="L2158" t="s">
        <v>20</v>
      </c>
      <c r="M2158">
        <v>57219</v>
      </c>
      <c r="N2158">
        <v>854</v>
      </c>
    </row>
    <row r="2159" spans="1:14" x14ac:dyDescent="0.35">
      <c r="A2159" t="s">
        <v>2250</v>
      </c>
      <c r="B2159" t="s">
        <v>15</v>
      </c>
      <c r="C2159" t="s">
        <v>16</v>
      </c>
      <c r="D2159">
        <v>174</v>
      </c>
      <c r="E2159" t="s">
        <v>2228</v>
      </c>
      <c r="F2159">
        <v>5419</v>
      </c>
      <c r="G2159" t="s">
        <v>18</v>
      </c>
      <c r="H2159">
        <v>27</v>
      </c>
      <c r="I2159" t="s">
        <v>19</v>
      </c>
      <c r="J2159">
        <v>2009</v>
      </c>
      <c r="K2159">
        <v>2009</v>
      </c>
      <c r="L2159" t="s">
        <v>20</v>
      </c>
      <c r="M2159">
        <v>56818</v>
      </c>
      <c r="N2159">
        <v>854</v>
      </c>
    </row>
    <row r="2160" spans="1:14" x14ac:dyDescent="0.35">
      <c r="A2160" t="s">
        <v>2251</v>
      </c>
      <c r="B2160" t="s">
        <v>15</v>
      </c>
      <c r="C2160" t="s">
        <v>16</v>
      </c>
      <c r="D2160">
        <v>174</v>
      </c>
      <c r="E2160" t="s">
        <v>2228</v>
      </c>
      <c r="F2160">
        <v>5419</v>
      </c>
      <c r="G2160" t="s">
        <v>18</v>
      </c>
      <c r="H2160">
        <v>27</v>
      </c>
      <c r="I2160" t="s">
        <v>19</v>
      </c>
      <c r="J2160">
        <v>2010</v>
      </c>
      <c r="K2160">
        <v>2010</v>
      </c>
      <c r="L2160" t="s">
        <v>20</v>
      </c>
      <c r="M2160">
        <v>58453</v>
      </c>
      <c r="N2160">
        <v>854</v>
      </c>
    </row>
    <row r="2161" spans="1:14" x14ac:dyDescent="0.35">
      <c r="A2161" t="s">
        <v>2252</v>
      </c>
      <c r="B2161" t="s">
        <v>15</v>
      </c>
      <c r="C2161" t="s">
        <v>16</v>
      </c>
      <c r="D2161">
        <v>174</v>
      </c>
      <c r="E2161" t="s">
        <v>2228</v>
      </c>
      <c r="F2161">
        <v>5419</v>
      </c>
      <c r="G2161" t="s">
        <v>18</v>
      </c>
      <c r="H2161">
        <v>27</v>
      </c>
      <c r="I2161" t="s">
        <v>19</v>
      </c>
      <c r="J2161">
        <v>2011</v>
      </c>
      <c r="K2161">
        <v>2011</v>
      </c>
      <c r="L2161" t="s">
        <v>20</v>
      </c>
      <c r="M2161">
        <v>58855</v>
      </c>
      <c r="N2161">
        <v>854</v>
      </c>
    </row>
    <row r="2162" spans="1:14" x14ac:dyDescent="0.35">
      <c r="A2162" t="s">
        <v>2253</v>
      </c>
      <c r="B2162" t="s">
        <v>15</v>
      </c>
      <c r="C2162" t="s">
        <v>16</v>
      </c>
      <c r="D2162">
        <v>174</v>
      </c>
      <c r="E2162" t="s">
        <v>2228</v>
      </c>
      <c r="F2162">
        <v>5419</v>
      </c>
      <c r="G2162" t="s">
        <v>18</v>
      </c>
      <c r="H2162">
        <v>27</v>
      </c>
      <c r="I2162" t="s">
        <v>19</v>
      </c>
      <c r="J2162">
        <v>2012</v>
      </c>
      <c r="K2162">
        <v>2012</v>
      </c>
      <c r="L2162" t="s">
        <v>20</v>
      </c>
      <c r="M2162">
        <v>59995</v>
      </c>
      <c r="N2162">
        <v>854</v>
      </c>
    </row>
    <row r="2163" spans="1:14" x14ac:dyDescent="0.35">
      <c r="A2163" t="s">
        <v>2254</v>
      </c>
      <c r="B2163" t="s">
        <v>15</v>
      </c>
      <c r="C2163" t="s">
        <v>16</v>
      </c>
      <c r="D2163">
        <v>174</v>
      </c>
      <c r="E2163" t="s">
        <v>2228</v>
      </c>
      <c r="F2163">
        <v>5419</v>
      </c>
      <c r="G2163" t="s">
        <v>18</v>
      </c>
      <c r="H2163">
        <v>27</v>
      </c>
      <c r="I2163" t="s">
        <v>19</v>
      </c>
      <c r="J2163">
        <v>2013</v>
      </c>
      <c r="K2163">
        <v>2013</v>
      </c>
      <c r="L2163" t="s">
        <v>20</v>
      </c>
      <c r="M2163">
        <v>59699</v>
      </c>
      <c r="N2163">
        <v>854</v>
      </c>
    </row>
    <row r="2164" spans="1:14" x14ac:dyDescent="0.35">
      <c r="A2164" t="s">
        <v>2255</v>
      </c>
      <c r="B2164" t="s">
        <v>15</v>
      </c>
      <c r="C2164" t="s">
        <v>16</v>
      </c>
      <c r="D2164">
        <v>174</v>
      </c>
      <c r="E2164" t="s">
        <v>2228</v>
      </c>
      <c r="F2164">
        <v>5419</v>
      </c>
      <c r="G2164" t="s">
        <v>18</v>
      </c>
      <c r="H2164">
        <v>27</v>
      </c>
      <c r="I2164" t="s">
        <v>19</v>
      </c>
      <c r="J2164">
        <v>2014</v>
      </c>
      <c r="K2164">
        <v>2014</v>
      </c>
      <c r="L2164" t="s">
        <v>20</v>
      </c>
      <c r="M2164">
        <v>58191</v>
      </c>
      <c r="N2164">
        <v>854</v>
      </c>
    </row>
    <row r="2165" spans="1:14" x14ac:dyDescent="0.35">
      <c r="A2165" t="s">
        <v>2256</v>
      </c>
      <c r="B2165" t="s">
        <v>15</v>
      </c>
      <c r="C2165" t="s">
        <v>16</v>
      </c>
      <c r="D2165">
        <v>174</v>
      </c>
      <c r="E2165" t="s">
        <v>2228</v>
      </c>
      <c r="F2165">
        <v>5419</v>
      </c>
      <c r="G2165" t="s">
        <v>18</v>
      </c>
      <c r="H2165">
        <v>27</v>
      </c>
      <c r="I2165" t="s">
        <v>19</v>
      </c>
      <c r="J2165">
        <v>2015</v>
      </c>
      <c r="K2165">
        <v>2015</v>
      </c>
      <c r="L2165" t="s">
        <v>20</v>
      </c>
      <c r="M2165">
        <v>63454</v>
      </c>
      <c r="N2165">
        <v>854</v>
      </c>
    </row>
    <row r="2166" spans="1:14" x14ac:dyDescent="0.35">
      <c r="A2166" t="s">
        <v>2257</v>
      </c>
      <c r="B2166" t="s">
        <v>15</v>
      </c>
      <c r="C2166" t="s">
        <v>16</v>
      </c>
      <c r="D2166">
        <v>174</v>
      </c>
      <c r="E2166" t="s">
        <v>2228</v>
      </c>
      <c r="F2166">
        <v>5419</v>
      </c>
      <c r="G2166" t="s">
        <v>18</v>
      </c>
      <c r="H2166">
        <v>27</v>
      </c>
      <c r="I2166" t="s">
        <v>19</v>
      </c>
      <c r="J2166">
        <v>2016</v>
      </c>
      <c r="K2166">
        <v>2016</v>
      </c>
      <c r="L2166" t="s">
        <v>20</v>
      </c>
      <c r="M2166">
        <v>58077</v>
      </c>
      <c r="N2166">
        <v>854</v>
      </c>
    </row>
    <row r="2167" spans="1:14" x14ac:dyDescent="0.35">
      <c r="A2167" t="s">
        <v>2258</v>
      </c>
      <c r="B2167" t="s">
        <v>15</v>
      </c>
      <c r="C2167" t="s">
        <v>16</v>
      </c>
      <c r="D2167">
        <v>177</v>
      </c>
      <c r="E2167" t="s">
        <v>2259</v>
      </c>
      <c r="F2167">
        <v>5419</v>
      </c>
      <c r="G2167" t="s">
        <v>18</v>
      </c>
      <c r="H2167">
        <v>27</v>
      </c>
      <c r="I2167" t="s">
        <v>19</v>
      </c>
      <c r="J2167">
        <v>1985</v>
      </c>
      <c r="K2167">
        <v>1985</v>
      </c>
      <c r="L2167" t="s">
        <v>20</v>
      </c>
      <c r="M2167">
        <v>30212</v>
      </c>
      <c r="N2167">
        <v>2054</v>
      </c>
    </row>
    <row r="2168" spans="1:14" x14ac:dyDescent="0.35">
      <c r="A2168" t="s">
        <v>2260</v>
      </c>
      <c r="B2168" t="s">
        <v>15</v>
      </c>
      <c r="C2168" t="s">
        <v>16</v>
      </c>
      <c r="D2168">
        <v>177</v>
      </c>
      <c r="E2168" t="s">
        <v>2259</v>
      </c>
      <c r="F2168">
        <v>5419</v>
      </c>
      <c r="G2168" t="s">
        <v>18</v>
      </c>
      <c r="H2168">
        <v>27</v>
      </c>
      <c r="I2168" t="s">
        <v>19</v>
      </c>
      <c r="J2168">
        <v>1986</v>
      </c>
      <c r="K2168">
        <v>1986</v>
      </c>
      <c r="L2168" t="s">
        <v>20</v>
      </c>
      <c r="M2168">
        <v>32582</v>
      </c>
      <c r="N2168">
        <v>2054</v>
      </c>
    </row>
    <row r="2169" spans="1:14" x14ac:dyDescent="0.35">
      <c r="A2169" t="s">
        <v>2261</v>
      </c>
      <c r="B2169" t="s">
        <v>15</v>
      </c>
      <c r="C2169" t="s">
        <v>16</v>
      </c>
      <c r="D2169">
        <v>177</v>
      </c>
      <c r="E2169" t="s">
        <v>2259</v>
      </c>
      <c r="F2169">
        <v>5419</v>
      </c>
      <c r="G2169" t="s">
        <v>18</v>
      </c>
      <c r="H2169">
        <v>27</v>
      </c>
      <c r="I2169" t="s">
        <v>19</v>
      </c>
      <c r="J2169">
        <v>1987</v>
      </c>
      <c r="K2169">
        <v>1987</v>
      </c>
      <c r="L2169" t="s">
        <v>20</v>
      </c>
      <c r="M2169">
        <v>30262</v>
      </c>
      <c r="N2169">
        <v>2054</v>
      </c>
    </row>
    <row r="2170" spans="1:14" x14ac:dyDescent="0.35">
      <c r="A2170" t="s">
        <v>2262</v>
      </c>
      <c r="B2170" t="s">
        <v>15</v>
      </c>
      <c r="C2170" t="s">
        <v>16</v>
      </c>
      <c r="D2170">
        <v>177</v>
      </c>
      <c r="E2170" t="s">
        <v>2259</v>
      </c>
      <c r="F2170">
        <v>5419</v>
      </c>
      <c r="G2170" t="s">
        <v>18</v>
      </c>
      <c r="H2170">
        <v>27</v>
      </c>
      <c r="I2170" t="s">
        <v>19</v>
      </c>
      <c r="J2170">
        <v>1989</v>
      </c>
      <c r="K2170">
        <v>1989</v>
      </c>
      <c r="L2170" t="s">
        <v>20</v>
      </c>
      <c r="M2170">
        <v>32000</v>
      </c>
      <c r="N2170">
        <v>2054</v>
      </c>
    </row>
    <row r="2171" spans="1:14" x14ac:dyDescent="0.35">
      <c r="A2171" t="s">
        <v>2263</v>
      </c>
      <c r="B2171" t="s">
        <v>15</v>
      </c>
      <c r="C2171" t="s">
        <v>16</v>
      </c>
      <c r="D2171">
        <v>177</v>
      </c>
      <c r="E2171" t="s">
        <v>2259</v>
      </c>
      <c r="F2171">
        <v>5419</v>
      </c>
      <c r="G2171" t="s">
        <v>18</v>
      </c>
      <c r="H2171">
        <v>27</v>
      </c>
      <c r="I2171" t="s">
        <v>19</v>
      </c>
      <c r="J2171">
        <v>1998</v>
      </c>
      <c r="K2171">
        <v>1998</v>
      </c>
      <c r="L2171" t="s">
        <v>20</v>
      </c>
      <c r="M2171">
        <v>14266</v>
      </c>
      <c r="N2171">
        <v>2054</v>
      </c>
    </row>
    <row r="2172" spans="1:14" x14ac:dyDescent="0.35">
      <c r="A2172" t="s">
        <v>2264</v>
      </c>
      <c r="B2172" t="s">
        <v>15</v>
      </c>
      <c r="C2172" t="s">
        <v>16</v>
      </c>
      <c r="D2172">
        <v>177</v>
      </c>
      <c r="E2172" t="s">
        <v>2259</v>
      </c>
      <c r="F2172">
        <v>5419</v>
      </c>
      <c r="G2172" t="s">
        <v>18</v>
      </c>
      <c r="H2172">
        <v>27</v>
      </c>
      <c r="I2172" t="s">
        <v>19</v>
      </c>
      <c r="J2172">
        <v>1999</v>
      </c>
      <c r="K2172">
        <v>1999</v>
      </c>
      <c r="L2172" t="s">
        <v>20</v>
      </c>
      <c r="M2172">
        <v>14325</v>
      </c>
      <c r="N2172">
        <v>2054</v>
      </c>
    </row>
    <row r="2173" spans="1:14" x14ac:dyDescent="0.35">
      <c r="A2173" t="s">
        <v>2265</v>
      </c>
      <c r="B2173" t="s">
        <v>15</v>
      </c>
      <c r="C2173" t="s">
        <v>16</v>
      </c>
      <c r="D2173">
        <v>177</v>
      </c>
      <c r="E2173" t="s">
        <v>2259</v>
      </c>
      <c r="F2173">
        <v>5419</v>
      </c>
      <c r="G2173" t="s">
        <v>18</v>
      </c>
      <c r="H2173">
        <v>27</v>
      </c>
      <c r="I2173" t="s">
        <v>19</v>
      </c>
      <c r="J2173">
        <v>2000</v>
      </c>
      <c r="K2173">
        <v>2000</v>
      </c>
      <c r="L2173" t="s">
        <v>20</v>
      </c>
      <c r="M2173">
        <v>14384</v>
      </c>
      <c r="N2173">
        <v>2054</v>
      </c>
    </row>
    <row r="2174" spans="1:14" x14ac:dyDescent="0.35">
      <c r="A2174" t="s">
        <v>2266</v>
      </c>
      <c r="B2174" t="s">
        <v>15</v>
      </c>
      <c r="C2174" t="s">
        <v>16</v>
      </c>
      <c r="D2174">
        <v>177</v>
      </c>
      <c r="E2174" t="s">
        <v>2259</v>
      </c>
      <c r="F2174">
        <v>5419</v>
      </c>
      <c r="G2174" t="s">
        <v>18</v>
      </c>
      <c r="H2174">
        <v>27</v>
      </c>
      <c r="I2174" t="s">
        <v>19</v>
      </c>
      <c r="J2174">
        <v>2001</v>
      </c>
      <c r="K2174">
        <v>2001</v>
      </c>
      <c r="L2174" t="s">
        <v>20</v>
      </c>
      <c r="M2174">
        <v>14444</v>
      </c>
      <c r="N2174">
        <v>2054</v>
      </c>
    </row>
    <row r="2175" spans="1:14" x14ac:dyDescent="0.35">
      <c r="A2175" t="s">
        <v>2267</v>
      </c>
      <c r="B2175" t="s">
        <v>15</v>
      </c>
      <c r="C2175" t="s">
        <v>16</v>
      </c>
      <c r="D2175">
        <v>177</v>
      </c>
      <c r="E2175" t="s">
        <v>2259</v>
      </c>
      <c r="F2175">
        <v>5419</v>
      </c>
      <c r="G2175" t="s">
        <v>18</v>
      </c>
      <c r="H2175">
        <v>27</v>
      </c>
      <c r="I2175" t="s">
        <v>19</v>
      </c>
      <c r="J2175">
        <v>2002</v>
      </c>
      <c r="K2175">
        <v>2002</v>
      </c>
      <c r="L2175" t="s">
        <v>20</v>
      </c>
      <c r="M2175">
        <v>14503</v>
      </c>
      <c r="N2175">
        <v>2054</v>
      </c>
    </row>
    <row r="2176" spans="1:14" x14ac:dyDescent="0.35">
      <c r="A2176" t="s">
        <v>2268</v>
      </c>
      <c r="B2176" t="s">
        <v>15</v>
      </c>
      <c r="C2176" t="s">
        <v>16</v>
      </c>
      <c r="D2176">
        <v>177</v>
      </c>
      <c r="E2176" t="s">
        <v>2259</v>
      </c>
      <c r="F2176">
        <v>5419</v>
      </c>
      <c r="G2176" t="s">
        <v>18</v>
      </c>
      <c r="H2176">
        <v>27</v>
      </c>
      <c r="I2176" t="s">
        <v>19</v>
      </c>
      <c r="J2176">
        <v>2004</v>
      </c>
      <c r="K2176">
        <v>2004</v>
      </c>
      <c r="L2176" t="s">
        <v>20</v>
      </c>
      <c r="M2176">
        <v>14760</v>
      </c>
      <c r="N2176">
        <v>2054</v>
      </c>
    </row>
    <row r="2177" spans="1:14" x14ac:dyDescent="0.35">
      <c r="A2177" t="s">
        <v>2269</v>
      </c>
      <c r="B2177" t="s">
        <v>15</v>
      </c>
      <c r="C2177" t="s">
        <v>16</v>
      </c>
      <c r="D2177">
        <v>177</v>
      </c>
      <c r="E2177" t="s">
        <v>2259</v>
      </c>
      <c r="F2177">
        <v>5419</v>
      </c>
      <c r="G2177" t="s">
        <v>18</v>
      </c>
      <c r="H2177">
        <v>27</v>
      </c>
      <c r="I2177" t="s">
        <v>19</v>
      </c>
      <c r="J2177">
        <v>2008</v>
      </c>
      <c r="K2177">
        <v>2008</v>
      </c>
      <c r="L2177" t="s">
        <v>20</v>
      </c>
      <c r="M2177">
        <v>15547</v>
      </c>
      <c r="N2177">
        <v>2054</v>
      </c>
    </row>
    <row r="2178" spans="1:14" x14ac:dyDescent="0.35">
      <c r="A2178" t="s">
        <v>2270</v>
      </c>
      <c r="B2178" t="s">
        <v>15</v>
      </c>
      <c r="C2178" t="s">
        <v>16</v>
      </c>
      <c r="D2178">
        <v>177</v>
      </c>
      <c r="E2178" t="s">
        <v>2259</v>
      </c>
      <c r="F2178">
        <v>5419</v>
      </c>
      <c r="G2178" t="s">
        <v>18</v>
      </c>
      <c r="H2178">
        <v>27</v>
      </c>
      <c r="I2178" t="s">
        <v>19</v>
      </c>
      <c r="J2178">
        <v>2009</v>
      </c>
      <c r="K2178">
        <v>2009</v>
      </c>
      <c r="L2178" t="s">
        <v>20</v>
      </c>
      <c r="M2178">
        <v>15744</v>
      </c>
      <c r="N2178">
        <v>2054</v>
      </c>
    </row>
    <row r="2179" spans="1:14" x14ac:dyDescent="0.35">
      <c r="A2179" t="s">
        <v>2271</v>
      </c>
      <c r="B2179" t="s">
        <v>15</v>
      </c>
      <c r="C2179" t="s">
        <v>16</v>
      </c>
      <c r="D2179">
        <v>177</v>
      </c>
      <c r="E2179" t="s">
        <v>2259</v>
      </c>
      <c r="F2179">
        <v>5419</v>
      </c>
      <c r="G2179" t="s">
        <v>18</v>
      </c>
      <c r="H2179">
        <v>27</v>
      </c>
      <c r="I2179" t="s">
        <v>19</v>
      </c>
      <c r="J2179">
        <v>2010</v>
      </c>
      <c r="K2179">
        <v>2010</v>
      </c>
      <c r="L2179" t="s">
        <v>20</v>
      </c>
      <c r="M2179">
        <v>15941</v>
      </c>
      <c r="N2179">
        <v>2054</v>
      </c>
    </row>
    <row r="2180" spans="1:14" x14ac:dyDescent="0.35">
      <c r="A2180" t="s">
        <v>2272</v>
      </c>
      <c r="B2180" t="s">
        <v>15</v>
      </c>
      <c r="C2180" t="s">
        <v>16</v>
      </c>
      <c r="D2180">
        <v>177</v>
      </c>
      <c r="E2180" t="s">
        <v>2259</v>
      </c>
      <c r="F2180">
        <v>5419</v>
      </c>
      <c r="G2180" t="s">
        <v>18</v>
      </c>
      <c r="H2180">
        <v>27</v>
      </c>
      <c r="I2180" t="s">
        <v>19</v>
      </c>
      <c r="J2180">
        <v>2011</v>
      </c>
      <c r="K2180">
        <v>2011</v>
      </c>
      <c r="L2180" t="s">
        <v>20</v>
      </c>
      <c r="M2180">
        <v>16138</v>
      </c>
      <c r="N2180">
        <v>2054</v>
      </c>
    </row>
    <row r="2181" spans="1:14" x14ac:dyDescent="0.35">
      <c r="A2181" t="s">
        <v>2273</v>
      </c>
      <c r="B2181" t="s">
        <v>15</v>
      </c>
      <c r="C2181" t="s">
        <v>16</v>
      </c>
      <c r="D2181">
        <v>177</v>
      </c>
      <c r="E2181" t="s">
        <v>2259</v>
      </c>
      <c r="F2181">
        <v>5419</v>
      </c>
      <c r="G2181" t="s">
        <v>18</v>
      </c>
      <c r="H2181">
        <v>27</v>
      </c>
      <c r="I2181" t="s">
        <v>19</v>
      </c>
      <c r="J2181">
        <v>2012</v>
      </c>
      <c r="K2181">
        <v>2012</v>
      </c>
      <c r="L2181" t="s">
        <v>20</v>
      </c>
      <c r="M2181">
        <v>13977</v>
      </c>
      <c r="N2181">
        <v>2054</v>
      </c>
    </row>
    <row r="2182" spans="1:14" x14ac:dyDescent="0.35">
      <c r="A2182" t="s">
        <v>2274</v>
      </c>
      <c r="B2182" t="s">
        <v>15</v>
      </c>
      <c r="C2182" t="s">
        <v>16</v>
      </c>
      <c r="D2182">
        <v>177</v>
      </c>
      <c r="E2182" t="s">
        <v>2259</v>
      </c>
      <c r="F2182">
        <v>5419</v>
      </c>
      <c r="G2182" t="s">
        <v>18</v>
      </c>
      <c r="H2182">
        <v>27</v>
      </c>
      <c r="I2182" t="s">
        <v>19</v>
      </c>
      <c r="J2182">
        <v>2013</v>
      </c>
      <c r="K2182">
        <v>2013</v>
      </c>
      <c r="L2182" t="s">
        <v>20</v>
      </c>
      <c r="M2182">
        <v>13536</v>
      </c>
      <c r="N2182">
        <v>2054</v>
      </c>
    </row>
    <row r="2183" spans="1:14" x14ac:dyDescent="0.35">
      <c r="A2183" t="s">
        <v>2275</v>
      </c>
      <c r="B2183" t="s">
        <v>15</v>
      </c>
      <c r="C2183" t="s">
        <v>16</v>
      </c>
      <c r="D2183">
        <v>177</v>
      </c>
      <c r="E2183" t="s">
        <v>2259</v>
      </c>
      <c r="F2183">
        <v>5419</v>
      </c>
      <c r="G2183" t="s">
        <v>18</v>
      </c>
      <c r="H2183">
        <v>27</v>
      </c>
      <c r="I2183" t="s">
        <v>19</v>
      </c>
      <c r="J2183">
        <v>2014</v>
      </c>
      <c r="K2183">
        <v>2014</v>
      </c>
      <c r="L2183" t="s">
        <v>20</v>
      </c>
      <c r="M2183">
        <v>19729</v>
      </c>
      <c r="N2183">
        <v>2054</v>
      </c>
    </row>
    <row r="2184" spans="1:14" x14ac:dyDescent="0.35">
      <c r="A2184" t="s">
        <v>2276</v>
      </c>
      <c r="B2184" t="s">
        <v>15</v>
      </c>
      <c r="C2184" t="s">
        <v>16</v>
      </c>
      <c r="D2184">
        <v>177</v>
      </c>
      <c r="E2184" t="s">
        <v>2259</v>
      </c>
      <c r="F2184">
        <v>5419</v>
      </c>
      <c r="G2184" t="s">
        <v>18</v>
      </c>
      <c r="H2184">
        <v>27</v>
      </c>
      <c r="I2184" t="s">
        <v>19</v>
      </c>
      <c r="J2184">
        <v>2015</v>
      </c>
      <c r="K2184">
        <v>2015</v>
      </c>
      <c r="L2184" t="s">
        <v>20</v>
      </c>
      <c r="M2184">
        <v>30004</v>
      </c>
      <c r="N2184">
        <v>2054</v>
      </c>
    </row>
    <row r="2185" spans="1:14" x14ac:dyDescent="0.35">
      <c r="A2185" t="s">
        <v>2277</v>
      </c>
      <c r="B2185" t="s">
        <v>15</v>
      </c>
      <c r="C2185" t="s">
        <v>16</v>
      </c>
      <c r="D2185">
        <v>177</v>
      </c>
      <c r="E2185" t="s">
        <v>2259</v>
      </c>
      <c r="F2185">
        <v>5419</v>
      </c>
      <c r="G2185" t="s">
        <v>18</v>
      </c>
      <c r="H2185">
        <v>27</v>
      </c>
      <c r="I2185" t="s">
        <v>19</v>
      </c>
      <c r="J2185">
        <v>2016</v>
      </c>
      <c r="K2185">
        <v>2016</v>
      </c>
      <c r="L2185" t="s">
        <v>20</v>
      </c>
      <c r="M2185">
        <v>33724</v>
      </c>
      <c r="N2185">
        <v>2054</v>
      </c>
    </row>
    <row r="2186" spans="1:14" x14ac:dyDescent="0.35">
      <c r="A2186" t="s">
        <v>2278</v>
      </c>
      <c r="B2186" t="s">
        <v>15</v>
      </c>
      <c r="C2186" t="s">
        <v>16</v>
      </c>
      <c r="D2186">
        <v>183</v>
      </c>
      <c r="E2186" t="s">
        <v>2279</v>
      </c>
      <c r="F2186">
        <v>5419</v>
      </c>
      <c r="G2186" t="s">
        <v>18</v>
      </c>
      <c r="H2186">
        <v>27</v>
      </c>
      <c r="I2186" t="s">
        <v>19</v>
      </c>
      <c r="J2186">
        <v>1985</v>
      </c>
      <c r="K2186">
        <v>1985</v>
      </c>
      <c r="L2186" t="s">
        <v>20</v>
      </c>
      <c r="M2186">
        <v>36436</v>
      </c>
      <c r="N2186">
        <v>637</v>
      </c>
    </row>
    <row r="2187" spans="1:14" x14ac:dyDescent="0.35">
      <c r="A2187" t="s">
        <v>2280</v>
      </c>
      <c r="B2187" t="s">
        <v>15</v>
      </c>
      <c r="C2187" t="s">
        <v>16</v>
      </c>
      <c r="D2187">
        <v>183</v>
      </c>
      <c r="E2187" t="s">
        <v>2279</v>
      </c>
      <c r="F2187">
        <v>5419</v>
      </c>
      <c r="G2187" t="s">
        <v>18</v>
      </c>
      <c r="H2187">
        <v>27</v>
      </c>
      <c r="I2187" t="s">
        <v>19</v>
      </c>
      <c r="J2187">
        <v>1986</v>
      </c>
      <c r="K2187">
        <v>1986</v>
      </c>
      <c r="L2187" t="s">
        <v>20</v>
      </c>
      <c r="M2187">
        <v>35324</v>
      </c>
      <c r="N2187">
        <v>637</v>
      </c>
    </row>
    <row r="2188" spans="1:14" x14ac:dyDescent="0.35">
      <c r="A2188" t="s">
        <v>2281</v>
      </c>
      <c r="B2188" t="s">
        <v>15</v>
      </c>
      <c r="C2188" t="s">
        <v>16</v>
      </c>
      <c r="D2188">
        <v>183</v>
      </c>
      <c r="E2188" t="s">
        <v>2279</v>
      </c>
      <c r="F2188">
        <v>5419</v>
      </c>
      <c r="G2188" t="s">
        <v>18</v>
      </c>
      <c r="H2188">
        <v>27</v>
      </c>
      <c r="I2188" t="s">
        <v>19</v>
      </c>
      <c r="J2188">
        <v>1987</v>
      </c>
      <c r="K2188">
        <v>1987</v>
      </c>
      <c r="L2188" t="s">
        <v>20</v>
      </c>
      <c r="M2188">
        <v>25839</v>
      </c>
      <c r="N2188">
        <v>637</v>
      </c>
    </row>
    <row r="2189" spans="1:14" x14ac:dyDescent="0.35">
      <c r="A2189" t="s">
        <v>2282</v>
      </c>
      <c r="B2189" t="s">
        <v>15</v>
      </c>
      <c r="C2189" t="s">
        <v>16</v>
      </c>
      <c r="D2189">
        <v>183</v>
      </c>
      <c r="E2189" t="s">
        <v>2279</v>
      </c>
      <c r="F2189">
        <v>5419</v>
      </c>
      <c r="G2189" t="s">
        <v>18</v>
      </c>
      <c r="H2189">
        <v>27</v>
      </c>
      <c r="I2189" t="s">
        <v>19</v>
      </c>
      <c r="J2189">
        <v>1989</v>
      </c>
      <c r="K2189">
        <v>1989</v>
      </c>
      <c r="L2189" t="s">
        <v>20</v>
      </c>
      <c r="M2189">
        <v>14239</v>
      </c>
      <c r="N2189">
        <v>637</v>
      </c>
    </row>
    <row r="2190" spans="1:14" x14ac:dyDescent="0.35">
      <c r="A2190" t="s">
        <v>2283</v>
      </c>
      <c r="B2190" t="s">
        <v>15</v>
      </c>
      <c r="C2190" t="s">
        <v>16</v>
      </c>
      <c r="D2190">
        <v>183</v>
      </c>
      <c r="E2190" t="s">
        <v>2279</v>
      </c>
      <c r="F2190">
        <v>5419</v>
      </c>
      <c r="G2190" t="s">
        <v>18</v>
      </c>
      <c r="H2190">
        <v>27</v>
      </c>
      <c r="I2190" t="s">
        <v>19</v>
      </c>
      <c r="J2190">
        <v>1990</v>
      </c>
      <c r="K2190">
        <v>1990</v>
      </c>
      <c r="L2190" t="s">
        <v>20</v>
      </c>
      <c r="M2190">
        <v>16667</v>
      </c>
      <c r="N2190">
        <v>637</v>
      </c>
    </row>
    <row r="2191" spans="1:14" x14ac:dyDescent="0.35">
      <c r="A2191" t="s">
        <v>2284</v>
      </c>
      <c r="B2191" t="s">
        <v>15</v>
      </c>
      <c r="C2191" t="s">
        <v>16</v>
      </c>
      <c r="D2191">
        <v>183</v>
      </c>
      <c r="E2191" t="s">
        <v>2279</v>
      </c>
      <c r="F2191">
        <v>5419</v>
      </c>
      <c r="G2191" t="s">
        <v>18</v>
      </c>
      <c r="H2191">
        <v>27</v>
      </c>
      <c r="I2191" t="s">
        <v>19</v>
      </c>
      <c r="J2191">
        <v>1991</v>
      </c>
      <c r="K2191">
        <v>1991</v>
      </c>
      <c r="L2191" t="s">
        <v>20</v>
      </c>
      <c r="M2191">
        <v>14560</v>
      </c>
      <c r="N2191">
        <v>637</v>
      </c>
    </row>
    <row r="2192" spans="1:14" x14ac:dyDescent="0.35">
      <c r="A2192" t="s">
        <v>2285</v>
      </c>
      <c r="B2192" t="s">
        <v>15</v>
      </c>
      <c r="C2192" t="s">
        <v>16</v>
      </c>
      <c r="D2192">
        <v>183</v>
      </c>
      <c r="E2192" t="s">
        <v>2279</v>
      </c>
      <c r="F2192">
        <v>5419</v>
      </c>
      <c r="G2192" t="s">
        <v>18</v>
      </c>
      <c r="H2192">
        <v>27</v>
      </c>
      <c r="I2192" t="s">
        <v>19</v>
      </c>
      <c r="J2192">
        <v>1992</v>
      </c>
      <c r="K2192">
        <v>1992</v>
      </c>
      <c r="L2192" t="s">
        <v>20</v>
      </c>
      <c r="M2192">
        <v>23742</v>
      </c>
      <c r="N2192">
        <v>637</v>
      </c>
    </row>
    <row r="2193" spans="1:14" x14ac:dyDescent="0.35">
      <c r="A2193" t="s">
        <v>2286</v>
      </c>
      <c r="B2193" t="s">
        <v>15</v>
      </c>
      <c r="C2193" t="s">
        <v>16</v>
      </c>
      <c r="D2193">
        <v>183</v>
      </c>
      <c r="E2193" t="s">
        <v>2279</v>
      </c>
      <c r="F2193">
        <v>5419</v>
      </c>
      <c r="G2193" t="s">
        <v>18</v>
      </c>
      <c r="H2193">
        <v>27</v>
      </c>
      <c r="I2193" t="s">
        <v>19</v>
      </c>
      <c r="J2193">
        <v>1993</v>
      </c>
      <c r="K2193">
        <v>1993</v>
      </c>
      <c r="L2193" t="s">
        <v>20</v>
      </c>
      <c r="M2193">
        <v>30351</v>
      </c>
      <c r="N2193">
        <v>637</v>
      </c>
    </row>
    <row r="2194" spans="1:14" x14ac:dyDescent="0.35">
      <c r="A2194" t="s">
        <v>2287</v>
      </c>
      <c r="B2194" t="s">
        <v>15</v>
      </c>
      <c r="C2194" t="s">
        <v>16</v>
      </c>
      <c r="D2194">
        <v>183</v>
      </c>
      <c r="E2194" t="s">
        <v>2279</v>
      </c>
      <c r="F2194">
        <v>5419</v>
      </c>
      <c r="G2194" t="s">
        <v>18</v>
      </c>
      <c r="H2194">
        <v>27</v>
      </c>
      <c r="I2194" t="s">
        <v>19</v>
      </c>
      <c r="J2194">
        <v>1994</v>
      </c>
      <c r="K2194">
        <v>1994</v>
      </c>
      <c r="L2194" t="s">
        <v>20</v>
      </c>
      <c r="M2194">
        <v>32835</v>
      </c>
      <c r="N2194">
        <v>637</v>
      </c>
    </row>
    <row r="2195" spans="1:14" x14ac:dyDescent="0.35">
      <c r="A2195" t="s">
        <v>2288</v>
      </c>
      <c r="B2195" t="s">
        <v>15</v>
      </c>
      <c r="C2195" t="s">
        <v>16</v>
      </c>
      <c r="D2195">
        <v>183</v>
      </c>
      <c r="E2195" t="s">
        <v>2279</v>
      </c>
      <c r="F2195">
        <v>5419</v>
      </c>
      <c r="G2195" t="s">
        <v>18</v>
      </c>
      <c r="H2195">
        <v>27</v>
      </c>
      <c r="I2195" t="s">
        <v>19</v>
      </c>
      <c r="J2195">
        <v>1995</v>
      </c>
      <c r="K2195">
        <v>1995</v>
      </c>
      <c r="L2195" t="s">
        <v>20</v>
      </c>
      <c r="M2195">
        <v>39030</v>
      </c>
      <c r="N2195">
        <v>637</v>
      </c>
    </row>
    <row r="2196" spans="1:14" x14ac:dyDescent="0.35">
      <c r="A2196" t="s">
        <v>2289</v>
      </c>
      <c r="B2196" t="s">
        <v>15</v>
      </c>
      <c r="C2196" t="s">
        <v>16</v>
      </c>
      <c r="D2196">
        <v>183</v>
      </c>
      <c r="E2196" t="s">
        <v>2279</v>
      </c>
      <c r="F2196">
        <v>5419</v>
      </c>
      <c r="G2196" t="s">
        <v>18</v>
      </c>
      <c r="H2196">
        <v>27</v>
      </c>
      <c r="I2196" t="s">
        <v>19</v>
      </c>
      <c r="J2196">
        <v>1996</v>
      </c>
      <c r="K2196">
        <v>1996</v>
      </c>
      <c r="L2196" t="s">
        <v>20</v>
      </c>
      <c r="M2196">
        <v>27075</v>
      </c>
      <c r="N2196">
        <v>637</v>
      </c>
    </row>
    <row r="2197" spans="1:14" x14ac:dyDescent="0.35">
      <c r="A2197" t="s">
        <v>2290</v>
      </c>
      <c r="B2197" t="s">
        <v>15</v>
      </c>
      <c r="C2197" t="s">
        <v>16</v>
      </c>
      <c r="D2197">
        <v>183</v>
      </c>
      <c r="E2197" t="s">
        <v>2279</v>
      </c>
      <c r="F2197">
        <v>5419</v>
      </c>
      <c r="G2197" t="s">
        <v>18</v>
      </c>
      <c r="H2197">
        <v>27</v>
      </c>
      <c r="I2197" t="s">
        <v>19</v>
      </c>
      <c r="J2197">
        <v>1997</v>
      </c>
      <c r="K2197">
        <v>1997</v>
      </c>
      <c r="L2197" t="s">
        <v>20</v>
      </c>
      <c r="M2197">
        <v>26766</v>
      </c>
      <c r="N2197">
        <v>637</v>
      </c>
    </row>
    <row r="2198" spans="1:14" x14ac:dyDescent="0.35">
      <c r="A2198" t="s">
        <v>2291</v>
      </c>
      <c r="B2198" t="s">
        <v>15</v>
      </c>
      <c r="C2198" t="s">
        <v>16</v>
      </c>
      <c r="D2198">
        <v>183</v>
      </c>
      <c r="E2198" t="s">
        <v>2279</v>
      </c>
      <c r="F2198">
        <v>5419</v>
      </c>
      <c r="G2198" t="s">
        <v>18</v>
      </c>
      <c r="H2198">
        <v>27</v>
      </c>
      <c r="I2198" t="s">
        <v>19</v>
      </c>
      <c r="J2198">
        <v>1998</v>
      </c>
      <c r="K2198">
        <v>1998</v>
      </c>
      <c r="L2198" t="s">
        <v>20</v>
      </c>
      <c r="M2198">
        <v>29791</v>
      </c>
      <c r="N2198">
        <v>637</v>
      </c>
    </row>
    <row r="2199" spans="1:14" x14ac:dyDescent="0.35">
      <c r="A2199" t="s">
        <v>2292</v>
      </c>
      <c r="B2199" t="s">
        <v>15</v>
      </c>
      <c r="C2199" t="s">
        <v>16</v>
      </c>
      <c r="D2199">
        <v>183</v>
      </c>
      <c r="E2199" t="s">
        <v>2279</v>
      </c>
      <c r="F2199">
        <v>5419</v>
      </c>
      <c r="G2199" t="s">
        <v>18</v>
      </c>
      <c r="H2199">
        <v>27</v>
      </c>
      <c r="I2199" t="s">
        <v>19</v>
      </c>
      <c r="J2199">
        <v>1999</v>
      </c>
      <c r="K2199">
        <v>1999</v>
      </c>
      <c r="L2199" t="s">
        <v>20</v>
      </c>
      <c r="M2199">
        <v>24427</v>
      </c>
      <c r="N2199">
        <v>637</v>
      </c>
    </row>
    <row r="2200" spans="1:14" x14ac:dyDescent="0.35">
      <c r="A2200" t="s">
        <v>2293</v>
      </c>
      <c r="B2200" t="s">
        <v>15</v>
      </c>
      <c r="C2200" t="s">
        <v>16</v>
      </c>
      <c r="D2200">
        <v>183</v>
      </c>
      <c r="E2200" t="s">
        <v>2279</v>
      </c>
      <c r="F2200">
        <v>5419</v>
      </c>
      <c r="G2200" t="s">
        <v>18</v>
      </c>
      <c r="H2200">
        <v>27</v>
      </c>
      <c r="I2200" t="s">
        <v>19</v>
      </c>
      <c r="J2200">
        <v>2000</v>
      </c>
      <c r="K2200">
        <v>2000</v>
      </c>
      <c r="L2200" t="s">
        <v>20</v>
      </c>
      <c r="M2200">
        <v>26441</v>
      </c>
      <c r="N2200">
        <v>637</v>
      </c>
    </row>
    <row r="2201" spans="1:14" x14ac:dyDescent="0.35">
      <c r="A2201" t="s">
        <v>2294</v>
      </c>
      <c r="B2201" t="s">
        <v>15</v>
      </c>
      <c r="C2201" t="s">
        <v>16</v>
      </c>
      <c r="D2201">
        <v>183</v>
      </c>
      <c r="E2201" t="s">
        <v>2279</v>
      </c>
      <c r="F2201">
        <v>5419</v>
      </c>
      <c r="G2201" t="s">
        <v>18</v>
      </c>
      <c r="H2201">
        <v>27</v>
      </c>
      <c r="I2201" t="s">
        <v>19</v>
      </c>
      <c r="J2201">
        <v>2001</v>
      </c>
      <c r="K2201">
        <v>2001</v>
      </c>
      <c r="L2201" t="s">
        <v>20</v>
      </c>
      <c r="M2201">
        <v>12632</v>
      </c>
      <c r="N2201">
        <v>637</v>
      </c>
    </row>
    <row r="2202" spans="1:14" x14ac:dyDescent="0.35">
      <c r="A2202" t="s">
        <v>2295</v>
      </c>
      <c r="B2202" t="s">
        <v>15</v>
      </c>
      <c r="C2202" t="s">
        <v>16</v>
      </c>
      <c r="D2202">
        <v>183</v>
      </c>
      <c r="E2202" t="s">
        <v>2279</v>
      </c>
      <c r="F2202">
        <v>5419</v>
      </c>
      <c r="G2202" t="s">
        <v>18</v>
      </c>
      <c r="H2202">
        <v>27</v>
      </c>
      <c r="I2202" t="s">
        <v>19</v>
      </c>
      <c r="J2202">
        <v>2002</v>
      </c>
      <c r="K2202">
        <v>2002</v>
      </c>
      <c r="L2202" t="s">
        <v>20</v>
      </c>
      <c r="M2202">
        <v>12839</v>
      </c>
      <c r="N2202">
        <v>637</v>
      </c>
    </row>
    <row r="2203" spans="1:14" x14ac:dyDescent="0.35">
      <c r="A2203" t="s">
        <v>2296</v>
      </c>
      <c r="B2203" t="s">
        <v>15</v>
      </c>
      <c r="C2203" t="s">
        <v>16</v>
      </c>
      <c r="D2203">
        <v>183</v>
      </c>
      <c r="E2203" t="s">
        <v>2279</v>
      </c>
      <c r="F2203">
        <v>5419</v>
      </c>
      <c r="G2203" t="s">
        <v>18</v>
      </c>
      <c r="H2203">
        <v>27</v>
      </c>
      <c r="I2203" t="s">
        <v>19</v>
      </c>
      <c r="J2203">
        <v>2004</v>
      </c>
      <c r="K2203">
        <v>2004</v>
      </c>
      <c r="L2203" t="s">
        <v>20</v>
      </c>
      <c r="M2203">
        <v>40056</v>
      </c>
      <c r="N2203">
        <v>637</v>
      </c>
    </row>
    <row r="2204" spans="1:14" x14ac:dyDescent="0.35">
      <c r="A2204" t="s">
        <v>2297</v>
      </c>
      <c r="B2204" t="s">
        <v>15</v>
      </c>
      <c r="C2204" t="s">
        <v>16</v>
      </c>
      <c r="D2204">
        <v>183</v>
      </c>
      <c r="E2204" t="s">
        <v>2279</v>
      </c>
      <c r="F2204">
        <v>5419</v>
      </c>
      <c r="G2204" t="s">
        <v>18</v>
      </c>
      <c r="H2204">
        <v>27</v>
      </c>
      <c r="I2204" t="s">
        <v>19</v>
      </c>
      <c r="J2204">
        <v>2005</v>
      </c>
      <c r="K2204">
        <v>2005</v>
      </c>
      <c r="L2204" t="s">
        <v>20</v>
      </c>
      <c r="M2204">
        <v>41989</v>
      </c>
      <c r="N2204">
        <v>637</v>
      </c>
    </row>
    <row r="2205" spans="1:14" x14ac:dyDescent="0.35">
      <c r="A2205" t="s">
        <v>2298</v>
      </c>
      <c r="B2205" t="s">
        <v>15</v>
      </c>
      <c r="C2205" t="s">
        <v>16</v>
      </c>
      <c r="D2205">
        <v>183</v>
      </c>
      <c r="E2205" t="s">
        <v>2279</v>
      </c>
      <c r="F2205">
        <v>5419</v>
      </c>
      <c r="G2205" t="s">
        <v>18</v>
      </c>
      <c r="H2205">
        <v>27</v>
      </c>
      <c r="I2205" t="s">
        <v>19</v>
      </c>
      <c r="J2205">
        <v>2006</v>
      </c>
      <c r="K2205">
        <v>2006</v>
      </c>
      <c r="L2205" t="s">
        <v>20</v>
      </c>
      <c r="M2205">
        <v>32993</v>
      </c>
      <c r="N2205">
        <v>637</v>
      </c>
    </row>
    <row r="2206" spans="1:14" x14ac:dyDescent="0.35">
      <c r="A2206" t="s">
        <v>2299</v>
      </c>
      <c r="B2206" t="s">
        <v>15</v>
      </c>
      <c r="C2206" t="s">
        <v>16</v>
      </c>
      <c r="D2206">
        <v>183</v>
      </c>
      <c r="E2206" t="s">
        <v>2279</v>
      </c>
      <c r="F2206">
        <v>5419</v>
      </c>
      <c r="G2206" t="s">
        <v>18</v>
      </c>
      <c r="H2206">
        <v>27</v>
      </c>
      <c r="I2206" t="s">
        <v>19</v>
      </c>
      <c r="J2206">
        <v>2007</v>
      </c>
      <c r="K2206">
        <v>2007</v>
      </c>
      <c r="L2206" t="s">
        <v>20</v>
      </c>
      <c r="M2206">
        <v>34023</v>
      </c>
      <c r="N2206">
        <v>637</v>
      </c>
    </row>
    <row r="2207" spans="1:14" x14ac:dyDescent="0.35">
      <c r="A2207" t="s">
        <v>2300</v>
      </c>
      <c r="B2207" t="s">
        <v>15</v>
      </c>
      <c r="C2207" t="s">
        <v>16</v>
      </c>
      <c r="D2207">
        <v>183</v>
      </c>
      <c r="E2207" t="s">
        <v>2279</v>
      </c>
      <c r="F2207">
        <v>5419</v>
      </c>
      <c r="G2207" t="s">
        <v>18</v>
      </c>
      <c r="H2207">
        <v>27</v>
      </c>
      <c r="I2207" t="s">
        <v>19</v>
      </c>
      <c r="J2207">
        <v>2008</v>
      </c>
      <c r="K2207">
        <v>2008</v>
      </c>
      <c r="L2207" t="s">
        <v>20</v>
      </c>
      <c r="M2207">
        <v>49326</v>
      </c>
      <c r="N2207">
        <v>637</v>
      </c>
    </row>
    <row r="2208" spans="1:14" x14ac:dyDescent="0.35">
      <c r="A2208" t="s">
        <v>2301</v>
      </c>
      <c r="B2208" t="s">
        <v>15</v>
      </c>
      <c r="C2208" t="s">
        <v>16</v>
      </c>
      <c r="D2208">
        <v>183</v>
      </c>
      <c r="E2208" t="s">
        <v>2279</v>
      </c>
      <c r="F2208">
        <v>5419</v>
      </c>
      <c r="G2208" t="s">
        <v>18</v>
      </c>
      <c r="H2208">
        <v>27</v>
      </c>
      <c r="I2208" t="s">
        <v>19</v>
      </c>
      <c r="J2208">
        <v>2009</v>
      </c>
      <c r="K2208">
        <v>2009</v>
      </c>
      <c r="L2208" t="s">
        <v>20</v>
      </c>
      <c r="M2208">
        <v>54262</v>
      </c>
      <c r="N2208">
        <v>637</v>
      </c>
    </row>
    <row r="2209" spans="1:14" x14ac:dyDescent="0.35">
      <c r="A2209" t="s">
        <v>2302</v>
      </c>
      <c r="B2209" t="s">
        <v>15</v>
      </c>
      <c r="C2209" t="s">
        <v>16</v>
      </c>
      <c r="D2209">
        <v>183</v>
      </c>
      <c r="E2209" t="s">
        <v>2279</v>
      </c>
      <c r="F2209">
        <v>5419</v>
      </c>
      <c r="G2209" t="s">
        <v>18</v>
      </c>
      <c r="H2209">
        <v>27</v>
      </c>
      <c r="I2209" t="s">
        <v>19</v>
      </c>
      <c r="J2209">
        <v>2010</v>
      </c>
      <c r="K2209">
        <v>2010</v>
      </c>
      <c r="L2209" t="s">
        <v>20</v>
      </c>
      <c r="M2209">
        <v>49656</v>
      </c>
      <c r="N2209">
        <v>637</v>
      </c>
    </row>
    <row r="2210" spans="1:14" x14ac:dyDescent="0.35">
      <c r="A2210" t="s">
        <v>2303</v>
      </c>
      <c r="B2210" t="s">
        <v>15</v>
      </c>
      <c r="C2210" t="s">
        <v>16</v>
      </c>
      <c r="D2210">
        <v>183</v>
      </c>
      <c r="E2210" t="s">
        <v>2279</v>
      </c>
      <c r="F2210">
        <v>5419</v>
      </c>
      <c r="G2210" t="s">
        <v>18</v>
      </c>
      <c r="H2210">
        <v>27</v>
      </c>
      <c r="I2210" t="s">
        <v>19</v>
      </c>
      <c r="J2210">
        <v>2011</v>
      </c>
      <c r="K2210">
        <v>2011</v>
      </c>
      <c r="L2210" t="s">
        <v>20</v>
      </c>
      <c r="M2210">
        <v>51504</v>
      </c>
      <c r="N2210">
        <v>637</v>
      </c>
    </row>
    <row r="2211" spans="1:14" x14ac:dyDescent="0.35">
      <c r="A2211" t="s">
        <v>2304</v>
      </c>
      <c r="B2211" t="s">
        <v>15</v>
      </c>
      <c r="C2211" t="s">
        <v>16</v>
      </c>
      <c r="D2211">
        <v>183</v>
      </c>
      <c r="E2211" t="s">
        <v>2279</v>
      </c>
      <c r="F2211">
        <v>5419</v>
      </c>
      <c r="G2211" t="s">
        <v>18</v>
      </c>
      <c r="H2211">
        <v>27</v>
      </c>
      <c r="I2211" t="s">
        <v>19</v>
      </c>
      <c r="J2211">
        <v>2012</v>
      </c>
      <c r="K2211">
        <v>2012</v>
      </c>
      <c r="L2211" t="s">
        <v>20</v>
      </c>
      <c r="M2211">
        <v>44995</v>
      </c>
      <c r="N2211">
        <v>637</v>
      </c>
    </row>
    <row r="2212" spans="1:14" x14ac:dyDescent="0.35">
      <c r="A2212" t="s">
        <v>2305</v>
      </c>
      <c r="B2212" t="s">
        <v>15</v>
      </c>
      <c r="C2212" t="s">
        <v>16</v>
      </c>
      <c r="D2212">
        <v>183</v>
      </c>
      <c r="E2212" t="s">
        <v>2279</v>
      </c>
      <c r="F2212">
        <v>5419</v>
      </c>
      <c r="G2212" t="s">
        <v>18</v>
      </c>
      <c r="H2212">
        <v>27</v>
      </c>
      <c r="I2212" t="s">
        <v>19</v>
      </c>
      <c r="J2212">
        <v>2013</v>
      </c>
      <c r="K2212">
        <v>2013</v>
      </c>
      <c r="L2212" t="s">
        <v>20</v>
      </c>
      <c r="M2212">
        <v>47194</v>
      </c>
      <c r="N2212">
        <v>637</v>
      </c>
    </row>
    <row r="2213" spans="1:14" x14ac:dyDescent="0.35">
      <c r="A2213" t="s">
        <v>2306</v>
      </c>
      <c r="B2213" t="s">
        <v>15</v>
      </c>
      <c r="C2213" t="s">
        <v>16</v>
      </c>
      <c r="D2213">
        <v>183</v>
      </c>
      <c r="E2213" t="s">
        <v>2279</v>
      </c>
      <c r="F2213">
        <v>5419</v>
      </c>
      <c r="G2213" t="s">
        <v>18</v>
      </c>
      <c r="H2213">
        <v>27</v>
      </c>
      <c r="I2213" t="s">
        <v>19</v>
      </c>
      <c r="J2213">
        <v>2014</v>
      </c>
      <c r="K2213">
        <v>2014</v>
      </c>
      <c r="L2213" t="s">
        <v>20</v>
      </c>
      <c r="M2213">
        <v>35505</v>
      </c>
      <c r="N2213">
        <v>637</v>
      </c>
    </row>
    <row r="2214" spans="1:14" x14ac:dyDescent="0.35">
      <c r="A2214" t="s">
        <v>2307</v>
      </c>
      <c r="B2214" t="s">
        <v>15</v>
      </c>
      <c r="C2214" t="s">
        <v>16</v>
      </c>
      <c r="D2214">
        <v>183</v>
      </c>
      <c r="E2214" t="s">
        <v>2279</v>
      </c>
      <c r="F2214">
        <v>5419</v>
      </c>
      <c r="G2214" t="s">
        <v>18</v>
      </c>
      <c r="H2214">
        <v>27</v>
      </c>
      <c r="I2214" t="s">
        <v>19</v>
      </c>
      <c r="J2214">
        <v>2015</v>
      </c>
      <c r="K2214">
        <v>2015</v>
      </c>
      <c r="L2214" t="s">
        <v>20</v>
      </c>
      <c r="M2214">
        <v>44974</v>
      </c>
      <c r="N2214">
        <v>637</v>
      </c>
    </row>
    <row r="2215" spans="1:14" x14ac:dyDescent="0.35">
      <c r="A2215" t="s">
        <v>2308</v>
      </c>
      <c r="B2215" t="s">
        <v>15</v>
      </c>
      <c r="C2215" t="s">
        <v>16</v>
      </c>
      <c r="D2215">
        <v>183</v>
      </c>
      <c r="E2215" t="s">
        <v>2279</v>
      </c>
      <c r="F2215">
        <v>5419</v>
      </c>
      <c r="G2215" t="s">
        <v>18</v>
      </c>
      <c r="H2215">
        <v>27</v>
      </c>
      <c r="I2215" t="s">
        <v>19</v>
      </c>
      <c r="J2215">
        <v>2016</v>
      </c>
      <c r="K2215">
        <v>2016</v>
      </c>
      <c r="L2215" t="s">
        <v>20</v>
      </c>
      <c r="M2215">
        <v>46248</v>
      </c>
      <c r="N2215">
        <v>637</v>
      </c>
    </row>
    <row r="2216" spans="1:14" x14ac:dyDescent="0.35">
      <c r="A2216" t="s">
        <v>2309</v>
      </c>
      <c r="B2216" t="s">
        <v>15</v>
      </c>
      <c r="C2216" t="s">
        <v>16</v>
      </c>
      <c r="D2216">
        <v>184</v>
      </c>
      <c r="E2216" t="s">
        <v>2310</v>
      </c>
      <c r="F2216">
        <v>5419</v>
      </c>
      <c r="G2216" t="s">
        <v>18</v>
      </c>
      <c r="H2216">
        <v>27</v>
      </c>
      <c r="I2216" t="s">
        <v>19</v>
      </c>
      <c r="J2216">
        <v>1985</v>
      </c>
      <c r="K2216">
        <v>1985</v>
      </c>
      <c r="L2216" t="s">
        <v>20</v>
      </c>
      <c r="M2216">
        <v>16000</v>
      </c>
      <c r="N2216">
        <v>1212</v>
      </c>
    </row>
    <row r="2217" spans="1:14" x14ac:dyDescent="0.35">
      <c r="A2217" t="s">
        <v>2311</v>
      </c>
      <c r="B2217" t="s">
        <v>15</v>
      </c>
      <c r="C2217" t="s">
        <v>16</v>
      </c>
      <c r="D2217">
        <v>184</v>
      </c>
      <c r="E2217" t="s">
        <v>2310</v>
      </c>
      <c r="F2217">
        <v>5419</v>
      </c>
      <c r="G2217" t="s">
        <v>18</v>
      </c>
      <c r="H2217">
        <v>27</v>
      </c>
      <c r="I2217" t="s">
        <v>19</v>
      </c>
      <c r="J2217">
        <v>1986</v>
      </c>
      <c r="K2217">
        <v>1986</v>
      </c>
      <c r="L2217" t="s">
        <v>20</v>
      </c>
      <c r="M2217">
        <v>23444</v>
      </c>
      <c r="N2217">
        <v>1212</v>
      </c>
    </row>
    <row r="2218" spans="1:14" x14ac:dyDescent="0.35">
      <c r="A2218" t="s">
        <v>2312</v>
      </c>
      <c r="B2218" t="s">
        <v>15</v>
      </c>
      <c r="C2218" t="s">
        <v>16</v>
      </c>
      <c r="D2218">
        <v>184</v>
      </c>
      <c r="E2218" t="s">
        <v>2310</v>
      </c>
      <c r="F2218">
        <v>5419</v>
      </c>
      <c r="G2218" t="s">
        <v>18</v>
      </c>
      <c r="H2218">
        <v>27</v>
      </c>
      <c r="I2218" t="s">
        <v>19</v>
      </c>
      <c r="J2218">
        <v>1987</v>
      </c>
      <c r="K2218">
        <v>1987</v>
      </c>
      <c r="L2218" t="s">
        <v>20</v>
      </c>
      <c r="M2218">
        <v>21090</v>
      </c>
      <c r="N2218">
        <v>1212</v>
      </c>
    </row>
    <row r="2219" spans="1:14" x14ac:dyDescent="0.35">
      <c r="A2219" t="s">
        <v>2313</v>
      </c>
      <c r="B2219" t="s">
        <v>15</v>
      </c>
      <c r="C2219" t="s">
        <v>16</v>
      </c>
      <c r="D2219">
        <v>184</v>
      </c>
      <c r="E2219" t="s">
        <v>2310</v>
      </c>
      <c r="F2219">
        <v>5419</v>
      </c>
      <c r="G2219" t="s">
        <v>18</v>
      </c>
      <c r="H2219">
        <v>27</v>
      </c>
      <c r="I2219" t="s">
        <v>19</v>
      </c>
      <c r="J2219">
        <v>1989</v>
      </c>
      <c r="K2219">
        <v>1989</v>
      </c>
      <c r="L2219" t="s">
        <v>20</v>
      </c>
      <c r="M2219">
        <v>26231</v>
      </c>
      <c r="N2219">
        <v>1212</v>
      </c>
    </row>
    <row r="2220" spans="1:14" x14ac:dyDescent="0.35">
      <c r="A2220" t="s">
        <v>2314</v>
      </c>
      <c r="B2220" t="s">
        <v>15</v>
      </c>
      <c r="C2220" t="s">
        <v>16</v>
      </c>
      <c r="D2220">
        <v>184</v>
      </c>
      <c r="E2220" t="s">
        <v>2310</v>
      </c>
      <c r="F2220">
        <v>5419</v>
      </c>
      <c r="G2220" t="s">
        <v>18</v>
      </c>
      <c r="H2220">
        <v>27</v>
      </c>
      <c r="I2220" t="s">
        <v>19</v>
      </c>
      <c r="J2220">
        <v>1990</v>
      </c>
      <c r="K2220">
        <v>1990</v>
      </c>
      <c r="L2220" t="s">
        <v>20</v>
      </c>
      <c r="M2220">
        <v>13652</v>
      </c>
      <c r="N2220">
        <v>1212</v>
      </c>
    </row>
    <row r="2221" spans="1:14" x14ac:dyDescent="0.35">
      <c r="A2221" t="s">
        <v>2315</v>
      </c>
      <c r="B2221" t="s">
        <v>15</v>
      </c>
      <c r="C2221" t="s">
        <v>16</v>
      </c>
      <c r="D2221">
        <v>184</v>
      </c>
      <c r="E2221" t="s">
        <v>2310</v>
      </c>
      <c r="F2221">
        <v>5419</v>
      </c>
      <c r="G2221" t="s">
        <v>18</v>
      </c>
      <c r="H2221">
        <v>27</v>
      </c>
      <c r="I2221" t="s">
        <v>19</v>
      </c>
      <c r="J2221">
        <v>1991</v>
      </c>
      <c r="K2221">
        <v>1991</v>
      </c>
      <c r="L2221" t="s">
        <v>20</v>
      </c>
      <c r="M2221">
        <v>24118</v>
      </c>
      <c r="N2221">
        <v>1212</v>
      </c>
    </row>
    <row r="2222" spans="1:14" x14ac:dyDescent="0.35">
      <c r="A2222" t="s">
        <v>2316</v>
      </c>
      <c r="B2222" t="s">
        <v>15</v>
      </c>
      <c r="C2222" t="s">
        <v>16</v>
      </c>
      <c r="D2222">
        <v>184</v>
      </c>
      <c r="E2222" t="s">
        <v>2310</v>
      </c>
      <c r="F2222">
        <v>5419</v>
      </c>
      <c r="G2222" t="s">
        <v>18</v>
      </c>
      <c r="H2222">
        <v>27</v>
      </c>
      <c r="I2222" t="s">
        <v>19</v>
      </c>
      <c r="J2222">
        <v>1992</v>
      </c>
      <c r="K2222">
        <v>1992</v>
      </c>
      <c r="L2222" t="s">
        <v>20</v>
      </c>
      <c r="M2222">
        <v>24030</v>
      </c>
      <c r="N2222">
        <v>1212</v>
      </c>
    </row>
    <row r="2223" spans="1:14" x14ac:dyDescent="0.35">
      <c r="A2223" t="s">
        <v>2317</v>
      </c>
      <c r="B2223" t="s">
        <v>15</v>
      </c>
      <c r="C2223" t="s">
        <v>16</v>
      </c>
      <c r="D2223">
        <v>184</v>
      </c>
      <c r="E2223" t="s">
        <v>2310</v>
      </c>
      <c r="F2223">
        <v>5419</v>
      </c>
      <c r="G2223" t="s">
        <v>18</v>
      </c>
      <c r="H2223">
        <v>27</v>
      </c>
      <c r="I2223" t="s">
        <v>19</v>
      </c>
      <c r="J2223">
        <v>1993</v>
      </c>
      <c r="K2223">
        <v>1993</v>
      </c>
      <c r="L2223" t="s">
        <v>20</v>
      </c>
      <c r="M2223">
        <v>26400</v>
      </c>
      <c r="N2223">
        <v>1212</v>
      </c>
    </row>
    <row r="2224" spans="1:14" x14ac:dyDescent="0.35">
      <c r="A2224" t="s">
        <v>2318</v>
      </c>
      <c r="B2224" t="s">
        <v>15</v>
      </c>
      <c r="C2224" t="s">
        <v>16</v>
      </c>
      <c r="D2224">
        <v>184</v>
      </c>
      <c r="E2224" t="s">
        <v>2310</v>
      </c>
      <c r="F2224">
        <v>5419</v>
      </c>
      <c r="G2224" t="s">
        <v>18</v>
      </c>
      <c r="H2224">
        <v>27</v>
      </c>
      <c r="I2224" t="s">
        <v>19</v>
      </c>
      <c r="J2224">
        <v>1994</v>
      </c>
      <c r="K2224">
        <v>1994</v>
      </c>
      <c r="L2224" t="s">
        <v>20</v>
      </c>
      <c r="M2224">
        <v>26471</v>
      </c>
      <c r="N2224">
        <v>1212</v>
      </c>
    </row>
    <row r="2225" spans="1:14" x14ac:dyDescent="0.35">
      <c r="A2225" t="s">
        <v>2319</v>
      </c>
      <c r="B2225" t="s">
        <v>15</v>
      </c>
      <c r="C2225" t="s">
        <v>16</v>
      </c>
      <c r="D2225">
        <v>184</v>
      </c>
      <c r="E2225" t="s">
        <v>2310</v>
      </c>
      <c r="F2225">
        <v>5419</v>
      </c>
      <c r="G2225" t="s">
        <v>18</v>
      </c>
      <c r="H2225">
        <v>27</v>
      </c>
      <c r="I2225" t="s">
        <v>19</v>
      </c>
      <c r="J2225">
        <v>1995</v>
      </c>
      <c r="K2225">
        <v>1995</v>
      </c>
      <c r="L2225" t="s">
        <v>20</v>
      </c>
      <c r="M2225">
        <v>36508</v>
      </c>
      <c r="N2225">
        <v>1212</v>
      </c>
    </row>
    <row r="2226" spans="1:14" x14ac:dyDescent="0.35">
      <c r="A2226" t="s">
        <v>2320</v>
      </c>
      <c r="B2226" t="s">
        <v>15</v>
      </c>
      <c r="C2226" t="s">
        <v>16</v>
      </c>
      <c r="D2226">
        <v>184</v>
      </c>
      <c r="E2226" t="s">
        <v>2310</v>
      </c>
      <c r="F2226">
        <v>5419</v>
      </c>
      <c r="G2226" t="s">
        <v>18</v>
      </c>
      <c r="H2226">
        <v>27</v>
      </c>
      <c r="I2226" t="s">
        <v>19</v>
      </c>
      <c r="J2226">
        <v>1996</v>
      </c>
      <c r="K2226">
        <v>1996</v>
      </c>
      <c r="L2226" t="s">
        <v>20</v>
      </c>
      <c r="M2226">
        <v>32980</v>
      </c>
      <c r="N2226">
        <v>1212</v>
      </c>
    </row>
    <row r="2227" spans="1:14" x14ac:dyDescent="0.35">
      <c r="A2227" t="s">
        <v>2321</v>
      </c>
      <c r="B2227" t="s">
        <v>15</v>
      </c>
      <c r="C2227" t="s">
        <v>16</v>
      </c>
      <c r="D2227">
        <v>184</v>
      </c>
      <c r="E2227" t="s">
        <v>2310</v>
      </c>
      <c r="F2227">
        <v>5419</v>
      </c>
      <c r="G2227" t="s">
        <v>18</v>
      </c>
      <c r="H2227">
        <v>27</v>
      </c>
      <c r="I2227" t="s">
        <v>19</v>
      </c>
      <c r="J2227">
        <v>1997</v>
      </c>
      <c r="K2227">
        <v>1997</v>
      </c>
      <c r="L2227" t="s">
        <v>20</v>
      </c>
      <c r="M2227">
        <v>30328</v>
      </c>
      <c r="N2227">
        <v>1212</v>
      </c>
    </row>
    <row r="2228" spans="1:14" x14ac:dyDescent="0.35">
      <c r="A2228" t="s">
        <v>2322</v>
      </c>
      <c r="B2228" t="s">
        <v>15</v>
      </c>
      <c r="C2228" t="s">
        <v>16</v>
      </c>
      <c r="D2228">
        <v>184</v>
      </c>
      <c r="E2228" t="s">
        <v>2310</v>
      </c>
      <c r="F2228">
        <v>5419</v>
      </c>
      <c r="G2228" t="s">
        <v>18</v>
      </c>
      <c r="H2228">
        <v>27</v>
      </c>
      <c r="I2228" t="s">
        <v>19</v>
      </c>
      <c r="J2228">
        <v>1998</v>
      </c>
      <c r="K2228">
        <v>1998</v>
      </c>
      <c r="L2228" t="s">
        <v>20</v>
      </c>
      <c r="M2228">
        <v>19148</v>
      </c>
      <c r="N2228">
        <v>1212</v>
      </c>
    </row>
    <row r="2229" spans="1:14" x14ac:dyDescent="0.35">
      <c r="A2229" t="s">
        <v>2323</v>
      </c>
      <c r="B2229" t="s">
        <v>15</v>
      </c>
      <c r="C2229" t="s">
        <v>16</v>
      </c>
      <c r="D2229">
        <v>184</v>
      </c>
      <c r="E2229" t="s">
        <v>2310</v>
      </c>
      <c r="F2229">
        <v>5419</v>
      </c>
      <c r="G2229" t="s">
        <v>18</v>
      </c>
      <c r="H2229">
        <v>27</v>
      </c>
      <c r="I2229" t="s">
        <v>19</v>
      </c>
      <c r="J2229">
        <v>1999</v>
      </c>
      <c r="K2229">
        <v>1999</v>
      </c>
      <c r="L2229" t="s">
        <v>20</v>
      </c>
      <c r="M2229">
        <v>18132</v>
      </c>
      <c r="N2229">
        <v>1212</v>
      </c>
    </row>
    <row r="2230" spans="1:14" x14ac:dyDescent="0.35">
      <c r="A2230" t="s">
        <v>2324</v>
      </c>
      <c r="B2230" t="s">
        <v>15</v>
      </c>
      <c r="C2230" t="s">
        <v>16</v>
      </c>
      <c r="D2230">
        <v>184</v>
      </c>
      <c r="E2230" t="s">
        <v>2310</v>
      </c>
      <c r="F2230">
        <v>5419</v>
      </c>
      <c r="G2230" t="s">
        <v>18</v>
      </c>
      <c r="H2230">
        <v>27</v>
      </c>
      <c r="I2230" t="s">
        <v>19</v>
      </c>
      <c r="J2230">
        <v>2000</v>
      </c>
      <c r="K2230">
        <v>2000</v>
      </c>
      <c r="L2230" t="s">
        <v>20</v>
      </c>
      <c r="M2230">
        <v>27318</v>
      </c>
      <c r="N2230">
        <v>1212</v>
      </c>
    </row>
    <row r="2231" spans="1:14" x14ac:dyDescent="0.35">
      <c r="A2231" t="s">
        <v>2325</v>
      </c>
      <c r="B2231" t="s">
        <v>15</v>
      </c>
      <c r="C2231" t="s">
        <v>16</v>
      </c>
      <c r="D2231">
        <v>184</v>
      </c>
      <c r="E2231" t="s">
        <v>2310</v>
      </c>
      <c r="F2231">
        <v>5419</v>
      </c>
      <c r="G2231" t="s">
        <v>18</v>
      </c>
      <c r="H2231">
        <v>27</v>
      </c>
      <c r="I2231" t="s">
        <v>19</v>
      </c>
      <c r="J2231">
        <v>2001</v>
      </c>
      <c r="K2231">
        <v>2001</v>
      </c>
      <c r="L2231" t="s">
        <v>20</v>
      </c>
      <c r="M2231">
        <v>30668</v>
      </c>
      <c r="N2231">
        <v>1212</v>
      </c>
    </row>
    <row r="2232" spans="1:14" x14ac:dyDescent="0.35">
      <c r="A2232" t="s">
        <v>2326</v>
      </c>
      <c r="B2232" t="s">
        <v>15</v>
      </c>
      <c r="C2232" t="s">
        <v>16</v>
      </c>
      <c r="D2232">
        <v>184</v>
      </c>
      <c r="E2232" t="s">
        <v>2310</v>
      </c>
      <c r="F2232">
        <v>5419</v>
      </c>
      <c r="G2232" t="s">
        <v>18</v>
      </c>
      <c r="H2232">
        <v>27</v>
      </c>
      <c r="I2232" t="s">
        <v>19</v>
      </c>
      <c r="J2232">
        <v>2002</v>
      </c>
      <c r="K2232">
        <v>2002</v>
      </c>
      <c r="L2232" t="s">
        <v>20</v>
      </c>
      <c r="M2232">
        <v>32658</v>
      </c>
      <c r="N2232">
        <v>1212</v>
      </c>
    </row>
    <row r="2233" spans="1:14" x14ac:dyDescent="0.35">
      <c r="A2233" t="s">
        <v>2327</v>
      </c>
      <c r="B2233" t="s">
        <v>15</v>
      </c>
      <c r="C2233" t="s">
        <v>16</v>
      </c>
      <c r="D2233">
        <v>184</v>
      </c>
      <c r="E2233" t="s">
        <v>2310</v>
      </c>
      <c r="F2233">
        <v>5419</v>
      </c>
      <c r="G2233" t="s">
        <v>18</v>
      </c>
      <c r="H2233">
        <v>27</v>
      </c>
      <c r="I2233" t="s">
        <v>19</v>
      </c>
      <c r="J2233">
        <v>2004</v>
      </c>
      <c r="K2233">
        <v>2004</v>
      </c>
      <c r="L2233" t="s">
        <v>20</v>
      </c>
      <c r="M2233">
        <v>37964</v>
      </c>
      <c r="N2233">
        <v>1212</v>
      </c>
    </row>
    <row r="2234" spans="1:14" x14ac:dyDescent="0.35">
      <c r="A2234" t="s">
        <v>2328</v>
      </c>
      <c r="B2234" t="s">
        <v>15</v>
      </c>
      <c r="C2234" t="s">
        <v>16</v>
      </c>
      <c r="D2234">
        <v>184</v>
      </c>
      <c r="E2234" t="s">
        <v>2310</v>
      </c>
      <c r="F2234">
        <v>5419</v>
      </c>
      <c r="G2234" t="s">
        <v>18</v>
      </c>
      <c r="H2234">
        <v>27</v>
      </c>
      <c r="I2234" t="s">
        <v>19</v>
      </c>
      <c r="J2234">
        <v>2005</v>
      </c>
      <c r="K2234">
        <v>2005</v>
      </c>
      <c r="L2234" t="s">
        <v>20</v>
      </c>
      <c r="M2234">
        <v>44673</v>
      </c>
      <c r="N2234">
        <v>1212</v>
      </c>
    </row>
    <row r="2235" spans="1:14" x14ac:dyDescent="0.35">
      <c r="A2235" t="s">
        <v>2329</v>
      </c>
      <c r="B2235" t="s">
        <v>15</v>
      </c>
      <c r="C2235" t="s">
        <v>16</v>
      </c>
      <c r="D2235">
        <v>184</v>
      </c>
      <c r="E2235" t="s">
        <v>2310</v>
      </c>
      <c r="F2235">
        <v>5419</v>
      </c>
      <c r="G2235" t="s">
        <v>18</v>
      </c>
      <c r="H2235">
        <v>27</v>
      </c>
      <c r="I2235" t="s">
        <v>19</v>
      </c>
      <c r="J2235">
        <v>2006</v>
      </c>
      <c r="K2235">
        <v>2006</v>
      </c>
      <c r="L2235" t="s">
        <v>20</v>
      </c>
      <c r="M2235">
        <v>44843</v>
      </c>
      <c r="N2235">
        <v>1212</v>
      </c>
    </row>
    <row r="2236" spans="1:14" x14ac:dyDescent="0.35">
      <c r="A2236" t="s">
        <v>2330</v>
      </c>
      <c r="B2236" t="s">
        <v>15</v>
      </c>
      <c r="C2236" t="s">
        <v>16</v>
      </c>
      <c r="D2236">
        <v>184</v>
      </c>
      <c r="E2236" t="s">
        <v>2310</v>
      </c>
      <c r="F2236">
        <v>5419</v>
      </c>
      <c r="G2236" t="s">
        <v>18</v>
      </c>
      <c r="H2236">
        <v>27</v>
      </c>
      <c r="I2236" t="s">
        <v>19</v>
      </c>
      <c r="J2236">
        <v>2007</v>
      </c>
      <c r="K2236">
        <v>2007</v>
      </c>
      <c r="L2236" t="s">
        <v>20</v>
      </c>
      <c r="M2236">
        <v>41320</v>
      </c>
      <c r="N2236">
        <v>1212</v>
      </c>
    </row>
    <row r="2237" spans="1:14" x14ac:dyDescent="0.35">
      <c r="A2237" t="s">
        <v>2331</v>
      </c>
      <c r="B2237" t="s">
        <v>15</v>
      </c>
      <c r="C2237" t="s">
        <v>16</v>
      </c>
      <c r="D2237">
        <v>184</v>
      </c>
      <c r="E2237" t="s">
        <v>2310</v>
      </c>
      <c r="F2237">
        <v>5419</v>
      </c>
      <c r="G2237" t="s">
        <v>18</v>
      </c>
      <c r="H2237">
        <v>27</v>
      </c>
      <c r="I2237" t="s">
        <v>19</v>
      </c>
      <c r="J2237">
        <v>2008</v>
      </c>
      <c r="K2237">
        <v>2008</v>
      </c>
      <c r="L2237" t="s">
        <v>20</v>
      </c>
      <c r="M2237">
        <v>44432</v>
      </c>
      <c r="N2237">
        <v>1212</v>
      </c>
    </row>
    <row r="2238" spans="1:14" x14ac:dyDescent="0.35">
      <c r="A2238" t="s">
        <v>2332</v>
      </c>
      <c r="B2238" t="s">
        <v>15</v>
      </c>
      <c r="C2238" t="s">
        <v>16</v>
      </c>
      <c r="D2238">
        <v>184</v>
      </c>
      <c r="E2238" t="s">
        <v>2310</v>
      </c>
      <c r="F2238">
        <v>5419</v>
      </c>
      <c r="G2238" t="s">
        <v>18</v>
      </c>
      <c r="H2238">
        <v>27</v>
      </c>
      <c r="I2238" t="s">
        <v>19</v>
      </c>
      <c r="J2238">
        <v>2009</v>
      </c>
      <c r="K2238">
        <v>2009</v>
      </c>
      <c r="L2238" t="s">
        <v>20</v>
      </c>
      <c r="M2238">
        <v>56178</v>
      </c>
      <c r="N2238">
        <v>1212</v>
      </c>
    </row>
    <row r="2239" spans="1:14" x14ac:dyDescent="0.35">
      <c r="A2239" t="s">
        <v>2333</v>
      </c>
      <c r="B2239" t="s">
        <v>15</v>
      </c>
      <c r="C2239" t="s">
        <v>16</v>
      </c>
      <c r="D2239">
        <v>184</v>
      </c>
      <c r="E2239" t="s">
        <v>2310</v>
      </c>
      <c r="F2239">
        <v>5419</v>
      </c>
      <c r="G2239" t="s">
        <v>18</v>
      </c>
      <c r="H2239">
        <v>27</v>
      </c>
      <c r="I2239" t="s">
        <v>19</v>
      </c>
      <c r="J2239">
        <v>2010</v>
      </c>
      <c r="K2239">
        <v>2010</v>
      </c>
      <c r="L2239" t="s">
        <v>20</v>
      </c>
      <c r="M2239">
        <v>51833</v>
      </c>
      <c r="N2239">
        <v>1212</v>
      </c>
    </row>
    <row r="2240" spans="1:14" x14ac:dyDescent="0.35">
      <c r="A2240" t="s">
        <v>2334</v>
      </c>
      <c r="B2240" t="s">
        <v>15</v>
      </c>
      <c r="C2240" t="s">
        <v>16</v>
      </c>
      <c r="D2240">
        <v>184</v>
      </c>
      <c r="E2240" t="s">
        <v>2310</v>
      </c>
      <c r="F2240">
        <v>5419</v>
      </c>
      <c r="G2240" t="s">
        <v>18</v>
      </c>
      <c r="H2240">
        <v>27</v>
      </c>
      <c r="I2240" t="s">
        <v>19</v>
      </c>
      <c r="J2240">
        <v>2011</v>
      </c>
      <c r="K2240">
        <v>2011</v>
      </c>
      <c r="L2240" t="s">
        <v>20</v>
      </c>
      <c r="M2240">
        <v>55195</v>
      </c>
      <c r="N2240">
        <v>1212</v>
      </c>
    </row>
    <row r="2241" spans="1:14" x14ac:dyDescent="0.35">
      <c r="A2241" t="s">
        <v>2335</v>
      </c>
      <c r="B2241" t="s">
        <v>15</v>
      </c>
      <c r="C2241" t="s">
        <v>16</v>
      </c>
      <c r="D2241">
        <v>184</v>
      </c>
      <c r="E2241" t="s">
        <v>2310</v>
      </c>
      <c r="F2241">
        <v>5419</v>
      </c>
      <c r="G2241" t="s">
        <v>18</v>
      </c>
      <c r="H2241">
        <v>27</v>
      </c>
      <c r="I2241" t="s">
        <v>19</v>
      </c>
      <c r="J2241">
        <v>2012</v>
      </c>
      <c r="K2241">
        <v>2012</v>
      </c>
      <c r="L2241" t="s">
        <v>20</v>
      </c>
      <c r="M2241">
        <v>57193</v>
      </c>
      <c r="N2241">
        <v>1212</v>
      </c>
    </row>
    <row r="2242" spans="1:14" x14ac:dyDescent="0.35">
      <c r="A2242" t="s">
        <v>2336</v>
      </c>
      <c r="B2242" t="s">
        <v>15</v>
      </c>
      <c r="C2242" t="s">
        <v>16</v>
      </c>
      <c r="D2242">
        <v>184</v>
      </c>
      <c r="E2242" t="s">
        <v>2310</v>
      </c>
      <c r="F2242">
        <v>5419</v>
      </c>
      <c r="G2242" t="s">
        <v>18</v>
      </c>
      <c r="H2242">
        <v>27</v>
      </c>
      <c r="I2242" t="s">
        <v>19</v>
      </c>
      <c r="J2242">
        <v>2013</v>
      </c>
      <c r="K2242">
        <v>2013</v>
      </c>
      <c r="L2242" t="s">
        <v>20</v>
      </c>
      <c r="M2242">
        <v>53362</v>
      </c>
      <c r="N2242">
        <v>1212</v>
      </c>
    </row>
    <row r="2243" spans="1:14" x14ac:dyDescent="0.35">
      <c r="A2243" t="s">
        <v>2337</v>
      </c>
      <c r="B2243" t="s">
        <v>15</v>
      </c>
      <c r="C2243" t="s">
        <v>16</v>
      </c>
      <c r="D2243">
        <v>184</v>
      </c>
      <c r="E2243" t="s">
        <v>2310</v>
      </c>
      <c r="F2243">
        <v>5419</v>
      </c>
      <c r="G2243" t="s">
        <v>18</v>
      </c>
      <c r="H2243">
        <v>27</v>
      </c>
      <c r="I2243" t="s">
        <v>19</v>
      </c>
      <c r="J2243">
        <v>2014</v>
      </c>
      <c r="K2243">
        <v>2014</v>
      </c>
      <c r="L2243" t="s">
        <v>20</v>
      </c>
      <c r="M2243">
        <v>30594</v>
      </c>
      <c r="N2243">
        <v>1212</v>
      </c>
    </row>
    <row r="2244" spans="1:14" x14ac:dyDescent="0.35">
      <c r="A2244" t="s">
        <v>2338</v>
      </c>
      <c r="B2244" t="s">
        <v>15</v>
      </c>
      <c r="C2244" t="s">
        <v>16</v>
      </c>
      <c r="D2244">
        <v>184</v>
      </c>
      <c r="E2244" t="s">
        <v>2310</v>
      </c>
      <c r="F2244">
        <v>5419</v>
      </c>
      <c r="G2244" t="s">
        <v>18</v>
      </c>
      <c r="H2244">
        <v>27</v>
      </c>
      <c r="I2244" t="s">
        <v>19</v>
      </c>
      <c r="J2244">
        <v>2015</v>
      </c>
      <c r="K2244">
        <v>2015</v>
      </c>
      <c r="L2244" t="s">
        <v>20</v>
      </c>
      <c r="M2244">
        <v>32259</v>
      </c>
      <c r="N2244">
        <v>1212</v>
      </c>
    </row>
    <row r="2245" spans="1:14" x14ac:dyDescent="0.35">
      <c r="A2245" t="s">
        <v>2339</v>
      </c>
      <c r="B2245" t="s">
        <v>15</v>
      </c>
      <c r="C2245" t="s">
        <v>16</v>
      </c>
      <c r="D2245">
        <v>184</v>
      </c>
      <c r="E2245" t="s">
        <v>2310</v>
      </c>
      <c r="F2245">
        <v>5419</v>
      </c>
      <c r="G2245" t="s">
        <v>18</v>
      </c>
      <c r="H2245">
        <v>27</v>
      </c>
      <c r="I2245" t="s">
        <v>19</v>
      </c>
      <c r="J2245">
        <v>2016</v>
      </c>
      <c r="K2245">
        <v>2016</v>
      </c>
      <c r="L2245" t="s">
        <v>20</v>
      </c>
      <c r="M2245">
        <v>33067</v>
      </c>
      <c r="N2245">
        <v>1212</v>
      </c>
    </row>
    <row r="2246" spans="1:14" x14ac:dyDescent="0.35">
      <c r="A2246" t="s">
        <v>2340</v>
      </c>
      <c r="B2246" t="s">
        <v>15</v>
      </c>
      <c r="C2246" t="s">
        <v>16</v>
      </c>
      <c r="D2246">
        <v>195</v>
      </c>
      <c r="E2246" t="s">
        <v>2341</v>
      </c>
      <c r="F2246">
        <v>5419</v>
      </c>
      <c r="G2246" t="s">
        <v>18</v>
      </c>
      <c r="H2246">
        <v>27</v>
      </c>
      <c r="I2246" t="s">
        <v>19</v>
      </c>
      <c r="J2246">
        <v>1985</v>
      </c>
      <c r="K2246">
        <v>1985</v>
      </c>
      <c r="L2246" t="s">
        <v>20</v>
      </c>
      <c r="M2246">
        <v>18810</v>
      </c>
      <c r="N2246">
        <v>686</v>
      </c>
    </row>
    <row r="2247" spans="1:14" x14ac:dyDescent="0.35">
      <c r="A2247" t="s">
        <v>2342</v>
      </c>
      <c r="B2247" t="s">
        <v>15</v>
      </c>
      <c r="C2247" t="s">
        <v>16</v>
      </c>
      <c r="D2247">
        <v>195</v>
      </c>
      <c r="E2247" t="s">
        <v>2341</v>
      </c>
      <c r="F2247">
        <v>5419</v>
      </c>
      <c r="G2247" t="s">
        <v>18</v>
      </c>
      <c r="H2247">
        <v>27</v>
      </c>
      <c r="I2247" t="s">
        <v>19</v>
      </c>
      <c r="J2247">
        <v>1986</v>
      </c>
      <c r="K2247">
        <v>1986</v>
      </c>
      <c r="L2247" t="s">
        <v>20</v>
      </c>
      <c r="M2247">
        <v>19977</v>
      </c>
      <c r="N2247">
        <v>686</v>
      </c>
    </row>
    <row r="2248" spans="1:14" x14ac:dyDescent="0.35">
      <c r="A2248" t="s">
        <v>2343</v>
      </c>
      <c r="B2248" t="s">
        <v>15</v>
      </c>
      <c r="C2248" t="s">
        <v>16</v>
      </c>
      <c r="D2248">
        <v>195</v>
      </c>
      <c r="E2248" t="s">
        <v>2341</v>
      </c>
      <c r="F2248">
        <v>5419</v>
      </c>
      <c r="G2248" t="s">
        <v>18</v>
      </c>
      <c r="H2248">
        <v>27</v>
      </c>
      <c r="I2248" t="s">
        <v>19</v>
      </c>
      <c r="J2248">
        <v>1987</v>
      </c>
      <c r="K2248">
        <v>1987</v>
      </c>
      <c r="L2248" t="s">
        <v>20</v>
      </c>
      <c r="M2248">
        <v>18265</v>
      </c>
      <c r="N2248">
        <v>686</v>
      </c>
    </row>
    <row r="2249" spans="1:14" x14ac:dyDescent="0.35">
      <c r="A2249" t="s">
        <v>2344</v>
      </c>
      <c r="B2249" t="s">
        <v>15</v>
      </c>
      <c r="C2249" t="s">
        <v>16</v>
      </c>
      <c r="D2249">
        <v>195</v>
      </c>
      <c r="E2249" t="s">
        <v>2341</v>
      </c>
      <c r="F2249">
        <v>5419</v>
      </c>
      <c r="G2249" t="s">
        <v>18</v>
      </c>
      <c r="H2249">
        <v>27</v>
      </c>
      <c r="I2249" t="s">
        <v>19</v>
      </c>
      <c r="J2249">
        <v>1989</v>
      </c>
      <c r="K2249">
        <v>1989</v>
      </c>
      <c r="L2249" t="s">
        <v>20</v>
      </c>
      <c r="M2249">
        <v>21206</v>
      </c>
      <c r="N2249">
        <v>686</v>
      </c>
    </row>
    <row r="2250" spans="1:14" x14ac:dyDescent="0.35">
      <c r="A2250" t="s">
        <v>2345</v>
      </c>
      <c r="B2250" t="s">
        <v>15</v>
      </c>
      <c r="C2250" t="s">
        <v>16</v>
      </c>
      <c r="D2250">
        <v>195</v>
      </c>
      <c r="E2250" t="s">
        <v>2341</v>
      </c>
      <c r="F2250">
        <v>5419</v>
      </c>
      <c r="G2250" t="s">
        <v>18</v>
      </c>
      <c r="H2250">
        <v>27</v>
      </c>
      <c r="I2250" t="s">
        <v>19</v>
      </c>
      <c r="J2250">
        <v>1990</v>
      </c>
      <c r="K2250">
        <v>1990</v>
      </c>
      <c r="L2250" t="s">
        <v>20</v>
      </c>
      <c r="M2250">
        <v>24825</v>
      </c>
      <c r="N2250">
        <v>686</v>
      </c>
    </row>
    <row r="2251" spans="1:14" x14ac:dyDescent="0.35">
      <c r="A2251" t="s">
        <v>2346</v>
      </c>
      <c r="B2251" t="s">
        <v>15</v>
      </c>
      <c r="C2251" t="s">
        <v>16</v>
      </c>
      <c r="D2251">
        <v>195</v>
      </c>
      <c r="E2251" t="s">
        <v>2341</v>
      </c>
      <c r="F2251">
        <v>5419</v>
      </c>
      <c r="G2251" t="s">
        <v>18</v>
      </c>
      <c r="H2251">
        <v>27</v>
      </c>
      <c r="I2251" t="s">
        <v>19</v>
      </c>
      <c r="J2251">
        <v>1991</v>
      </c>
      <c r="K2251">
        <v>1991</v>
      </c>
      <c r="L2251" t="s">
        <v>20</v>
      </c>
      <c r="M2251">
        <v>23497</v>
      </c>
      <c r="N2251">
        <v>686</v>
      </c>
    </row>
    <row r="2252" spans="1:14" x14ac:dyDescent="0.35">
      <c r="A2252" t="s">
        <v>2347</v>
      </c>
      <c r="B2252" t="s">
        <v>15</v>
      </c>
      <c r="C2252" t="s">
        <v>16</v>
      </c>
      <c r="D2252">
        <v>195</v>
      </c>
      <c r="E2252" t="s">
        <v>2341</v>
      </c>
      <c r="F2252">
        <v>5419</v>
      </c>
      <c r="G2252" t="s">
        <v>18</v>
      </c>
      <c r="H2252">
        <v>27</v>
      </c>
      <c r="I2252" t="s">
        <v>19</v>
      </c>
      <c r="J2252">
        <v>1992</v>
      </c>
      <c r="K2252">
        <v>1992</v>
      </c>
      <c r="L2252" t="s">
        <v>20</v>
      </c>
      <c r="M2252">
        <v>24065</v>
      </c>
      <c r="N2252">
        <v>686</v>
      </c>
    </row>
    <row r="2253" spans="1:14" x14ac:dyDescent="0.35">
      <c r="A2253" t="s">
        <v>2348</v>
      </c>
      <c r="B2253" t="s">
        <v>15</v>
      </c>
      <c r="C2253" t="s">
        <v>16</v>
      </c>
      <c r="D2253">
        <v>195</v>
      </c>
      <c r="E2253" t="s">
        <v>2341</v>
      </c>
      <c r="F2253">
        <v>5419</v>
      </c>
      <c r="G2253" t="s">
        <v>18</v>
      </c>
      <c r="H2253">
        <v>27</v>
      </c>
      <c r="I2253" t="s">
        <v>19</v>
      </c>
      <c r="J2253">
        <v>1993</v>
      </c>
      <c r="K2253">
        <v>1993</v>
      </c>
      <c r="L2253" t="s">
        <v>20</v>
      </c>
      <c r="M2253">
        <v>24809</v>
      </c>
      <c r="N2253">
        <v>686</v>
      </c>
    </row>
    <row r="2254" spans="1:14" x14ac:dyDescent="0.35">
      <c r="A2254" t="s">
        <v>2349</v>
      </c>
      <c r="B2254" t="s">
        <v>15</v>
      </c>
      <c r="C2254" t="s">
        <v>16</v>
      </c>
      <c r="D2254">
        <v>195</v>
      </c>
      <c r="E2254" t="s">
        <v>2341</v>
      </c>
      <c r="F2254">
        <v>5419</v>
      </c>
      <c r="G2254" t="s">
        <v>18</v>
      </c>
      <c r="H2254">
        <v>27</v>
      </c>
      <c r="I2254" t="s">
        <v>19</v>
      </c>
      <c r="J2254">
        <v>1994</v>
      </c>
      <c r="K2254">
        <v>1994</v>
      </c>
      <c r="L2254" t="s">
        <v>20</v>
      </c>
      <c r="M2254">
        <v>20869</v>
      </c>
      <c r="N2254">
        <v>686</v>
      </c>
    </row>
    <row r="2255" spans="1:14" x14ac:dyDescent="0.35">
      <c r="A2255" t="s">
        <v>2350</v>
      </c>
      <c r="B2255" t="s">
        <v>15</v>
      </c>
      <c r="C2255" t="s">
        <v>16</v>
      </c>
      <c r="D2255">
        <v>195</v>
      </c>
      <c r="E2255" t="s">
        <v>2341</v>
      </c>
      <c r="F2255">
        <v>5419</v>
      </c>
      <c r="G2255" t="s">
        <v>18</v>
      </c>
      <c r="H2255">
        <v>27</v>
      </c>
      <c r="I2255" t="s">
        <v>19</v>
      </c>
      <c r="J2255">
        <v>1995</v>
      </c>
      <c r="K2255">
        <v>1995</v>
      </c>
      <c r="L2255" t="s">
        <v>20</v>
      </c>
      <c r="M2255">
        <v>22497</v>
      </c>
      <c r="N2255">
        <v>686</v>
      </c>
    </row>
    <row r="2256" spans="1:14" x14ac:dyDescent="0.35">
      <c r="A2256" t="s">
        <v>2351</v>
      </c>
      <c r="B2256" t="s">
        <v>15</v>
      </c>
      <c r="C2256" t="s">
        <v>16</v>
      </c>
      <c r="D2256">
        <v>195</v>
      </c>
      <c r="E2256" t="s">
        <v>2341</v>
      </c>
      <c r="F2256">
        <v>5419</v>
      </c>
      <c r="G2256" t="s">
        <v>18</v>
      </c>
      <c r="H2256">
        <v>27</v>
      </c>
      <c r="I2256" t="s">
        <v>19</v>
      </c>
      <c r="J2256">
        <v>1996</v>
      </c>
      <c r="K2256">
        <v>1996</v>
      </c>
      <c r="L2256" t="s">
        <v>20</v>
      </c>
      <c r="M2256">
        <v>20157</v>
      </c>
      <c r="N2256">
        <v>686</v>
      </c>
    </row>
    <row r="2257" spans="1:14" x14ac:dyDescent="0.35">
      <c r="A2257" t="s">
        <v>2352</v>
      </c>
      <c r="B2257" t="s">
        <v>15</v>
      </c>
      <c r="C2257" t="s">
        <v>16</v>
      </c>
      <c r="D2257">
        <v>195</v>
      </c>
      <c r="E2257" t="s">
        <v>2341</v>
      </c>
      <c r="F2257">
        <v>5419</v>
      </c>
      <c r="G2257" t="s">
        <v>18</v>
      </c>
      <c r="H2257">
        <v>27</v>
      </c>
      <c r="I2257" t="s">
        <v>19</v>
      </c>
      <c r="J2257">
        <v>1997</v>
      </c>
      <c r="K2257">
        <v>1997</v>
      </c>
      <c r="L2257" t="s">
        <v>20</v>
      </c>
      <c r="M2257">
        <v>23254</v>
      </c>
      <c r="N2257">
        <v>686</v>
      </c>
    </row>
    <row r="2258" spans="1:14" x14ac:dyDescent="0.35">
      <c r="A2258" t="s">
        <v>2353</v>
      </c>
      <c r="B2258" t="s">
        <v>15</v>
      </c>
      <c r="C2258" t="s">
        <v>16</v>
      </c>
      <c r="D2258">
        <v>195</v>
      </c>
      <c r="E2258" t="s">
        <v>2341</v>
      </c>
      <c r="F2258">
        <v>5419</v>
      </c>
      <c r="G2258" t="s">
        <v>18</v>
      </c>
      <c r="H2258">
        <v>27</v>
      </c>
      <c r="I2258" t="s">
        <v>19</v>
      </c>
      <c r="J2258">
        <v>1998</v>
      </c>
      <c r="K2258">
        <v>1998</v>
      </c>
      <c r="L2258" t="s">
        <v>20</v>
      </c>
      <c r="M2258">
        <v>27204</v>
      </c>
      <c r="N2258">
        <v>686</v>
      </c>
    </row>
    <row r="2259" spans="1:14" x14ac:dyDescent="0.35">
      <c r="A2259" t="s">
        <v>2354</v>
      </c>
      <c r="B2259" t="s">
        <v>15</v>
      </c>
      <c r="C2259" t="s">
        <v>16</v>
      </c>
      <c r="D2259">
        <v>195</v>
      </c>
      <c r="E2259" t="s">
        <v>2341</v>
      </c>
      <c r="F2259">
        <v>5419</v>
      </c>
      <c r="G2259" t="s">
        <v>18</v>
      </c>
      <c r="H2259">
        <v>27</v>
      </c>
      <c r="I2259" t="s">
        <v>19</v>
      </c>
      <c r="J2259">
        <v>1999</v>
      </c>
      <c r="K2259">
        <v>1999</v>
      </c>
      <c r="L2259" t="s">
        <v>20</v>
      </c>
      <c r="M2259">
        <v>28000</v>
      </c>
      <c r="N2259">
        <v>686</v>
      </c>
    </row>
    <row r="2260" spans="1:14" x14ac:dyDescent="0.35">
      <c r="A2260" t="s">
        <v>2355</v>
      </c>
      <c r="B2260" t="s">
        <v>15</v>
      </c>
      <c r="C2260" t="s">
        <v>16</v>
      </c>
      <c r="D2260">
        <v>195</v>
      </c>
      <c r="E2260" t="s">
        <v>2341</v>
      </c>
      <c r="F2260">
        <v>5419</v>
      </c>
      <c r="G2260" t="s">
        <v>18</v>
      </c>
      <c r="H2260">
        <v>27</v>
      </c>
      <c r="I2260" t="s">
        <v>19</v>
      </c>
      <c r="J2260">
        <v>2000</v>
      </c>
      <c r="K2260">
        <v>2000</v>
      </c>
      <c r="L2260" t="s">
        <v>20</v>
      </c>
      <c r="M2260">
        <v>23454</v>
      </c>
      <c r="N2260">
        <v>686</v>
      </c>
    </row>
    <row r="2261" spans="1:14" x14ac:dyDescent="0.35">
      <c r="A2261" t="s">
        <v>2356</v>
      </c>
      <c r="B2261" t="s">
        <v>15</v>
      </c>
      <c r="C2261" t="s">
        <v>16</v>
      </c>
      <c r="D2261">
        <v>195</v>
      </c>
      <c r="E2261" t="s">
        <v>2341</v>
      </c>
      <c r="F2261">
        <v>5419</v>
      </c>
      <c r="G2261" t="s">
        <v>18</v>
      </c>
      <c r="H2261">
        <v>27</v>
      </c>
      <c r="I2261" t="s">
        <v>19</v>
      </c>
      <c r="J2261">
        <v>2001</v>
      </c>
      <c r="K2261">
        <v>2001</v>
      </c>
      <c r="L2261" t="s">
        <v>20</v>
      </c>
      <c r="M2261">
        <v>23729</v>
      </c>
      <c r="N2261">
        <v>686</v>
      </c>
    </row>
    <row r="2262" spans="1:14" x14ac:dyDescent="0.35">
      <c r="A2262" t="s">
        <v>2357</v>
      </c>
      <c r="B2262" t="s">
        <v>15</v>
      </c>
      <c r="C2262" t="s">
        <v>16</v>
      </c>
      <c r="D2262">
        <v>195</v>
      </c>
      <c r="E2262" t="s">
        <v>2341</v>
      </c>
      <c r="F2262">
        <v>5419</v>
      </c>
      <c r="G2262" t="s">
        <v>18</v>
      </c>
      <c r="H2262">
        <v>27</v>
      </c>
      <c r="I2262" t="s">
        <v>19</v>
      </c>
      <c r="J2262">
        <v>2002</v>
      </c>
      <c r="K2262">
        <v>2002</v>
      </c>
      <c r="L2262" t="s">
        <v>20</v>
      </c>
      <c r="M2262">
        <v>22676</v>
      </c>
      <c r="N2262">
        <v>686</v>
      </c>
    </row>
    <row r="2263" spans="1:14" x14ac:dyDescent="0.35">
      <c r="A2263" t="s">
        <v>2358</v>
      </c>
      <c r="B2263" t="s">
        <v>15</v>
      </c>
      <c r="C2263" t="s">
        <v>16</v>
      </c>
      <c r="D2263">
        <v>195</v>
      </c>
      <c r="E2263" t="s">
        <v>2341</v>
      </c>
      <c r="F2263">
        <v>5419</v>
      </c>
      <c r="G2263" t="s">
        <v>18</v>
      </c>
      <c r="H2263">
        <v>27</v>
      </c>
      <c r="I2263" t="s">
        <v>19</v>
      </c>
      <c r="J2263">
        <v>2004</v>
      </c>
      <c r="K2263">
        <v>2004</v>
      </c>
      <c r="L2263" t="s">
        <v>20</v>
      </c>
      <c r="M2263">
        <v>24758</v>
      </c>
      <c r="N2263">
        <v>686</v>
      </c>
    </row>
    <row r="2264" spans="1:14" x14ac:dyDescent="0.35">
      <c r="A2264" t="s">
        <v>2359</v>
      </c>
      <c r="B2264" t="s">
        <v>15</v>
      </c>
      <c r="C2264" t="s">
        <v>16</v>
      </c>
      <c r="D2264">
        <v>195</v>
      </c>
      <c r="E2264" t="s">
        <v>2341</v>
      </c>
      <c r="F2264">
        <v>5419</v>
      </c>
      <c r="G2264" t="s">
        <v>18</v>
      </c>
      <c r="H2264">
        <v>27</v>
      </c>
      <c r="I2264" t="s">
        <v>19</v>
      </c>
      <c r="J2264">
        <v>2005</v>
      </c>
      <c r="K2264">
        <v>2005</v>
      </c>
      <c r="L2264" t="s">
        <v>20</v>
      </c>
      <c r="M2264">
        <v>28542</v>
      </c>
      <c r="N2264">
        <v>686</v>
      </c>
    </row>
    <row r="2265" spans="1:14" x14ac:dyDescent="0.35">
      <c r="A2265" t="s">
        <v>2360</v>
      </c>
      <c r="B2265" t="s">
        <v>15</v>
      </c>
      <c r="C2265" t="s">
        <v>16</v>
      </c>
      <c r="D2265">
        <v>195</v>
      </c>
      <c r="E2265" t="s">
        <v>2341</v>
      </c>
      <c r="F2265">
        <v>5419</v>
      </c>
      <c r="G2265" t="s">
        <v>18</v>
      </c>
      <c r="H2265">
        <v>27</v>
      </c>
      <c r="I2265" t="s">
        <v>19</v>
      </c>
      <c r="J2265">
        <v>2006</v>
      </c>
      <c r="K2265">
        <v>2006</v>
      </c>
      <c r="L2265" t="s">
        <v>20</v>
      </c>
      <c r="M2265">
        <v>22401</v>
      </c>
      <c r="N2265">
        <v>686</v>
      </c>
    </row>
    <row r="2266" spans="1:14" x14ac:dyDescent="0.35">
      <c r="A2266" t="s">
        <v>2361</v>
      </c>
      <c r="B2266" t="s">
        <v>15</v>
      </c>
      <c r="C2266" t="s">
        <v>16</v>
      </c>
      <c r="D2266">
        <v>195</v>
      </c>
      <c r="E2266" t="s">
        <v>2341</v>
      </c>
      <c r="F2266">
        <v>5419</v>
      </c>
      <c r="G2266" t="s">
        <v>18</v>
      </c>
      <c r="H2266">
        <v>27</v>
      </c>
      <c r="I2266" t="s">
        <v>19</v>
      </c>
      <c r="J2266">
        <v>2007</v>
      </c>
      <c r="K2266">
        <v>2007</v>
      </c>
      <c r="L2266" t="s">
        <v>20</v>
      </c>
      <c r="M2266">
        <v>24078</v>
      </c>
      <c r="N2266">
        <v>686</v>
      </c>
    </row>
    <row r="2267" spans="1:14" x14ac:dyDescent="0.35">
      <c r="A2267" t="s">
        <v>2362</v>
      </c>
      <c r="B2267" t="s">
        <v>15</v>
      </c>
      <c r="C2267" t="s">
        <v>16</v>
      </c>
      <c r="D2267">
        <v>195</v>
      </c>
      <c r="E2267" t="s">
        <v>2341</v>
      </c>
      <c r="F2267">
        <v>5419</v>
      </c>
      <c r="G2267" t="s">
        <v>18</v>
      </c>
      <c r="H2267">
        <v>27</v>
      </c>
      <c r="I2267" t="s">
        <v>19</v>
      </c>
      <c r="J2267">
        <v>2008</v>
      </c>
      <c r="K2267">
        <v>2008</v>
      </c>
      <c r="L2267" t="s">
        <v>20</v>
      </c>
      <c r="M2267">
        <v>32572</v>
      </c>
      <c r="N2267">
        <v>686</v>
      </c>
    </row>
    <row r="2268" spans="1:14" x14ac:dyDescent="0.35">
      <c r="A2268" t="s">
        <v>2363</v>
      </c>
      <c r="B2268" t="s">
        <v>15</v>
      </c>
      <c r="C2268" t="s">
        <v>16</v>
      </c>
      <c r="D2268">
        <v>195</v>
      </c>
      <c r="E2268" t="s">
        <v>2341</v>
      </c>
      <c r="F2268">
        <v>5419</v>
      </c>
      <c r="G2268" t="s">
        <v>18</v>
      </c>
      <c r="H2268">
        <v>27</v>
      </c>
      <c r="I2268" t="s">
        <v>19</v>
      </c>
      <c r="J2268">
        <v>2009</v>
      </c>
      <c r="K2268">
        <v>2009</v>
      </c>
      <c r="L2268" t="s">
        <v>20</v>
      </c>
      <c r="M2268">
        <v>36022</v>
      </c>
      <c r="N2268">
        <v>686</v>
      </c>
    </row>
    <row r="2269" spans="1:14" x14ac:dyDescent="0.35">
      <c r="A2269" t="s">
        <v>2364</v>
      </c>
      <c r="B2269" t="s">
        <v>15</v>
      </c>
      <c r="C2269" t="s">
        <v>16</v>
      </c>
      <c r="D2269">
        <v>195</v>
      </c>
      <c r="E2269" t="s">
        <v>2341</v>
      </c>
      <c r="F2269">
        <v>5419</v>
      </c>
      <c r="G2269" t="s">
        <v>18</v>
      </c>
      <c r="H2269">
        <v>27</v>
      </c>
      <c r="I2269" t="s">
        <v>19</v>
      </c>
      <c r="J2269">
        <v>2010</v>
      </c>
      <c r="K2269">
        <v>2010</v>
      </c>
      <c r="L2269" t="s">
        <v>20</v>
      </c>
      <c r="M2269">
        <v>41033</v>
      </c>
      <c r="N2269">
        <v>686</v>
      </c>
    </row>
    <row r="2270" spans="1:14" x14ac:dyDescent="0.35">
      <c r="A2270" t="s">
        <v>2365</v>
      </c>
      <c r="B2270" t="s">
        <v>15</v>
      </c>
      <c r="C2270" t="s">
        <v>16</v>
      </c>
      <c r="D2270">
        <v>195</v>
      </c>
      <c r="E2270" t="s">
        <v>2341</v>
      </c>
      <c r="F2270">
        <v>5419</v>
      </c>
      <c r="G2270" t="s">
        <v>18</v>
      </c>
      <c r="H2270">
        <v>27</v>
      </c>
      <c r="I2270" t="s">
        <v>19</v>
      </c>
      <c r="J2270">
        <v>2011</v>
      </c>
      <c r="K2270">
        <v>2011</v>
      </c>
      <c r="L2270" t="s">
        <v>20</v>
      </c>
      <c r="M2270">
        <v>37171</v>
      </c>
      <c r="N2270">
        <v>686</v>
      </c>
    </row>
    <row r="2271" spans="1:14" x14ac:dyDescent="0.35">
      <c r="A2271" t="s">
        <v>2366</v>
      </c>
      <c r="B2271" t="s">
        <v>15</v>
      </c>
      <c r="C2271" t="s">
        <v>16</v>
      </c>
      <c r="D2271">
        <v>195</v>
      </c>
      <c r="E2271" t="s">
        <v>2341</v>
      </c>
      <c r="F2271">
        <v>5419</v>
      </c>
      <c r="G2271" t="s">
        <v>18</v>
      </c>
      <c r="H2271">
        <v>27</v>
      </c>
      <c r="I2271" t="s">
        <v>19</v>
      </c>
      <c r="J2271">
        <v>2012</v>
      </c>
      <c r="K2271">
        <v>2012</v>
      </c>
      <c r="L2271" t="s">
        <v>20</v>
      </c>
      <c r="M2271">
        <v>39892</v>
      </c>
      <c r="N2271">
        <v>686</v>
      </c>
    </row>
    <row r="2272" spans="1:14" x14ac:dyDescent="0.35">
      <c r="A2272" t="s">
        <v>2367</v>
      </c>
      <c r="B2272" t="s">
        <v>15</v>
      </c>
      <c r="C2272" t="s">
        <v>16</v>
      </c>
      <c r="D2272">
        <v>195</v>
      </c>
      <c r="E2272" t="s">
        <v>2341</v>
      </c>
      <c r="F2272">
        <v>5419</v>
      </c>
      <c r="G2272" t="s">
        <v>18</v>
      </c>
      <c r="H2272">
        <v>27</v>
      </c>
      <c r="I2272" t="s">
        <v>19</v>
      </c>
      <c r="J2272">
        <v>2013</v>
      </c>
      <c r="K2272">
        <v>2013</v>
      </c>
      <c r="L2272" t="s">
        <v>20</v>
      </c>
      <c r="M2272">
        <v>40181</v>
      </c>
      <c r="N2272">
        <v>686</v>
      </c>
    </row>
    <row r="2273" spans="1:14" x14ac:dyDescent="0.35">
      <c r="A2273" t="s">
        <v>2368</v>
      </c>
      <c r="B2273" t="s">
        <v>15</v>
      </c>
      <c r="C2273" t="s">
        <v>16</v>
      </c>
      <c r="D2273">
        <v>195</v>
      </c>
      <c r="E2273" t="s">
        <v>2341</v>
      </c>
      <c r="F2273">
        <v>5419</v>
      </c>
      <c r="G2273" t="s">
        <v>18</v>
      </c>
      <c r="H2273">
        <v>27</v>
      </c>
      <c r="I2273" t="s">
        <v>19</v>
      </c>
      <c r="J2273">
        <v>2014</v>
      </c>
      <c r="K2273">
        <v>2014</v>
      </c>
      <c r="L2273" t="s">
        <v>20</v>
      </c>
      <c r="M2273">
        <v>41417</v>
      </c>
      <c r="N2273">
        <v>686</v>
      </c>
    </row>
    <row r="2274" spans="1:14" x14ac:dyDescent="0.35">
      <c r="A2274" t="s">
        <v>2369</v>
      </c>
      <c r="B2274" t="s">
        <v>15</v>
      </c>
      <c r="C2274" t="s">
        <v>16</v>
      </c>
      <c r="D2274">
        <v>195</v>
      </c>
      <c r="E2274" t="s">
        <v>2341</v>
      </c>
      <c r="F2274">
        <v>5419</v>
      </c>
      <c r="G2274" t="s">
        <v>18</v>
      </c>
      <c r="H2274">
        <v>27</v>
      </c>
      <c r="I2274" t="s">
        <v>19</v>
      </c>
      <c r="J2274">
        <v>2015</v>
      </c>
      <c r="K2274">
        <v>2015</v>
      </c>
      <c r="L2274" t="s">
        <v>20</v>
      </c>
      <c r="M2274">
        <v>38194</v>
      </c>
      <c r="N2274">
        <v>686</v>
      </c>
    </row>
    <row r="2275" spans="1:14" x14ac:dyDescent="0.35">
      <c r="A2275" t="s">
        <v>2370</v>
      </c>
      <c r="B2275" t="s">
        <v>15</v>
      </c>
      <c r="C2275" t="s">
        <v>16</v>
      </c>
      <c r="D2275">
        <v>195</v>
      </c>
      <c r="E2275" t="s">
        <v>2341</v>
      </c>
      <c r="F2275">
        <v>5419</v>
      </c>
      <c r="G2275" t="s">
        <v>18</v>
      </c>
      <c r="H2275">
        <v>27</v>
      </c>
      <c r="I2275" t="s">
        <v>19</v>
      </c>
      <c r="J2275">
        <v>2016</v>
      </c>
      <c r="K2275">
        <v>2016</v>
      </c>
      <c r="L2275" t="s">
        <v>20</v>
      </c>
      <c r="M2275">
        <v>39289</v>
      </c>
      <c r="N2275">
        <v>686</v>
      </c>
    </row>
    <row r="2276" spans="1:14" x14ac:dyDescent="0.35">
      <c r="A2276" t="s">
        <v>2371</v>
      </c>
      <c r="B2276" t="s">
        <v>15</v>
      </c>
      <c r="C2276" t="s">
        <v>16</v>
      </c>
      <c r="D2276">
        <v>197</v>
      </c>
      <c r="E2276" t="s">
        <v>2372</v>
      </c>
      <c r="F2276">
        <v>5419</v>
      </c>
      <c r="G2276" t="s">
        <v>18</v>
      </c>
      <c r="H2276">
        <v>27</v>
      </c>
      <c r="I2276" t="s">
        <v>19</v>
      </c>
      <c r="J2276">
        <v>1985</v>
      </c>
      <c r="K2276">
        <v>1985</v>
      </c>
      <c r="L2276" t="s">
        <v>20</v>
      </c>
      <c r="M2276">
        <v>12652</v>
      </c>
      <c r="N2276">
        <v>2526</v>
      </c>
    </row>
    <row r="2277" spans="1:14" x14ac:dyDescent="0.35">
      <c r="A2277" t="s">
        <v>2373</v>
      </c>
      <c r="B2277" t="s">
        <v>15</v>
      </c>
      <c r="C2277" t="s">
        <v>16</v>
      </c>
      <c r="D2277">
        <v>197</v>
      </c>
      <c r="E2277" t="s">
        <v>2372</v>
      </c>
      <c r="F2277">
        <v>5419</v>
      </c>
      <c r="G2277" t="s">
        <v>18</v>
      </c>
      <c r="H2277">
        <v>27</v>
      </c>
      <c r="I2277" t="s">
        <v>19</v>
      </c>
      <c r="J2277">
        <v>1986</v>
      </c>
      <c r="K2277">
        <v>1986</v>
      </c>
      <c r="L2277" t="s">
        <v>20</v>
      </c>
      <c r="M2277">
        <v>15447</v>
      </c>
      <c r="N2277">
        <v>2526</v>
      </c>
    </row>
    <row r="2278" spans="1:14" x14ac:dyDescent="0.35">
      <c r="A2278" t="s">
        <v>2374</v>
      </c>
      <c r="B2278" t="s">
        <v>15</v>
      </c>
      <c r="C2278" t="s">
        <v>16</v>
      </c>
      <c r="D2278">
        <v>197</v>
      </c>
      <c r="E2278" t="s">
        <v>2372</v>
      </c>
      <c r="F2278">
        <v>5419</v>
      </c>
      <c r="G2278" t="s">
        <v>18</v>
      </c>
      <c r="H2278">
        <v>27</v>
      </c>
      <c r="I2278" t="s">
        <v>19</v>
      </c>
      <c r="J2278">
        <v>1987</v>
      </c>
      <c r="K2278">
        <v>1987</v>
      </c>
      <c r="L2278" t="s">
        <v>20</v>
      </c>
      <c r="M2278">
        <v>13030</v>
      </c>
      <c r="N2278">
        <v>2526</v>
      </c>
    </row>
    <row r="2279" spans="1:14" x14ac:dyDescent="0.35">
      <c r="A2279" t="s">
        <v>2375</v>
      </c>
      <c r="B2279" t="s">
        <v>15</v>
      </c>
      <c r="C2279" t="s">
        <v>16</v>
      </c>
      <c r="D2279">
        <v>197</v>
      </c>
      <c r="E2279" t="s">
        <v>2372</v>
      </c>
      <c r="F2279">
        <v>5419</v>
      </c>
      <c r="G2279" t="s">
        <v>18</v>
      </c>
      <c r="H2279">
        <v>27</v>
      </c>
      <c r="I2279" t="s">
        <v>19</v>
      </c>
      <c r="J2279">
        <v>1989</v>
      </c>
      <c r="K2279">
        <v>1989</v>
      </c>
      <c r="L2279" t="s">
        <v>20</v>
      </c>
      <c r="M2279">
        <v>12842</v>
      </c>
      <c r="N2279">
        <v>2526</v>
      </c>
    </row>
    <row r="2280" spans="1:14" x14ac:dyDescent="0.35">
      <c r="A2280" t="s">
        <v>2376</v>
      </c>
      <c r="B2280" t="s">
        <v>15</v>
      </c>
      <c r="C2280" t="s">
        <v>16</v>
      </c>
      <c r="D2280">
        <v>197</v>
      </c>
      <c r="E2280" t="s">
        <v>2372</v>
      </c>
      <c r="F2280">
        <v>5419</v>
      </c>
      <c r="G2280" t="s">
        <v>18</v>
      </c>
      <c r="H2280">
        <v>27</v>
      </c>
      <c r="I2280" t="s">
        <v>19</v>
      </c>
      <c r="J2280">
        <v>1990</v>
      </c>
      <c r="K2280">
        <v>1990</v>
      </c>
      <c r="L2280" t="s">
        <v>20</v>
      </c>
      <c r="M2280">
        <v>12830</v>
      </c>
      <c r="N2280">
        <v>2526</v>
      </c>
    </row>
    <row r="2281" spans="1:14" x14ac:dyDescent="0.35">
      <c r="A2281" t="s">
        <v>2377</v>
      </c>
      <c r="B2281" t="s">
        <v>15</v>
      </c>
      <c r="C2281" t="s">
        <v>16</v>
      </c>
      <c r="D2281">
        <v>197</v>
      </c>
      <c r="E2281" t="s">
        <v>2372</v>
      </c>
      <c r="F2281">
        <v>5419</v>
      </c>
      <c r="G2281" t="s">
        <v>18</v>
      </c>
      <c r="H2281">
        <v>27</v>
      </c>
      <c r="I2281" t="s">
        <v>19</v>
      </c>
      <c r="J2281">
        <v>1991</v>
      </c>
      <c r="K2281">
        <v>1991</v>
      </c>
      <c r="L2281" t="s">
        <v>20</v>
      </c>
      <c r="M2281">
        <v>13505</v>
      </c>
      <c r="N2281">
        <v>2526</v>
      </c>
    </row>
    <row r="2282" spans="1:14" x14ac:dyDescent="0.35">
      <c r="A2282" t="s">
        <v>2378</v>
      </c>
      <c r="B2282" t="s">
        <v>15</v>
      </c>
      <c r="C2282" t="s">
        <v>16</v>
      </c>
      <c r="D2282">
        <v>197</v>
      </c>
      <c r="E2282" t="s">
        <v>2372</v>
      </c>
      <c r="F2282">
        <v>5419</v>
      </c>
      <c r="G2282" t="s">
        <v>18</v>
      </c>
      <c r="H2282">
        <v>27</v>
      </c>
      <c r="I2282" t="s">
        <v>19</v>
      </c>
      <c r="J2282">
        <v>1992</v>
      </c>
      <c r="K2282">
        <v>1992</v>
      </c>
      <c r="L2282" t="s">
        <v>20</v>
      </c>
      <c r="M2282">
        <v>13505</v>
      </c>
      <c r="N2282">
        <v>2526</v>
      </c>
    </row>
    <row r="2283" spans="1:14" x14ac:dyDescent="0.35">
      <c r="A2283" t="s">
        <v>2379</v>
      </c>
      <c r="B2283" t="s">
        <v>15</v>
      </c>
      <c r="C2283" t="s">
        <v>16</v>
      </c>
      <c r="D2283">
        <v>197</v>
      </c>
      <c r="E2283" t="s">
        <v>2372</v>
      </c>
      <c r="F2283">
        <v>5419</v>
      </c>
      <c r="G2283" t="s">
        <v>18</v>
      </c>
      <c r="H2283">
        <v>27</v>
      </c>
      <c r="I2283" t="s">
        <v>19</v>
      </c>
      <c r="J2283">
        <v>1993</v>
      </c>
      <c r="K2283">
        <v>1993</v>
      </c>
      <c r="L2283" t="s">
        <v>20</v>
      </c>
      <c r="M2283">
        <v>12730</v>
      </c>
      <c r="N2283">
        <v>2526</v>
      </c>
    </row>
    <row r="2284" spans="1:14" x14ac:dyDescent="0.35">
      <c r="A2284" t="s">
        <v>2380</v>
      </c>
      <c r="B2284" t="s">
        <v>15</v>
      </c>
      <c r="C2284" t="s">
        <v>16</v>
      </c>
      <c r="D2284">
        <v>197</v>
      </c>
      <c r="E2284" t="s">
        <v>2372</v>
      </c>
      <c r="F2284">
        <v>5419</v>
      </c>
      <c r="G2284" t="s">
        <v>18</v>
      </c>
      <c r="H2284">
        <v>27</v>
      </c>
      <c r="I2284" t="s">
        <v>19</v>
      </c>
      <c r="J2284">
        <v>1994</v>
      </c>
      <c r="K2284">
        <v>1994</v>
      </c>
      <c r="L2284" t="s">
        <v>20</v>
      </c>
      <c r="M2284">
        <v>12342</v>
      </c>
      <c r="N2284">
        <v>2526</v>
      </c>
    </row>
    <row r="2285" spans="1:14" x14ac:dyDescent="0.35">
      <c r="A2285" t="s">
        <v>2381</v>
      </c>
      <c r="B2285" t="s">
        <v>15</v>
      </c>
      <c r="C2285" t="s">
        <v>16</v>
      </c>
      <c r="D2285">
        <v>197</v>
      </c>
      <c r="E2285" t="s">
        <v>2372</v>
      </c>
      <c r="F2285">
        <v>5419</v>
      </c>
      <c r="G2285" t="s">
        <v>18</v>
      </c>
      <c r="H2285">
        <v>27</v>
      </c>
      <c r="I2285" t="s">
        <v>19</v>
      </c>
      <c r="J2285">
        <v>1995</v>
      </c>
      <c r="K2285">
        <v>1995</v>
      </c>
      <c r="L2285" t="s">
        <v>20</v>
      </c>
      <c r="M2285">
        <v>12951</v>
      </c>
      <c r="N2285">
        <v>2526</v>
      </c>
    </row>
    <row r="2286" spans="1:14" x14ac:dyDescent="0.35">
      <c r="A2286" t="s">
        <v>2382</v>
      </c>
      <c r="B2286" t="s">
        <v>15</v>
      </c>
      <c r="C2286" t="s">
        <v>16</v>
      </c>
      <c r="D2286">
        <v>197</v>
      </c>
      <c r="E2286" t="s">
        <v>2372</v>
      </c>
      <c r="F2286">
        <v>5419</v>
      </c>
      <c r="G2286" t="s">
        <v>18</v>
      </c>
      <c r="H2286">
        <v>27</v>
      </c>
      <c r="I2286" t="s">
        <v>19</v>
      </c>
      <c r="J2286">
        <v>1996</v>
      </c>
      <c r="K2286">
        <v>1996</v>
      </c>
      <c r="L2286" t="s">
        <v>20</v>
      </c>
      <c r="M2286">
        <v>13544</v>
      </c>
      <c r="N2286">
        <v>2526</v>
      </c>
    </row>
    <row r="2287" spans="1:14" x14ac:dyDescent="0.35">
      <c r="A2287" t="s">
        <v>2383</v>
      </c>
      <c r="B2287" t="s">
        <v>15</v>
      </c>
      <c r="C2287" t="s">
        <v>16</v>
      </c>
      <c r="D2287">
        <v>197</v>
      </c>
      <c r="E2287" t="s">
        <v>2372</v>
      </c>
      <c r="F2287">
        <v>5419</v>
      </c>
      <c r="G2287" t="s">
        <v>18</v>
      </c>
      <c r="H2287">
        <v>27</v>
      </c>
      <c r="I2287" t="s">
        <v>19</v>
      </c>
      <c r="J2287">
        <v>1997</v>
      </c>
      <c r="K2287">
        <v>1997</v>
      </c>
      <c r="L2287" t="s">
        <v>20</v>
      </c>
      <c r="M2287">
        <v>12999</v>
      </c>
      <c r="N2287">
        <v>2526</v>
      </c>
    </row>
    <row r="2288" spans="1:14" x14ac:dyDescent="0.35">
      <c r="A2288" t="s">
        <v>2384</v>
      </c>
      <c r="B2288" t="s">
        <v>15</v>
      </c>
      <c r="C2288" t="s">
        <v>16</v>
      </c>
      <c r="D2288">
        <v>197</v>
      </c>
      <c r="E2288" t="s">
        <v>2372</v>
      </c>
      <c r="F2288">
        <v>5419</v>
      </c>
      <c r="G2288" t="s">
        <v>18</v>
      </c>
      <c r="H2288">
        <v>27</v>
      </c>
      <c r="I2288" t="s">
        <v>19</v>
      </c>
      <c r="J2288">
        <v>1998</v>
      </c>
      <c r="K2288">
        <v>1998</v>
      </c>
      <c r="L2288" t="s">
        <v>20</v>
      </c>
      <c r="M2288">
        <v>11529</v>
      </c>
      <c r="N2288">
        <v>2526</v>
      </c>
    </row>
    <row r="2289" spans="1:14" x14ac:dyDescent="0.35">
      <c r="A2289" t="s">
        <v>2385</v>
      </c>
      <c r="B2289" t="s">
        <v>15</v>
      </c>
      <c r="C2289" t="s">
        <v>16</v>
      </c>
      <c r="D2289">
        <v>197</v>
      </c>
      <c r="E2289" t="s">
        <v>2372</v>
      </c>
      <c r="F2289">
        <v>5419</v>
      </c>
      <c r="G2289" t="s">
        <v>18</v>
      </c>
      <c r="H2289">
        <v>27</v>
      </c>
      <c r="I2289" t="s">
        <v>19</v>
      </c>
      <c r="J2289">
        <v>1999</v>
      </c>
      <c r="K2289">
        <v>1999</v>
      </c>
      <c r="L2289" t="s">
        <v>20</v>
      </c>
      <c r="M2289">
        <v>11604</v>
      </c>
      <c r="N2289">
        <v>2526</v>
      </c>
    </row>
    <row r="2290" spans="1:14" x14ac:dyDescent="0.35">
      <c r="A2290" t="s">
        <v>2386</v>
      </c>
      <c r="B2290" t="s">
        <v>15</v>
      </c>
      <c r="C2290" t="s">
        <v>16</v>
      </c>
      <c r="D2290">
        <v>197</v>
      </c>
      <c r="E2290" t="s">
        <v>2372</v>
      </c>
      <c r="F2290">
        <v>5419</v>
      </c>
      <c r="G2290" t="s">
        <v>18</v>
      </c>
      <c r="H2290">
        <v>27</v>
      </c>
      <c r="I2290" t="s">
        <v>19</v>
      </c>
      <c r="J2290">
        <v>2000</v>
      </c>
      <c r="K2290">
        <v>2000</v>
      </c>
      <c r="L2290" t="s">
        <v>20</v>
      </c>
      <c r="M2290">
        <v>10869</v>
      </c>
      <c r="N2290">
        <v>2526</v>
      </c>
    </row>
    <row r="2291" spans="1:14" x14ac:dyDescent="0.35">
      <c r="A2291" t="s">
        <v>2387</v>
      </c>
      <c r="B2291" t="s">
        <v>15</v>
      </c>
      <c r="C2291" t="s">
        <v>16</v>
      </c>
      <c r="D2291">
        <v>197</v>
      </c>
      <c r="E2291" t="s">
        <v>2372</v>
      </c>
      <c r="F2291">
        <v>5419</v>
      </c>
      <c r="G2291" t="s">
        <v>18</v>
      </c>
      <c r="H2291">
        <v>27</v>
      </c>
      <c r="I2291" t="s">
        <v>19</v>
      </c>
      <c r="J2291">
        <v>2001</v>
      </c>
      <c r="K2291">
        <v>2001</v>
      </c>
      <c r="L2291" t="s">
        <v>20</v>
      </c>
      <c r="M2291">
        <v>10000</v>
      </c>
      <c r="N2291">
        <v>2526</v>
      </c>
    </row>
    <row r="2292" spans="1:14" x14ac:dyDescent="0.35">
      <c r="A2292" t="s">
        <v>2388</v>
      </c>
      <c r="B2292" t="s">
        <v>15</v>
      </c>
      <c r="C2292" t="s">
        <v>16</v>
      </c>
      <c r="D2292">
        <v>197</v>
      </c>
      <c r="E2292" t="s">
        <v>2372</v>
      </c>
      <c r="F2292">
        <v>5419</v>
      </c>
      <c r="G2292" t="s">
        <v>18</v>
      </c>
      <c r="H2292">
        <v>27</v>
      </c>
      <c r="I2292" t="s">
        <v>19</v>
      </c>
      <c r="J2292">
        <v>2002</v>
      </c>
      <c r="K2292">
        <v>2002</v>
      </c>
      <c r="L2292" t="s">
        <v>20</v>
      </c>
      <c r="M2292">
        <v>10049</v>
      </c>
      <c r="N2292">
        <v>2526</v>
      </c>
    </row>
    <row r="2293" spans="1:14" x14ac:dyDescent="0.35">
      <c r="A2293" t="s">
        <v>2389</v>
      </c>
      <c r="B2293" t="s">
        <v>15</v>
      </c>
      <c r="C2293" t="s">
        <v>16</v>
      </c>
      <c r="D2293">
        <v>197</v>
      </c>
      <c r="E2293" t="s">
        <v>2372</v>
      </c>
      <c r="F2293">
        <v>5419</v>
      </c>
      <c r="G2293" t="s">
        <v>18</v>
      </c>
      <c r="H2293">
        <v>27</v>
      </c>
      <c r="I2293" t="s">
        <v>19</v>
      </c>
      <c r="J2293">
        <v>2004</v>
      </c>
      <c r="K2293">
        <v>2004</v>
      </c>
      <c r="L2293" t="s">
        <v>20</v>
      </c>
      <c r="M2293">
        <v>10037</v>
      </c>
      <c r="N2293">
        <v>2526</v>
      </c>
    </row>
    <row r="2294" spans="1:14" x14ac:dyDescent="0.35">
      <c r="A2294" t="s">
        <v>2390</v>
      </c>
      <c r="B2294" t="s">
        <v>15</v>
      </c>
      <c r="C2294" t="s">
        <v>16</v>
      </c>
      <c r="D2294">
        <v>197</v>
      </c>
      <c r="E2294" t="s">
        <v>2372</v>
      </c>
      <c r="F2294">
        <v>5419</v>
      </c>
      <c r="G2294" t="s">
        <v>18</v>
      </c>
      <c r="H2294">
        <v>27</v>
      </c>
      <c r="I2294" t="s">
        <v>19</v>
      </c>
      <c r="J2294">
        <v>2005</v>
      </c>
      <c r="K2294">
        <v>2005</v>
      </c>
      <c r="L2294" t="s">
        <v>20</v>
      </c>
      <c r="M2294">
        <v>11354</v>
      </c>
      <c r="N2294">
        <v>2526</v>
      </c>
    </row>
    <row r="2295" spans="1:14" x14ac:dyDescent="0.35">
      <c r="A2295" t="s">
        <v>2391</v>
      </c>
      <c r="B2295" t="s">
        <v>15</v>
      </c>
      <c r="C2295" t="s">
        <v>16</v>
      </c>
      <c r="D2295">
        <v>197</v>
      </c>
      <c r="E2295" t="s">
        <v>2372</v>
      </c>
      <c r="F2295">
        <v>5419</v>
      </c>
      <c r="G2295" t="s">
        <v>18</v>
      </c>
      <c r="H2295">
        <v>27</v>
      </c>
      <c r="I2295" t="s">
        <v>19</v>
      </c>
      <c r="J2295">
        <v>2006</v>
      </c>
      <c r="K2295">
        <v>2006</v>
      </c>
      <c r="L2295" t="s">
        <v>20</v>
      </c>
      <c r="M2295">
        <v>14317</v>
      </c>
      <c r="N2295">
        <v>2526</v>
      </c>
    </row>
    <row r="2296" spans="1:14" x14ac:dyDescent="0.35">
      <c r="A2296" t="s">
        <v>2392</v>
      </c>
      <c r="B2296" t="s">
        <v>15</v>
      </c>
      <c r="C2296" t="s">
        <v>16</v>
      </c>
      <c r="D2296">
        <v>197</v>
      </c>
      <c r="E2296" t="s">
        <v>2372</v>
      </c>
      <c r="F2296">
        <v>5419</v>
      </c>
      <c r="G2296" t="s">
        <v>18</v>
      </c>
      <c r="H2296">
        <v>27</v>
      </c>
      <c r="I2296" t="s">
        <v>19</v>
      </c>
      <c r="J2296">
        <v>2007</v>
      </c>
      <c r="K2296">
        <v>2007</v>
      </c>
      <c r="L2296" t="s">
        <v>20</v>
      </c>
      <c r="M2296">
        <v>13600</v>
      </c>
      <c r="N2296">
        <v>2526</v>
      </c>
    </row>
    <row r="2297" spans="1:14" x14ac:dyDescent="0.35">
      <c r="A2297" t="s">
        <v>2393</v>
      </c>
      <c r="B2297" t="s">
        <v>15</v>
      </c>
      <c r="C2297" t="s">
        <v>16</v>
      </c>
      <c r="D2297">
        <v>197</v>
      </c>
      <c r="E2297" t="s">
        <v>2372</v>
      </c>
      <c r="F2297">
        <v>5419</v>
      </c>
      <c r="G2297" t="s">
        <v>18</v>
      </c>
      <c r="H2297">
        <v>27</v>
      </c>
      <c r="I2297" t="s">
        <v>19</v>
      </c>
      <c r="J2297">
        <v>2008</v>
      </c>
      <c r="K2297">
        <v>2008</v>
      </c>
      <c r="L2297" t="s">
        <v>20</v>
      </c>
      <c r="M2297">
        <v>14300</v>
      </c>
      <c r="N2297">
        <v>2526</v>
      </c>
    </row>
    <row r="2298" spans="1:14" x14ac:dyDescent="0.35">
      <c r="A2298" t="s">
        <v>2394</v>
      </c>
      <c r="B2298" t="s">
        <v>15</v>
      </c>
      <c r="C2298" t="s">
        <v>16</v>
      </c>
      <c r="D2298">
        <v>197</v>
      </c>
      <c r="E2298" t="s">
        <v>2372</v>
      </c>
      <c r="F2298">
        <v>5419</v>
      </c>
      <c r="G2298" t="s">
        <v>18</v>
      </c>
      <c r="H2298">
        <v>27</v>
      </c>
      <c r="I2298" t="s">
        <v>19</v>
      </c>
      <c r="J2298">
        <v>2009</v>
      </c>
      <c r="K2298">
        <v>2009</v>
      </c>
      <c r="L2298" t="s">
        <v>20</v>
      </c>
      <c r="M2298">
        <v>17800</v>
      </c>
      <c r="N2298">
        <v>2526</v>
      </c>
    </row>
    <row r="2299" spans="1:14" x14ac:dyDescent="0.35">
      <c r="A2299" t="s">
        <v>2395</v>
      </c>
      <c r="B2299" t="s">
        <v>15</v>
      </c>
      <c r="C2299" t="s">
        <v>16</v>
      </c>
      <c r="D2299">
        <v>197</v>
      </c>
      <c r="E2299" t="s">
        <v>2372</v>
      </c>
      <c r="F2299">
        <v>5419</v>
      </c>
      <c r="G2299" t="s">
        <v>18</v>
      </c>
      <c r="H2299">
        <v>27</v>
      </c>
      <c r="I2299" t="s">
        <v>19</v>
      </c>
      <c r="J2299">
        <v>2010</v>
      </c>
      <c r="K2299">
        <v>2010</v>
      </c>
      <c r="L2299" t="s">
        <v>20</v>
      </c>
      <c r="M2299">
        <v>18700</v>
      </c>
      <c r="N2299">
        <v>2526</v>
      </c>
    </row>
    <row r="2300" spans="1:14" x14ac:dyDescent="0.35">
      <c r="A2300" t="s">
        <v>2396</v>
      </c>
      <c r="B2300" t="s">
        <v>15</v>
      </c>
      <c r="C2300" t="s">
        <v>16</v>
      </c>
      <c r="D2300">
        <v>197</v>
      </c>
      <c r="E2300" t="s">
        <v>2372</v>
      </c>
      <c r="F2300">
        <v>5419</v>
      </c>
      <c r="G2300" t="s">
        <v>18</v>
      </c>
      <c r="H2300">
        <v>27</v>
      </c>
      <c r="I2300" t="s">
        <v>19</v>
      </c>
      <c r="J2300">
        <v>2011</v>
      </c>
      <c r="K2300">
        <v>2011</v>
      </c>
      <c r="L2300" t="s">
        <v>20</v>
      </c>
      <c r="M2300">
        <v>18700</v>
      </c>
      <c r="N2300">
        <v>2526</v>
      </c>
    </row>
    <row r="2301" spans="1:14" x14ac:dyDescent="0.35">
      <c r="A2301" t="s">
        <v>2397</v>
      </c>
      <c r="B2301" t="s">
        <v>15</v>
      </c>
      <c r="C2301" t="s">
        <v>16</v>
      </c>
      <c r="D2301">
        <v>197</v>
      </c>
      <c r="E2301" t="s">
        <v>2372</v>
      </c>
      <c r="F2301">
        <v>5419</v>
      </c>
      <c r="G2301" t="s">
        <v>18</v>
      </c>
      <c r="H2301">
        <v>27</v>
      </c>
      <c r="I2301" t="s">
        <v>19</v>
      </c>
      <c r="J2301">
        <v>2012</v>
      </c>
      <c r="K2301">
        <v>2012</v>
      </c>
      <c r="L2301" t="s">
        <v>20</v>
      </c>
      <c r="M2301">
        <v>15900</v>
      </c>
      <c r="N2301">
        <v>2526</v>
      </c>
    </row>
    <row r="2302" spans="1:14" x14ac:dyDescent="0.35">
      <c r="A2302" t="s">
        <v>2398</v>
      </c>
      <c r="B2302" t="s">
        <v>15</v>
      </c>
      <c r="C2302" t="s">
        <v>16</v>
      </c>
      <c r="D2302">
        <v>197</v>
      </c>
      <c r="E2302" t="s">
        <v>2372</v>
      </c>
      <c r="F2302">
        <v>5419</v>
      </c>
      <c r="G2302" t="s">
        <v>18</v>
      </c>
      <c r="H2302">
        <v>27</v>
      </c>
      <c r="I2302" t="s">
        <v>19</v>
      </c>
      <c r="J2302">
        <v>2013</v>
      </c>
      <c r="K2302">
        <v>2013</v>
      </c>
      <c r="L2302" t="s">
        <v>20</v>
      </c>
      <c r="M2302">
        <v>18700</v>
      </c>
      <c r="N2302">
        <v>2526</v>
      </c>
    </row>
    <row r="2303" spans="1:14" x14ac:dyDescent="0.35">
      <c r="A2303" t="s">
        <v>2399</v>
      </c>
      <c r="B2303" t="s">
        <v>15</v>
      </c>
      <c r="C2303" t="s">
        <v>16</v>
      </c>
      <c r="D2303">
        <v>197</v>
      </c>
      <c r="E2303" t="s">
        <v>2372</v>
      </c>
      <c r="F2303">
        <v>5419</v>
      </c>
      <c r="G2303" t="s">
        <v>18</v>
      </c>
      <c r="H2303">
        <v>27</v>
      </c>
      <c r="I2303" t="s">
        <v>19</v>
      </c>
      <c r="J2303">
        <v>2014</v>
      </c>
      <c r="K2303">
        <v>2014</v>
      </c>
      <c r="L2303" t="s">
        <v>20</v>
      </c>
      <c r="M2303">
        <v>19524</v>
      </c>
      <c r="N2303">
        <v>2526</v>
      </c>
    </row>
    <row r="2304" spans="1:14" x14ac:dyDescent="0.35">
      <c r="A2304" t="s">
        <v>2400</v>
      </c>
      <c r="B2304" t="s">
        <v>15</v>
      </c>
      <c r="C2304" t="s">
        <v>16</v>
      </c>
      <c r="D2304">
        <v>197</v>
      </c>
      <c r="E2304" t="s">
        <v>2372</v>
      </c>
      <c r="F2304">
        <v>5419</v>
      </c>
      <c r="G2304" t="s">
        <v>18</v>
      </c>
      <c r="H2304">
        <v>27</v>
      </c>
      <c r="I2304" t="s">
        <v>19</v>
      </c>
      <c r="J2304">
        <v>2015</v>
      </c>
      <c r="K2304">
        <v>2015</v>
      </c>
      <c r="L2304" t="s">
        <v>20</v>
      </c>
      <c r="M2304">
        <v>19910</v>
      </c>
      <c r="N2304">
        <v>2526</v>
      </c>
    </row>
    <row r="2305" spans="1:14" x14ac:dyDescent="0.35">
      <c r="A2305" t="s">
        <v>2401</v>
      </c>
      <c r="B2305" t="s">
        <v>15</v>
      </c>
      <c r="C2305" t="s">
        <v>16</v>
      </c>
      <c r="D2305">
        <v>197</v>
      </c>
      <c r="E2305" t="s">
        <v>2372</v>
      </c>
      <c r="F2305">
        <v>5419</v>
      </c>
      <c r="G2305" t="s">
        <v>18</v>
      </c>
      <c r="H2305">
        <v>27</v>
      </c>
      <c r="I2305" t="s">
        <v>19</v>
      </c>
      <c r="J2305">
        <v>2016</v>
      </c>
      <c r="K2305">
        <v>2016</v>
      </c>
      <c r="L2305" t="s">
        <v>20</v>
      </c>
      <c r="M2305">
        <v>20691</v>
      </c>
      <c r="N2305">
        <v>2526</v>
      </c>
    </row>
    <row r="2306" spans="1:14" x14ac:dyDescent="0.35">
      <c r="A2306" t="s">
        <v>2402</v>
      </c>
      <c r="B2306" t="s">
        <v>15</v>
      </c>
      <c r="C2306" t="s">
        <v>16</v>
      </c>
      <c r="D2306">
        <v>25</v>
      </c>
      <c r="E2306" t="s">
        <v>2403</v>
      </c>
      <c r="F2306">
        <v>5419</v>
      </c>
      <c r="G2306" t="s">
        <v>18</v>
      </c>
      <c r="H2306">
        <v>27</v>
      </c>
      <c r="I2306" t="s">
        <v>19</v>
      </c>
      <c r="J2306">
        <v>1985</v>
      </c>
      <c r="K2306">
        <v>1985</v>
      </c>
      <c r="L2306" t="s">
        <v>20</v>
      </c>
      <c r="M2306">
        <v>27438</v>
      </c>
      <c r="N2306">
        <v>3028</v>
      </c>
    </row>
    <row r="2307" spans="1:14" x14ac:dyDescent="0.35">
      <c r="A2307" t="s">
        <v>2404</v>
      </c>
      <c r="B2307" t="s">
        <v>15</v>
      </c>
      <c r="C2307" t="s">
        <v>16</v>
      </c>
      <c r="D2307">
        <v>25</v>
      </c>
      <c r="E2307" t="s">
        <v>2403</v>
      </c>
      <c r="F2307">
        <v>5419</v>
      </c>
      <c r="G2307" t="s">
        <v>18</v>
      </c>
      <c r="H2307">
        <v>27</v>
      </c>
      <c r="I2307" t="s">
        <v>19</v>
      </c>
      <c r="J2307">
        <v>1986</v>
      </c>
      <c r="K2307">
        <v>1986</v>
      </c>
      <c r="L2307" t="s">
        <v>20</v>
      </c>
      <c r="M2307">
        <v>27601</v>
      </c>
      <c r="N2307">
        <v>3028</v>
      </c>
    </row>
    <row r="2308" spans="1:14" x14ac:dyDescent="0.35">
      <c r="A2308" t="s">
        <v>2405</v>
      </c>
      <c r="B2308" t="s">
        <v>15</v>
      </c>
      <c r="C2308" t="s">
        <v>16</v>
      </c>
      <c r="D2308">
        <v>25</v>
      </c>
      <c r="E2308" t="s">
        <v>2403</v>
      </c>
      <c r="F2308">
        <v>5419</v>
      </c>
      <c r="G2308" t="s">
        <v>18</v>
      </c>
      <c r="H2308">
        <v>27</v>
      </c>
      <c r="I2308" t="s">
        <v>19</v>
      </c>
      <c r="J2308">
        <v>1990</v>
      </c>
      <c r="K2308">
        <v>1990</v>
      </c>
      <c r="L2308" t="s">
        <v>20</v>
      </c>
      <c r="M2308">
        <v>35714</v>
      </c>
      <c r="N2308">
        <v>3028</v>
      </c>
    </row>
    <row r="2309" spans="1:14" x14ac:dyDescent="0.35">
      <c r="A2309" t="s">
        <v>2406</v>
      </c>
      <c r="B2309" t="s">
        <v>15</v>
      </c>
      <c r="C2309" t="s">
        <v>16</v>
      </c>
      <c r="D2309">
        <v>25</v>
      </c>
      <c r="E2309" t="s">
        <v>2403</v>
      </c>
      <c r="F2309">
        <v>5419</v>
      </c>
      <c r="G2309" t="s">
        <v>18</v>
      </c>
      <c r="H2309">
        <v>27</v>
      </c>
      <c r="I2309" t="s">
        <v>19</v>
      </c>
      <c r="J2309">
        <v>1991</v>
      </c>
      <c r="K2309">
        <v>1991</v>
      </c>
      <c r="L2309" t="s">
        <v>20</v>
      </c>
      <c r="M2309">
        <v>48513</v>
      </c>
      <c r="N2309">
        <v>3028</v>
      </c>
    </row>
    <row r="2310" spans="1:14" x14ac:dyDescent="0.35">
      <c r="A2310" t="s">
        <v>2407</v>
      </c>
      <c r="B2310" t="s">
        <v>15</v>
      </c>
      <c r="C2310" t="s">
        <v>16</v>
      </c>
      <c r="D2310">
        <v>25</v>
      </c>
      <c r="E2310" t="s">
        <v>2403</v>
      </c>
      <c r="F2310">
        <v>5419</v>
      </c>
      <c r="G2310" t="s">
        <v>18</v>
      </c>
      <c r="H2310">
        <v>27</v>
      </c>
      <c r="I2310" t="s">
        <v>19</v>
      </c>
      <c r="J2310">
        <v>1992</v>
      </c>
      <c r="K2310">
        <v>1992</v>
      </c>
      <c r="L2310" t="s">
        <v>20</v>
      </c>
      <c r="M2310">
        <v>47543</v>
      </c>
      <c r="N2310">
        <v>3028</v>
      </c>
    </row>
    <row r="2311" spans="1:14" x14ac:dyDescent="0.35">
      <c r="A2311" t="s">
        <v>2408</v>
      </c>
      <c r="B2311" t="s">
        <v>15</v>
      </c>
      <c r="C2311" t="s">
        <v>16</v>
      </c>
      <c r="D2311">
        <v>25</v>
      </c>
      <c r="E2311" t="s">
        <v>2403</v>
      </c>
      <c r="F2311">
        <v>5419</v>
      </c>
      <c r="G2311" t="s">
        <v>18</v>
      </c>
      <c r="H2311">
        <v>27</v>
      </c>
      <c r="I2311" t="s">
        <v>19</v>
      </c>
      <c r="J2311">
        <v>1993</v>
      </c>
      <c r="K2311">
        <v>1993</v>
      </c>
      <c r="L2311" t="s">
        <v>20</v>
      </c>
      <c r="M2311">
        <v>46572</v>
      </c>
      <c r="N2311">
        <v>3028</v>
      </c>
    </row>
    <row r="2312" spans="1:14" x14ac:dyDescent="0.35">
      <c r="A2312" t="s">
        <v>2409</v>
      </c>
      <c r="B2312" t="s">
        <v>15</v>
      </c>
      <c r="C2312" t="s">
        <v>16</v>
      </c>
      <c r="D2312">
        <v>25</v>
      </c>
      <c r="E2312" t="s">
        <v>2403</v>
      </c>
      <c r="F2312">
        <v>5419</v>
      </c>
      <c r="G2312" t="s">
        <v>18</v>
      </c>
      <c r="H2312">
        <v>27</v>
      </c>
      <c r="I2312" t="s">
        <v>19</v>
      </c>
      <c r="J2312">
        <v>1994</v>
      </c>
      <c r="K2312">
        <v>1994</v>
      </c>
      <c r="L2312" t="s">
        <v>20</v>
      </c>
      <c r="M2312">
        <v>45602</v>
      </c>
      <c r="N2312">
        <v>3028</v>
      </c>
    </row>
    <row r="2313" spans="1:14" x14ac:dyDescent="0.35">
      <c r="A2313" t="s">
        <v>2410</v>
      </c>
      <c r="B2313" t="s">
        <v>15</v>
      </c>
      <c r="C2313" t="s">
        <v>16</v>
      </c>
      <c r="D2313">
        <v>25</v>
      </c>
      <c r="E2313" t="s">
        <v>2403</v>
      </c>
      <c r="F2313">
        <v>5419</v>
      </c>
      <c r="G2313" t="s">
        <v>18</v>
      </c>
      <c r="H2313">
        <v>27</v>
      </c>
      <c r="I2313" t="s">
        <v>19</v>
      </c>
      <c r="J2313">
        <v>1995</v>
      </c>
      <c r="K2313">
        <v>1995</v>
      </c>
      <c r="L2313" t="s">
        <v>20</v>
      </c>
      <c r="M2313">
        <v>44631</v>
      </c>
      <c r="N2313">
        <v>3028</v>
      </c>
    </row>
    <row r="2314" spans="1:14" x14ac:dyDescent="0.35">
      <c r="A2314" t="s">
        <v>2411</v>
      </c>
      <c r="B2314" t="s">
        <v>15</v>
      </c>
      <c r="C2314" t="s">
        <v>16</v>
      </c>
      <c r="D2314">
        <v>25</v>
      </c>
      <c r="E2314" t="s">
        <v>2403</v>
      </c>
      <c r="F2314">
        <v>5419</v>
      </c>
      <c r="G2314" t="s">
        <v>18</v>
      </c>
      <c r="H2314">
        <v>27</v>
      </c>
      <c r="I2314" t="s">
        <v>19</v>
      </c>
      <c r="J2314">
        <v>1996</v>
      </c>
      <c r="K2314">
        <v>1996</v>
      </c>
      <c r="L2314" t="s">
        <v>20</v>
      </c>
      <c r="M2314">
        <v>45581</v>
      </c>
      <c r="N2314">
        <v>3028</v>
      </c>
    </row>
    <row r="2315" spans="1:14" x14ac:dyDescent="0.35">
      <c r="A2315" t="s">
        <v>2412</v>
      </c>
      <c r="B2315" t="s">
        <v>15</v>
      </c>
      <c r="C2315" t="s">
        <v>16</v>
      </c>
      <c r="D2315">
        <v>25</v>
      </c>
      <c r="E2315" t="s">
        <v>2403</v>
      </c>
      <c r="F2315">
        <v>5419</v>
      </c>
      <c r="G2315" t="s">
        <v>18</v>
      </c>
      <c r="H2315">
        <v>27</v>
      </c>
      <c r="I2315" t="s">
        <v>19</v>
      </c>
      <c r="J2315">
        <v>1997</v>
      </c>
      <c r="K2315">
        <v>1997</v>
      </c>
      <c r="L2315" t="s">
        <v>20</v>
      </c>
      <c r="M2315">
        <v>38089</v>
      </c>
      <c r="N2315">
        <v>3028</v>
      </c>
    </row>
    <row r="2316" spans="1:14" x14ac:dyDescent="0.35">
      <c r="A2316" t="s">
        <v>2413</v>
      </c>
      <c r="B2316" t="s">
        <v>15</v>
      </c>
      <c r="C2316" t="s">
        <v>16</v>
      </c>
      <c r="D2316">
        <v>25</v>
      </c>
      <c r="E2316" t="s">
        <v>2403</v>
      </c>
      <c r="F2316">
        <v>5419</v>
      </c>
      <c r="G2316" t="s">
        <v>18</v>
      </c>
      <c r="H2316">
        <v>27</v>
      </c>
      <c r="I2316" t="s">
        <v>19</v>
      </c>
      <c r="J2316">
        <v>1998</v>
      </c>
      <c r="K2316">
        <v>1998</v>
      </c>
      <c r="L2316" t="s">
        <v>20</v>
      </c>
      <c r="M2316">
        <v>39394</v>
      </c>
      <c r="N2316">
        <v>3028</v>
      </c>
    </row>
    <row r="2317" spans="1:14" x14ac:dyDescent="0.35">
      <c r="A2317" t="s">
        <v>2414</v>
      </c>
      <c r="B2317" t="s">
        <v>15</v>
      </c>
      <c r="C2317" t="s">
        <v>16</v>
      </c>
      <c r="D2317">
        <v>25</v>
      </c>
      <c r="E2317" t="s">
        <v>2403</v>
      </c>
      <c r="F2317">
        <v>5419</v>
      </c>
      <c r="G2317" t="s">
        <v>18</v>
      </c>
      <c r="H2317">
        <v>27</v>
      </c>
      <c r="I2317" t="s">
        <v>19</v>
      </c>
      <c r="J2317">
        <v>1999</v>
      </c>
      <c r="K2317">
        <v>1999</v>
      </c>
      <c r="L2317" t="s">
        <v>20</v>
      </c>
      <c r="M2317">
        <v>45000</v>
      </c>
      <c r="N2317">
        <v>3028</v>
      </c>
    </row>
    <row r="2318" spans="1:14" x14ac:dyDescent="0.35">
      <c r="A2318" t="s">
        <v>2415</v>
      </c>
      <c r="B2318" t="s">
        <v>15</v>
      </c>
      <c r="C2318" t="s">
        <v>16</v>
      </c>
      <c r="D2318">
        <v>25</v>
      </c>
      <c r="E2318" t="s">
        <v>2403</v>
      </c>
      <c r="F2318">
        <v>5419</v>
      </c>
      <c r="G2318" t="s">
        <v>18</v>
      </c>
      <c r="H2318">
        <v>27</v>
      </c>
      <c r="I2318" t="s">
        <v>19</v>
      </c>
      <c r="J2318">
        <v>2000</v>
      </c>
      <c r="K2318">
        <v>2000</v>
      </c>
      <c r="L2318" t="s">
        <v>20</v>
      </c>
      <c r="M2318">
        <v>46495</v>
      </c>
      <c r="N2318">
        <v>3028</v>
      </c>
    </row>
    <row r="2319" spans="1:14" x14ac:dyDescent="0.35">
      <c r="A2319" t="s">
        <v>2416</v>
      </c>
      <c r="B2319" t="s">
        <v>15</v>
      </c>
      <c r="C2319" t="s">
        <v>16</v>
      </c>
      <c r="D2319">
        <v>25</v>
      </c>
      <c r="E2319" t="s">
        <v>2403</v>
      </c>
      <c r="F2319">
        <v>5419</v>
      </c>
      <c r="G2319" t="s">
        <v>18</v>
      </c>
      <c r="H2319">
        <v>27</v>
      </c>
      <c r="I2319" t="s">
        <v>19</v>
      </c>
      <c r="J2319">
        <v>2001</v>
      </c>
      <c r="K2319">
        <v>2001</v>
      </c>
      <c r="L2319" t="s">
        <v>20</v>
      </c>
      <c r="M2319">
        <v>46496</v>
      </c>
      <c r="N2319">
        <v>3028</v>
      </c>
    </row>
    <row r="2320" spans="1:14" x14ac:dyDescent="0.35">
      <c r="A2320" t="s">
        <v>2417</v>
      </c>
      <c r="B2320" t="s">
        <v>15</v>
      </c>
      <c r="C2320" t="s">
        <v>16</v>
      </c>
      <c r="D2320">
        <v>25</v>
      </c>
      <c r="E2320" t="s">
        <v>2403</v>
      </c>
      <c r="F2320">
        <v>5419</v>
      </c>
      <c r="G2320" t="s">
        <v>18</v>
      </c>
      <c r="H2320">
        <v>27</v>
      </c>
      <c r="I2320" t="s">
        <v>19</v>
      </c>
      <c r="J2320">
        <v>2002</v>
      </c>
      <c r="K2320">
        <v>2002</v>
      </c>
      <c r="L2320" t="s">
        <v>20</v>
      </c>
      <c r="M2320">
        <v>45984</v>
      </c>
      <c r="N2320">
        <v>3028</v>
      </c>
    </row>
    <row r="2321" spans="1:14" x14ac:dyDescent="0.35">
      <c r="A2321" t="s">
        <v>2418</v>
      </c>
      <c r="B2321" t="s">
        <v>15</v>
      </c>
      <c r="C2321" t="s">
        <v>16</v>
      </c>
      <c r="D2321">
        <v>25</v>
      </c>
      <c r="E2321" t="s">
        <v>2403</v>
      </c>
      <c r="F2321">
        <v>5419</v>
      </c>
      <c r="G2321" t="s">
        <v>18</v>
      </c>
      <c r="H2321">
        <v>27</v>
      </c>
      <c r="I2321" t="s">
        <v>19</v>
      </c>
      <c r="J2321">
        <v>2004</v>
      </c>
      <c r="K2321">
        <v>2004</v>
      </c>
      <c r="L2321" t="s">
        <v>20</v>
      </c>
      <c r="M2321">
        <v>31250</v>
      </c>
      <c r="N2321">
        <v>3028</v>
      </c>
    </row>
    <row r="2322" spans="1:14" x14ac:dyDescent="0.35">
      <c r="A2322" t="s">
        <v>2419</v>
      </c>
      <c r="B2322" t="s">
        <v>15</v>
      </c>
      <c r="C2322" t="s">
        <v>16</v>
      </c>
      <c r="D2322">
        <v>25</v>
      </c>
      <c r="E2322" t="s">
        <v>2403</v>
      </c>
      <c r="F2322">
        <v>5419</v>
      </c>
      <c r="G2322" t="s">
        <v>18</v>
      </c>
      <c r="H2322">
        <v>27</v>
      </c>
      <c r="I2322" t="s">
        <v>19</v>
      </c>
      <c r="J2322">
        <v>2005</v>
      </c>
      <c r="K2322">
        <v>2005</v>
      </c>
      <c r="L2322" t="s">
        <v>20</v>
      </c>
      <c r="M2322">
        <v>30000</v>
      </c>
      <c r="N2322">
        <v>3028</v>
      </c>
    </row>
    <row r="2323" spans="1:14" x14ac:dyDescent="0.35">
      <c r="A2323" t="s">
        <v>2420</v>
      </c>
      <c r="B2323" t="s">
        <v>15</v>
      </c>
      <c r="C2323" t="s">
        <v>16</v>
      </c>
      <c r="D2323">
        <v>25</v>
      </c>
      <c r="E2323" t="s">
        <v>2403</v>
      </c>
      <c r="F2323">
        <v>5419</v>
      </c>
      <c r="G2323" t="s">
        <v>18</v>
      </c>
      <c r="H2323">
        <v>27</v>
      </c>
      <c r="I2323" t="s">
        <v>19</v>
      </c>
      <c r="J2323">
        <v>2006</v>
      </c>
      <c r="K2323">
        <v>2006</v>
      </c>
      <c r="L2323" t="s">
        <v>20</v>
      </c>
      <c r="M2323">
        <v>33505</v>
      </c>
      <c r="N2323">
        <v>3028</v>
      </c>
    </row>
    <row r="2324" spans="1:14" x14ac:dyDescent="0.35">
      <c r="A2324" t="s">
        <v>2421</v>
      </c>
      <c r="B2324" t="s">
        <v>15</v>
      </c>
      <c r="C2324" t="s">
        <v>16</v>
      </c>
      <c r="D2324">
        <v>25</v>
      </c>
      <c r="E2324" t="s">
        <v>2403</v>
      </c>
      <c r="F2324">
        <v>5419</v>
      </c>
      <c r="G2324" t="s">
        <v>18</v>
      </c>
      <c r="H2324">
        <v>27</v>
      </c>
      <c r="I2324" t="s">
        <v>19</v>
      </c>
      <c r="J2324">
        <v>2007</v>
      </c>
      <c r="K2324">
        <v>2007</v>
      </c>
      <c r="L2324" t="s">
        <v>20</v>
      </c>
      <c r="M2324">
        <v>30011</v>
      </c>
      <c r="N2324">
        <v>3028</v>
      </c>
    </row>
    <row r="2325" spans="1:14" x14ac:dyDescent="0.35">
      <c r="A2325" t="s">
        <v>2422</v>
      </c>
      <c r="B2325" t="s">
        <v>15</v>
      </c>
      <c r="C2325" t="s">
        <v>16</v>
      </c>
      <c r="D2325">
        <v>25</v>
      </c>
      <c r="E2325" t="s">
        <v>2403</v>
      </c>
      <c r="F2325">
        <v>5419</v>
      </c>
      <c r="G2325" t="s">
        <v>18</v>
      </c>
      <c r="H2325">
        <v>27</v>
      </c>
      <c r="I2325" t="s">
        <v>19</v>
      </c>
      <c r="J2325">
        <v>2008</v>
      </c>
      <c r="K2325">
        <v>2008</v>
      </c>
      <c r="L2325" t="s">
        <v>20</v>
      </c>
      <c r="M2325">
        <v>25455</v>
      </c>
      <c r="N2325">
        <v>3028</v>
      </c>
    </row>
    <row r="2326" spans="1:14" x14ac:dyDescent="0.35">
      <c r="A2326" t="s">
        <v>2423</v>
      </c>
      <c r="B2326" t="s">
        <v>15</v>
      </c>
      <c r="C2326" t="s">
        <v>16</v>
      </c>
      <c r="D2326">
        <v>25</v>
      </c>
      <c r="E2326" t="s">
        <v>2403</v>
      </c>
      <c r="F2326">
        <v>5419</v>
      </c>
      <c r="G2326" t="s">
        <v>18</v>
      </c>
      <c r="H2326">
        <v>27</v>
      </c>
      <c r="I2326" t="s">
        <v>19</v>
      </c>
      <c r="J2326">
        <v>2009</v>
      </c>
      <c r="K2326">
        <v>2009</v>
      </c>
      <c r="L2326" t="s">
        <v>20</v>
      </c>
      <c r="M2326">
        <v>22727</v>
      </c>
      <c r="N2326">
        <v>3028</v>
      </c>
    </row>
    <row r="2327" spans="1:14" x14ac:dyDescent="0.35">
      <c r="A2327" t="s">
        <v>2424</v>
      </c>
      <c r="B2327" t="s">
        <v>15</v>
      </c>
      <c r="C2327" t="s">
        <v>16</v>
      </c>
      <c r="D2327">
        <v>25</v>
      </c>
      <c r="E2327" t="s">
        <v>2403</v>
      </c>
      <c r="F2327">
        <v>5419</v>
      </c>
      <c r="G2327" t="s">
        <v>18</v>
      </c>
      <c r="H2327">
        <v>27</v>
      </c>
      <c r="I2327" t="s">
        <v>19</v>
      </c>
      <c r="J2327">
        <v>2010</v>
      </c>
      <c r="K2327">
        <v>2010</v>
      </c>
      <c r="L2327" t="s">
        <v>20</v>
      </c>
      <c r="M2327">
        <v>20837</v>
      </c>
      <c r="N2327">
        <v>3028</v>
      </c>
    </row>
    <row r="2328" spans="1:14" x14ac:dyDescent="0.35">
      <c r="A2328" t="s">
        <v>2425</v>
      </c>
      <c r="B2328" t="s">
        <v>15</v>
      </c>
      <c r="C2328" t="s">
        <v>16</v>
      </c>
      <c r="D2328">
        <v>25</v>
      </c>
      <c r="E2328" t="s">
        <v>2403</v>
      </c>
      <c r="F2328">
        <v>5419</v>
      </c>
      <c r="G2328" t="s">
        <v>18</v>
      </c>
      <c r="H2328">
        <v>27</v>
      </c>
      <c r="I2328" t="s">
        <v>19</v>
      </c>
      <c r="J2328">
        <v>2011</v>
      </c>
      <c r="K2328">
        <v>2011</v>
      </c>
      <c r="L2328" t="s">
        <v>20</v>
      </c>
      <c r="M2328">
        <v>22406</v>
      </c>
      <c r="N2328">
        <v>3028</v>
      </c>
    </row>
    <row r="2329" spans="1:14" x14ac:dyDescent="0.35">
      <c r="A2329" t="s">
        <v>2426</v>
      </c>
      <c r="B2329" t="s">
        <v>15</v>
      </c>
      <c r="C2329" t="s">
        <v>16</v>
      </c>
      <c r="D2329">
        <v>25</v>
      </c>
      <c r="E2329" t="s">
        <v>2403</v>
      </c>
      <c r="F2329">
        <v>5419</v>
      </c>
      <c r="G2329" t="s">
        <v>18</v>
      </c>
      <c r="H2329">
        <v>27</v>
      </c>
      <c r="I2329" t="s">
        <v>19</v>
      </c>
      <c r="J2329">
        <v>2012</v>
      </c>
      <c r="K2329">
        <v>2012</v>
      </c>
      <c r="L2329" t="s">
        <v>20</v>
      </c>
      <c r="M2329">
        <v>21353</v>
      </c>
      <c r="N2329">
        <v>3028</v>
      </c>
    </row>
    <row r="2330" spans="1:14" x14ac:dyDescent="0.35">
      <c r="A2330" t="s">
        <v>2427</v>
      </c>
      <c r="B2330" t="s">
        <v>15</v>
      </c>
      <c r="C2330" t="s">
        <v>16</v>
      </c>
      <c r="D2330">
        <v>25</v>
      </c>
      <c r="E2330" t="s">
        <v>2403</v>
      </c>
      <c r="F2330">
        <v>5419</v>
      </c>
      <c r="G2330" t="s">
        <v>18</v>
      </c>
      <c r="H2330">
        <v>27</v>
      </c>
      <c r="I2330" t="s">
        <v>19</v>
      </c>
      <c r="J2330">
        <v>2013</v>
      </c>
      <c r="K2330">
        <v>2013</v>
      </c>
      <c r="L2330" t="s">
        <v>20</v>
      </c>
      <c r="M2330">
        <v>20148</v>
      </c>
      <c r="N2330">
        <v>3028</v>
      </c>
    </row>
    <row r="2331" spans="1:14" x14ac:dyDescent="0.35">
      <c r="A2331" t="s">
        <v>2428</v>
      </c>
      <c r="B2331" t="s">
        <v>15</v>
      </c>
      <c r="C2331" t="s">
        <v>16</v>
      </c>
      <c r="D2331">
        <v>25</v>
      </c>
      <c r="E2331" t="s">
        <v>2403</v>
      </c>
      <c r="F2331">
        <v>5419</v>
      </c>
      <c r="G2331" t="s">
        <v>18</v>
      </c>
      <c r="H2331">
        <v>27</v>
      </c>
      <c r="I2331" t="s">
        <v>19</v>
      </c>
      <c r="J2331">
        <v>2014</v>
      </c>
      <c r="K2331">
        <v>2014</v>
      </c>
      <c r="L2331" t="s">
        <v>20</v>
      </c>
      <c r="M2331">
        <v>18944</v>
      </c>
      <c r="N2331">
        <v>3028</v>
      </c>
    </row>
    <row r="2332" spans="1:14" x14ac:dyDescent="0.35">
      <c r="A2332" t="s">
        <v>2429</v>
      </c>
      <c r="B2332" t="s">
        <v>15</v>
      </c>
      <c r="C2332" t="s">
        <v>16</v>
      </c>
      <c r="D2332">
        <v>25</v>
      </c>
      <c r="E2332" t="s">
        <v>2403</v>
      </c>
      <c r="F2332">
        <v>5419</v>
      </c>
      <c r="G2332" t="s">
        <v>18</v>
      </c>
      <c r="H2332">
        <v>27</v>
      </c>
      <c r="I2332" t="s">
        <v>19</v>
      </c>
      <c r="J2332">
        <v>2015</v>
      </c>
      <c r="K2332">
        <v>2015</v>
      </c>
      <c r="L2332" t="s">
        <v>20</v>
      </c>
      <c r="M2332">
        <v>17739</v>
      </c>
      <c r="N2332">
        <v>3028</v>
      </c>
    </row>
    <row r="2333" spans="1:14" x14ac:dyDescent="0.35">
      <c r="A2333" t="s">
        <v>2430</v>
      </c>
      <c r="B2333" t="s">
        <v>15</v>
      </c>
      <c r="C2333" t="s">
        <v>16</v>
      </c>
      <c r="D2333">
        <v>25</v>
      </c>
      <c r="E2333" t="s">
        <v>2403</v>
      </c>
      <c r="F2333">
        <v>5419</v>
      </c>
      <c r="G2333" t="s">
        <v>18</v>
      </c>
      <c r="H2333">
        <v>27</v>
      </c>
      <c r="I2333" t="s">
        <v>19</v>
      </c>
      <c r="J2333">
        <v>2016</v>
      </c>
      <c r="K2333">
        <v>2016</v>
      </c>
      <c r="L2333" t="s">
        <v>20</v>
      </c>
      <c r="M2333">
        <v>16570</v>
      </c>
      <c r="N2333">
        <v>3028</v>
      </c>
    </row>
    <row r="2334" spans="1:14" x14ac:dyDescent="0.35">
      <c r="A2334" t="s">
        <v>2431</v>
      </c>
      <c r="B2334" t="s">
        <v>15</v>
      </c>
      <c r="C2334" t="s">
        <v>16</v>
      </c>
      <c r="D2334">
        <v>201</v>
      </c>
      <c r="E2334" t="s">
        <v>2432</v>
      </c>
      <c r="F2334">
        <v>5419</v>
      </c>
      <c r="G2334" t="s">
        <v>18</v>
      </c>
      <c r="H2334">
        <v>27</v>
      </c>
      <c r="I2334" t="s">
        <v>19</v>
      </c>
      <c r="J2334">
        <v>1985</v>
      </c>
      <c r="K2334">
        <v>1985</v>
      </c>
      <c r="L2334" t="s">
        <v>20</v>
      </c>
      <c r="M2334">
        <v>40769</v>
      </c>
      <c r="N2334">
        <v>282</v>
      </c>
    </row>
    <row r="2335" spans="1:14" x14ac:dyDescent="0.35">
      <c r="A2335" t="s">
        <v>2433</v>
      </c>
      <c r="B2335" t="s">
        <v>15</v>
      </c>
      <c r="C2335" t="s">
        <v>16</v>
      </c>
      <c r="D2335">
        <v>201</v>
      </c>
      <c r="E2335" t="s">
        <v>2432</v>
      </c>
      <c r="F2335">
        <v>5419</v>
      </c>
      <c r="G2335" t="s">
        <v>18</v>
      </c>
      <c r="H2335">
        <v>27</v>
      </c>
      <c r="I2335" t="s">
        <v>19</v>
      </c>
      <c r="J2335">
        <v>1986</v>
      </c>
      <c r="K2335">
        <v>1986</v>
      </c>
      <c r="L2335" t="s">
        <v>20</v>
      </c>
      <c r="M2335">
        <v>37188</v>
      </c>
      <c r="N2335">
        <v>282</v>
      </c>
    </row>
    <row r="2336" spans="1:14" x14ac:dyDescent="0.35">
      <c r="A2336" t="s">
        <v>2434</v>
      </c>
      <c r="B2336" t="s">
        <v>15</v>
      </c>
      <c r="C2336" t="s">
        <v>16</v>
      </c>
      <c r="D2336">
        <v>201</v>
      </c>
      <c r="E2336" t="s">
        <v>2432</v>
      </c>
      <c r="F2336">
        <v>5419</v>
      </c>
      <c r="G2336" t="s">
        <v>18</v>
      </c>
      <c r="H2336">
        <v>27</v>
      </c>
      <c r="I2336" t="s">
        <v>19</v>
      </c>
      <c r="J2336">
        <v>1987</v>
      </c>
      <c r="K2336">
        <v>1987</v>
      </c>
      <c r="L2336" t="s">
        <v>20</v>
      </c>
      <c r="M2336">
        <v>33333</v>
      </c>
      <c r="N2336">
        <v>282</v>
      </c>
    </row>
    <row r="2337" spans="1:14" x14ac:dyDescent="0.35">
      <c r="A2337" t="s">
        <v>2435</v>
      </c>
      <c r="B2337" t="s">
        <v>15</v>
      </c>
      <c r="C2337" t="s">
        <v>16</v>
      </c>
      <c r="D2337">
        <v>201</v>
      </c>
      <c r="E2337" t="s">
        <v>2432</v>
      </c>
      <c r="F2337">
        <v>5419</v>
      </c>
      <c r="G2337" t="s">
        <v>18</v>
      </c>
      <c r="H2337">
        <v>27</v>
      </c>
      <c r="I2337" t="s">
        <v>19</v>
      </c>
      <c r="J2337">
        <v>1989</v>
      </c>
      <c r="K2337">
        <v>1989</v>
      </c>
      <c r="L2337" t="s">
        <v>20</v>
      </c>
      <c r="M2337">
        <v>30308</v>
      </c>
      <c r="N2337">
        <v>282</v>
      </c>
    </row>
    <row r="2338" spans="1:14" x14ac:dyDescent="0.35">
      <c r="A2338" t="s">
        <v>2436</v>
      </c>
      <c r="B2338" t="s">
        <v>15</v>
      </c>
      <c r="C2338" t="s">
        <v>16</v>
      </c>
      <c r="D2338">
        <v>201</v>
      </c>
      <c r="E2338" t="s">
        <v>2432</v>
      </c>
      <c r="F2338">
        <v>5419</v>
      </c>
      <c r="G2338" t="s">
        <v>18</v>
      </c>
      <c r="H2338">
        <v>27</v>
      </c>
      <c r="I2338" t="s">
        <v>19</v>
      </c>
      <c r="J2338">
        <v>1990</v>
      </c>
      <c r="K2338">
        <v>1990</v>
      </c>
      <c r="L2338" t="s">
        <v>20</v>
      </c>
      <c r="M2338">
        <v>30000</v>
      </c>
      <c r="N2338">
        <v>282</v>
      </c>
    </row>
    <row r="2339" spans="1:14" x14ac:dyDescent="0.35">
      <c r="A2339" t="s">
        <v>2437</v>
      </c>
      <c r="B2339" t="s">
        <v>15</v>
      </c>
      <c r="C2339" t="s">
        <v>16</v>
      </c>
      <c r="D2339">
        <v>201</v>
      </c>
      <c r="E2339" t="s">
        <v>2432</v>
      </c>
      <c r="F2339">
        <v>5419</v>
      </c>
      <c r="G2339" t="s">
        <v>18</v>
      </c>
      <c r="H2339">
        <v>27</v>
      </c>
      <c r="I2339" t="s">
        <v>19</v>
      </c>
      <c r="J2339">
        <v>1991</v>
      </c>
      <c r="K2339">
        <v>1991</v>
      </c>
      <c r="L2339" t="s">
        <v>20</v>
      </c>
      <c r="M2339">
        <v>25000</v>
      </c>
      <c r="N2339">
        <v>282</v>
      </c>
    </row>
    <row r="2340" spans="1:14" x14ac:dyDescent="0.35">
      <c r="A2340" t="s">
        <v>2438</v>
      </c>
      <c r="B2340" t="s">
        <v>15</v>
      </c>
      <c r="C2340" t="s">
        <v>16</v>
      </c>
      <c r="D2340">
        <v>201</v>
      </c>
      <c r="E2340" t="s">
        <v>2432</v>
      </c>
      <c r="F2340">
        <v>5419</v>
      </c>
      <c r="G2340" t="s">
        <v>18</v>
      </c>
      <c r="H2340">
        <v>27</v>
      </c>
      <c r="I2340" t="s">
        <v>19</v>
      </c>
      <c r="J2340">
        <v>1992</v>
      </c>
      <c r="K2340">
        <v>1992</v>
      </c>
      <c r="L2340" t="s">
        <v>20</v>
      </c>
      <c r="M2340">
        <v>25694</v>
      </c>
      <c r="N2340">
        <v>282</v>
      </c>
    </row>
    <row r="2341" spans="1:14" x14ac:dyDescent="0.35">
      <c r="A2341" t="s">
        <v>2439</v>
      </c>
      <c r="B2341" t="s">
        <v>15</v>
      </c>
      <c r="C2341" t="s">
        <v>16</v>
      </c>
      <c r="D2341">
        <v>201</v>
      </c>
      <c r="E2341" t="s">
        <v>2432</v>
      </c>
      <c r="F2341">
        <v>5419</v>
      </c>
      <c r="G2341" t="s">
        <v>18</v>
      </c>
      <c r="H2341">
        <v>27</v>
      </c>
      <c r="I2341" t="s">
        <v>19</v>
      </c>
      <c r="J2341">
        <v>1993</v>
      </c>
      <c r="K2341">
        <v>1993</v>
      </c>
      <c r="L2341" t="s">
        <v>20</v>
      </c>
      <c r="M2341">
        <v>25000</v>
      </c>
      <c r="N2341">
        <v>282</v>
      </c>
    </row>
    <row r="2342" spans="1:14" x14ac:dyDescent="0.35">
      <c r="A2342" t="s">
        <v>2440</v>
      </c>
      <c r="B2342" t="s">
        <v>15</v>
      </c>
      <c r="C2342" t="s">
        <v>16</v>
      </c>
      <c r="D2342">
        <v>201</v>
      </c>
      <c r="E2342" t="s">
        <v>2432</v>
      </c>
      <c r="F2342">
        <v>5419</v>
      </c>
      <c r="G2342" t="s">
        <v>18</v>
      </c>
      <c r="H2342">
        <v>27</v>
      </c>
      <c r="I2342" t="s">
        <v>19</v>
      </c>
      <c r="J2342">
        <v>1994</v>
      </c>
      <c r="K2342">
        <v>1994</v>
      </c>
      <c r="L2342" t="s">
        <v>20</v>
      </c>
      <c r="M2342">
        <v>15000</v>
      </c>
      <c r="N2342">
        <v>282</v>
      </c>
    </row>
    <row r="2343" spans="1:14" x14ac:dyDescent="0.35">
      <c r="A2343" t="s">
        <v>2441</v>
      </c>
      <c r="B2343" t="s">
        <v>15</v>
      </c>
      <c r="C2343" t="s">
        <v>16</v>
      </c>
      <c r="D2343">
        <v>201</v>
      </c>
      <c r="E2343" t="s">
        <v>2432</v>
      </c>
      <c r="F2343">
        <v>5419</v>
      </c>
      <c r="G2343" t="s">
        <v>18</v>
      </c>
      <c r="H2343">
        <v>27</v>
      </c>
      <c r="I2343" t="s">
        <v>19</v>
      </c>
      <c r="J2343">
        <v>1995</v>
      </c>
      <c r="K2343">
        <v>1995</v>
      </c>
      <c r="L2343" t="s">
        <v>20</v>
      </c>
      <c r="M2343">
        <v>16667</v>
      </c>
      <c r="N2343">
        <v>282</v>
      </c>
    </row>
    <row r="2344" spans="1:14" x14ac:dyDescent="0.35">
      <c r="A2344" t="s">
        <v>2442</v>
      </c>
      <c r="B2344" t="s">
        <v>15</v>
      </c>
      <c r="C2344" t="s">
        <v>16</v>
      </c>
      <c r="D2344">
        <v>201</v>
      </c>
      <c r="E2344" t="s">
        <v>2432</v>
      </c>
      <c r="F2344">
        <v>5419</v>
      </c>
      <c r="G2344" t="s">
        <v>18</v>
      </c>
      <c r="H2344">
        <v>27</v>
      </c>
      <c r="I2344" t="s">
        <v>19</v>
      </c>
      <c r="J2344">
        <v>1996</v>
      </c>
      <c r="K2344">
        <v>1996</v>
      </c>
      <c r="L2344" t="s">
        <v>20</v>
      </c>
      <c r="M2344">
        <v>31290</v>
      </c>
      <c r="N2344">
        <v>282</v>
      </c>
    </row>
    <row r="2345" spans="1:14" x14ac:dyDescent="0.35">
      <c r="A2345" t="s">
        <v>2443</v>
      </c>
      <c r="B2345" t="s">
        <v>15</v>
      </c>
      <c r="C2345" t="s">
        <v>16</v>
      </c>
      <c r="D2345">
        <v>201</v>
      </c>
      <c r="E2345" t="s">
        <v>2432</v>
      </c>
      <c r="F2345">
        <v>5419</v>
      </c>
      <c r="G2345" t="s">
        <v>18</v>
      </c>
      <c r="H2345">
        <v>27</v>
      </c>
      <c r="I2345" t="s">
        <v>19</v>
      </c>
      <c r="J2345">
        <v>1997</v>
      </c>
      <c r="K2345">
        <v>1997</v>
      </c>
      <c r="L2345" t="s">
        <v>20</v>
      </c>
      <c r="M2345">
        <v>35937</v>
      </c>
      <c r="N2345">
        <v>282</v>
      </c>
    </row>
    <row r="2346" spans="1:14" x14ac:dyDescent="0.35">
      <c r="A2346" t="s">
        <v>2444</v>
      </c>
      <c r="B2346" t="s">
        <v>15</v>
      </c>
      <c r="C2346" t="s">
        <v>16</v>
      </c>
      <c r="D2346">
        <v>201</v>
      </c>
      <c r="E2346" t="s">
        <v>2432</v>
      </c>
      <c r="F2346">
        <v>5419</v>
      </c>
      <c r="G2346" t="s">
        <v>18</v>
      </c>
      <c r="H2346">
        <v>27</v>
      </c>
      <c r="I2346" t="s">
        <v>19</v>
      </c>
      <c r="J2346">
        <v>1998</v>
      </c>
      <c r="K2346">
        <v>1998</v>
      </c>
      <c r="L2346" t="s">
        <v>20</v>
      </c>
      <c r="M2346">
        <v>42459</v>
      </c>
      <c r="N2346">
        <v>282</v>
      </c>
    </row>
    <row r="2347" spans="1:14" x14ac:dyDescent="0.35">
      <c r="A2347" t="s">
        <v>2445</v>
      </c>
      <c r="B2347" t="s">
        <v>15</v>
      </c>
      <c r="C2347" t="s">
        <v>16</v>
      </c>
      <c r="D2347">
        <v>201</v>
      </c>
      <c r="E2347" t="s">
        <v>2432</v>
      </c>
      <c r="F2347">
        <v>5419</v>
      </c>
      <c r="G2347" t="s">
        <v>18</v>
      </c>
      <c r="H2347">
        <v>27</v>
      </c>
      <c r="I2347" t="s">
        <v>19</v>
      </c>
      <c r="J2347">
        <v>1999</v>
      </c>
      <c r="K2347">
        <v>1999</v>
      </c>
      <c r="L2347" t="s">
        <v>20</v>
      </c>
      <c r="M2347">
        <v>57143</v>
      </c>
      <c r="N2347">
        <v>282</v>
      </c>
    </row>
    <row r="2348" spans="1:14" x14ac:dyDescent="0.35">
      <c r="A2348" t="s">
        <v>2446</v>
      </c>
      <c r="B2348" t="s">
        <v>15</v>
      </c>
      <c r="C2348" t="s">
        <v>16</v>
      </c>
      <c r="D2348">
        <v>201</v>
      </c>
      <c r="E2348" t="s">
        <v>2432</v>
      </c>
      <c r="F2348">
        <v>5419</v>
      </c>
      <c r="G2348" t="s">
        <v>18</v>
      </c>
      <c r="H2348">
        <v>27</v>
      </c>
      <c r="I2348" t="s">
        <v>19</v>
      </c>
      <c r="J2348">
        <v>2000</v>
      </c>
      <c r="K2348">
        <v>2000</v>
      </c>
      <c r="L2348" t="s">
        <v>20</v>
      </c>
      <c r="M2348">
        <v>20000</v>
      </c>
      <c r="N2348">
        <v>282</v>
      </c>
    </row>
    <row r="2349" spans="1:14" x14ac:dyDescent="0.35">
      <c r="A2349" t="s">
        <v>2447</v>
      </c>
      <c r="B2349" t="s">
        <v>15</v>
      </c>
      <c r="C2349" t="s">
        <v>16</v>
      </c>
      <c r="D2349">
        <v>201</v>
      </c>
      <c r="E2349" t="s">
        <v>2432</v>
      </c>
      <c r="F2349">
        <v>5419</v>
      </c>
      <c r="G2349" t="s">
        <v>18</v>
      </c>
      <c r="H2349">
        <v>27</v>
      </c>
      <c r="I2349" t="s">
        <v>19</v>
      </c>
      <c r="J2349">
        <v>2001</v>
      </c>
      <c r="K2349">
        <v>2001</v>
      </c>
      <c r="L2349" t="s">
        <v>20</v>
      </c>
      <c r="M2349">
        <v>59701</v>
      </c>
      <c r="N2349">
        <v>282</v>
      </c>
    </row>
    <row r="2350" spans="1:14" x14ac:dyDescent="0.35">
      <c r="A2350" t="s">
        <v>2448</v>
      </c>
      <c r="B2350" t="s">
        <v>15</v>
      </c>
      <c r="C2350" t="s">
        <v>16</v>
      </c>
      <c r="D2350">
        <v>201</v>
      </c>
      <c r="E2350" t="s">
        <v>2432</v>
      </c>
      <c r="F2350">
        <v>5419</v>
      </c>
      <c r="G2350" t="s">
        <v>18</v>
      </c>
      <c r="H2350">
        <v>27</v>
      </c>
      <c r="I2350" t="s">
        <v>19</v>
      </c>
      <c r="J2350">
        <v>2002</v>
      </c>
      <c r="K2350">
        <v>2002</v>
      </c>
      <c r="L2350" t="s">
        <v>20</v>
      </c>
      <c r="M2350">
        <v>60000</v>
      </c>
      <c r="N2350">
        <v>282</v>
      </c>
    </row>
    <row r="2351" spans="1:14" x14ac:dyDescent="0.35">
      <c r="A2351" t="s">
        <v>2449</v>
      </c>
      <c r="B2351" t="s">
        <v>15</v>
      </c>
      <c r="C2351" t="s">
        <v>16</v>
      </c>
      <c r="D2351">
        <v>201</v>
      </c>
      <c r="E2351" t="s">
        <v>2432</v>
      </c>
      <c r="F2351">
        <v>5419</v>
      </c>
      <c r="G2351" t="s">
        <v>18</v>
      </c>
      <c r="H2351">
        <v>27</v>
      </c>
      <c r="I2351" t="s">
        <v>19</v>
      </c>
      <c r="J2351">
        <v>2004</v>
      </c>
      <c r="K2351">
        <v>2004</v>
      </c>
      <c r="L2351" t="s">
        <v>20</v>
      </c>
      <c r="M2351">
        <v>60000</v>
      </c>
      <c r="N2351">
        <v>282</v>
      </c>
    </row>
    <row r="2352" spans="1:14" x14ac:dyDescent="0.35">
      <c r="A2352" t="s">
        <v>2450</v>
      </c>
      <c r="B2352" t="s">
        <v>15</v>
      </c>
      <c r="C2352" t="s">
        <v>16</v>
      </c>
      <c r="D2352">
        <v>201</v>
      </c>
      <c r="E2352" t="s">
        <v>2432</v>
      </c>
      <c r="F2352">
        <v>5419</v>
      </c>
      <c r="G2352" t="s">
        <v>18</v>
      </c>
      <c r="H2352">
        <v>27</v>
      </c>
      <c r="I2352" t="s">
        <v>19</v>
      </c>
      <c r="J2352">
        <v>2005</v>
      </c>
      <c r="K2352">
        <v>2005</v>
      </c>
      <c r="L2352" t="s">
        <v>20</v>
      </c>
      <c r="M2352">
        <v>54582</v>
      </c>
      <c r="N2352">
        <v>282</v>
      </c>
    </row>
    <row r="2353" spans="1:14" x14ac:dyDescent="0.35">
      <c r="A2353" t="s">
        <v>2451</v>
      </c>
      <c r="B2353" t="s">
        <v>15</v>
      </c>
      <c r="C2353" t="s">
        <v>16</v>
      </c>
      <c r="D2353">
        <v>201</v>
      </c>
      <c r="E2353" t="s">
        <v>2432</v>
      </c>
      <c r="F2353">
        <v>5419</v>
      </c>
      <c r="G2353" t="s">
        <v>18</v>
      </c>
      <c r="H2353">
        <v>27</v>
      </c>
      <c r="I2353" t="s">
        <v>19</v>
      </c>
      <c r="J2353">
        <v>2006</v>
      </c>
      <c r="K2353">
        <v>2006</v>
      </c>
      <c r="L2353" t="s">
        <v>20</v>
      </c>
      <c r="M2353">
        <v>55057</v>
      </c>
      <c r="N2353">
        <v>282</v>
      </c>
    </row>
    <row r="2354" spans="1:14" x14ac:dyDescent="0.35">
      <c r="A2354" t="s">
        <v>2452</v>
      </c>
      <c r="B2354" t="s">
        <v>15</v>
      </c>
      <c r="C2354" t="s">
        <v>16</v>
      </c>
      <c r="D2354">
        <v>201</v>
      </c>
      <c r="E2354" t="s">
        <v>2432</v>
      </c>
      <c r="F2354">
        <v>5419</v>
      </c>
      <c r="G2354" t="s">
        <v>18</v>
      </c>
      <c r="H2354">
        <v>27</v>
      </c>
      <c r="I2354" t="s">
        <v>19</v>
      </c>
      <c r="J2354">
        <v>2007</v>
      </c>
      <c r="K2354">
        <v>2007</v>
      </c>
      <c r="L2354" t="s">
        <v>20</v>
      </c>
      <c r="M2354">
        <v>61538</v>
      </c>
      <c r="N2354">
        <v>282</v>
      </c>
    </row>
    <row r="2355" spans="1:14" x14ac:dyDescent="0.35">
      <c r="A2355" t="s">
        <v>2453</v>
      </c>
      <c r="B2355" t="s">
        <v>15</v>
      </c>
      <c r="C2355" t="s">
        <v>16</v>
      </c>
      <c r="D2355">
        <v>201</v>
      </c>
      <c r="E2355" t="s">
        <v>2432</v>
      </c>
      <c r="F2355">
        <v>5419</v>
      </c>
      <c r="G2355" t="s">
        <v>18</v>
      </c>
      <c r="H2355">
        <v>27</v>
      </c>
      <c r="I2355" t="s">
        <v>19</v>
      </c>
      <c r="J2355">
        <v>2008</v>
      </c>
      <c r="K2355">
        <v>2008</v>
      </c>
      <c r="L2355" t="s">
        <v>20</v>
      </c>
      <c r="M2355">
        <v>51579</v>
      </c>
      <c r="N2355">
        <v>282</v>
      </c>
    </row>
    <row r="2356" spans="1:14" x14ac:dyDescent="0.35">
      <c r="A2356" t="s">
        <v>2454</v>
      </c>
      <c r="B2356" t="s">
        <v>15</v>
      </c>
      <c r="C2356" t="s">
        <v>16</v>
      </c>
      <c r="D2356">
        <v>201</v>
      </c>
      <c r="E2356" t="s">
        <v>2432</v>
      </c>
      <c r="F2356">
        <v>5419</v>
      </c>
      <c r="G2356" t="s">
        <v>18</v>
      </c>
      <c r="H2356">
        <v>27</v>
      </c>
      <c r="I2356" t="s">
        <v>19</v>
      </c>
      <c r="J2356">
        <v>2009</v>
      </c>
      <c r="K2356">
        <v>2009</v>
      </c>
      <c r="L2356" t="s">
        <v>20</v>
      </c>
      <c r="M2356">
        <v>47273</v>
      </c>
      <c r="N2356">
        <v>282</v>
      </c>
    </row>
    <row r="2357" spans="1:14" x14ac:dyDescent="0.35">
      <c r="A2357" t="s">
        <v>2455</v>
      </c>
      <c r="B2357" t="s">
        <v>15</v>
      </c>
      <c r="C2357" t="s">
        <v>16</v>
      </c>
      <c r="D2357">
        <v>201</v>
      </c>
      <c r="E2357" t="s">
        <v>2432</v>
      </c>
      <c r="F2357">
        <v>5419</v>
      </c>
      <c r="G2357" t="s">
        <v>18</v>
      </c>
      <c r="H2357">
        <v>27</v>
      </c>
      <c r="I2357" t="s">
        <v>19</v>
      </c>
      <c r="J2357">
        <v>2010</v>
      </c>
      <c r="K2357">
        <v>2010</v>
      </c>
      <c r="L2357" t="s">
        <v>20</v>
      </c>
      <c r="M2357">
        <v>52000</v>
      </c>
      <c r="N2357">
        <v>282</v>
      </c>
    </row>
    <row r="2358" spans="1:14" x14ac:dyDescent="0.35">
      <c r="A2358" t="s">
        <v>2456</v>
      </c>
      <c r="B2358" t="s">
        <v>15</v>
      </c>
      <c r="C2358" t="s">
        <v>16</v>
      </c>
      <c r="D2358">
        <v>201</v>
      </c>
      <c r="E2358" t="s">
        <v>2432</v>
      </c>
      <c r="F2358">
        <v>5419</v>
      </c>
      <c r="G2358" t="s">
        <v>18</v>
      </c>
      <c r="H2358">
        <v>27</v>
      </c>
      <c r="I2358" t="s">
        <v>19</v>
      </c>
      <c r="J2358">
        <v>2011</v>
      </c>
      <c r="K2358">
        <v>2011</v>
      </c>
      <c r="L2358" t="s">
        <v>20</v>
      </c>
      <c r="M2358">
        <v>35583</v>
      </c>
      <c r="N2358">
        <v>282</v>
      </c>
    </row>
    <row r="2359" spans="1:14" x14ac:dyDescent="0.35">
      <c r="A2359" t="s">
        <v>2457</v>
      </c>
      <c r="B2359" t="s">
        <v>15</v>
      </c>
      <c r="C2359" t="s">
        <v>16</v>
      </c>
      <c r="D2359">
        <v>201</v>
      </c>
      <c r="E2359" t="s">
        <v>2432</v>
      </c>
      <c r="F2359">
        <v>5419</v>
      </c>
      <c r="G2359" t="s">
        <v>18</v>
      </c>
      <c r="H2359">
        <v>27</v>
      </c>
      <c r="I2359" t="s">
        <v>19</v>
      </c>
      <c r="J2359">
        <v>2012</v>
      </c>
      <c r="K2359">
        <v>2012</v>
      </c>
      <c r="L2359" t="s">
        <v>20</v>
      </c>
      <c r="M2359">
        <v>48691</v>
      </c>
      <c r="N2359">
        <v>282</v>
      </c>
    </row>
    <row r="2360" spans="1:14" x14ac:dyDescent="0.35">
      <c r="A2360" t="s">
        <v>2458</v>
      </c>
      <c r="B2360" t="s">
        <v>15</v>
      </c>
      <c r="C2360" t="s">
        <v>16</v>
      </c>
      <c r="D2360">
        <v>201</v>
      </c>
      <c r="E2360" t="s">
        <v>2432</v>
      </c>
      <c r="F2360">
        <v>5419</v>
      </c>
      <c r="G2360" t="s">
        <v>18</v>
      </c>
      <c r="H2360">
        <v>27</v>
      </c>
      <c r="I2360" t="s">
        <v>19</v>
      </c>
      <c r="J2360">
        <v>2013</v>
      </c>
      <c r="K2360">
        <v>2013</v>
      </c>
      <c r="L2360" t="s">
        <v>20</v>
      </c>
      <c r="M2360">
        <v>14723</v>
      </c>
      <c r="N2360">
        <v>282</v>
      </c>
    </row>
    <row r="2361" spans="1:14" x14ac:dyDescent="0.35">
      <c r="A2361" t="s">
        <v>2459</v>
      </c>
      <c r="B2361" t="s">
        <v>15</v>
      </c>
      <c r="C2361" t="s">
        <v>16</v>
      </c>
      <c r="D2361">
        <v>201</v>
      </c>
      <c r="E2361" t="s">
        <v>2432</v>
      </c>
      <c r="F2361">
        <v>5419</v>
      </c>
      <c r="G2361" t="s">
        <v>18</v>
      </c>
      <c r="H2361">
        <v>27</v>
      </c>
      <c r="I2361" t="s">
        <v>19</v>
      </c>
      <c r="J2361">
        <v>2014</v>
      </c>
      <c r="K2361">
        <v>2014</v>
      </c>
      <c r="L2361" t="s">
        <v>20</v>
      </c>
      <c r="M2361">
        <v>20000</v>
      </c>
      <c r="N2361">
        <v>282</v>
      </c>
    </row>
    <row r="2362" spans="1:14" x14ac:dyDescent="0.35">
      <c r="A2362" t="s">
        <v>2460</v>
      </c>
      <c r="B2362" t="s">
        <v>15</v>
      </c>
      <c r="C2362" t="s">
        <v>16</v>
      </c>
      <c r="D2362">
        <v>201</v>
      </c>
      <c r="E2362" t="s">
        <v>2432</v>
      </c>
      <c r="F2362">
        <v>5419</v>
      </c>
      <c r="G2362" t="s">
        <v>18</v>
      </c>
      <c r="H2362">
        <v>27</v>
      </c>
      <c r="I2362" t="s">
        <v>19</v>
      </c>
      <c r="J2362">
        <v>2015</v>
      </c>
      <c r="K2362">
        <v>2015</v>
      </c>
      <c r="L2362" t="s">
        <v>20</v>
      </c>
      <c r="M2362">
        <v>17500</v>
      </c>
      <c r="N2362">
        <v>282</v>
      </c>
    </row>
    <row r="2363" spans="1:14" x14ac:dyDescent="0.35">
      <c r="A2363" t="s">
        <v>2461</v>
      </c>
      <c r="B2363" t="s">
        <v>15</v>
      </c>
      <c r="C2363" t="s">
        <v>16</v>
      </c>
      <c r="D2363">
        <v>201</v>
      </c>
      <c r="E2363" t="s">
        <v>2432</v>
      </c>
      <c r="F2363">
        <v>5419</v>
      </c>
      <c r="G2363" t="s">
        <v>18</v>
      </c>
      <c r="H2363">
        <v>27</v>
      </c>
      <c r="I2363" t="s">
        <v>19</v>
      </c>
      <c r="J2363">
        <v>2016</v>
      </c>
      <c r="K2363">
        <v>2016</v>
      </c>
      <c r="L2363" t="s">
        <v>20</v>
      </c>
      <c r="M2363">
        <v>18333</v>
      </c>
      <c r="N2363">
        <v>282</v>
      </c>
    </row>
    <row r="2364" spans="1:14" x14ac:dyDescent="0.35">
      <c r="A2364" t="s">
        <v>2462</v>
      </c>
      <c r="B2364" t="s">
        <v>15</v>
      </c>
      <c r="C2364" t="s">
        <v>16</v>
      </c>
      <c r="D2364">
        <v>202</v>
      </c>
      <c r="E2364" t="s">
        <v>2463</v>
      </c>
      <c r="F2364">
        <v>5419</v>
      </c>
      <c r="G2364" t="s">
        <v>18</v>
      </c>
      <c r="H2364">
        <v>27</v>
      </c>
      <c r="I2364" t="s">
        <v>19</v>
      </c>
      <c r="J2364">
        <v>1985</v>
      </c>
      <c r="K2364">
        <v>1985</v>
      </c>
      <c r="L2364" t="s">
        <v>20</v>
      </c>
      <c r="M2364">
        <v>23077</v>
      </c>
      <c r="N2364">
        <v>495</v>
      </c>
    </row>
    <row r="2365" spans="1:14" x14ac:dyDescent="0.35">
      <c r="A2365" t="s">
        <v>2464</v>
      </c>
      <c r="B2365" t="s">
        <v>15</v>
      </c>
      <c r="C2365" t="s">
        <v>16</v>
      </c>
      <c r="D2365">
        <v>202</v>
      </c>
      <c r="E2365" t="s">
        <v>2463</v>
      </c>
      <c r="F2365">
        <v>5419</v>
      </c>
      <c r="G2365" t="s">
        <v>18</v>
      </c>
      <c r="H2365">
        <v>27</v>
      </c>
      <c r="I2365" t="s">
        <v>19</v>
      </c>
      <c r="J2365">
        <v>1986</v>
      </c>
      <c r="K2365">
        <v>1986</v>
      </c>
      <c r="L2365" t="s">
        <v>20</v>
      </c>
      <c r="M2365">
        <v>23077</v>
      </c>
      <c r="N2365">
        <v>495</v>
      </c>
    </row>
    <row r="2366" spans="1:14" x14ac:dyDescent="0.35">
      <c r="A2366" t="s">
        <v>2465</v>
      </c>
      <c r="B2366" t="s">
        <v>15</v>
      </c>
      <c r="C2366" t="s">
        <v>16</v>
      </c>
      <c r="D2366">
        <v>202</v>
      </c>
      <c r="E2366" t="s">
        <v>2463</v>
      </c>
      <c r="F2366">
        <v>5419</v>
      </c>
      <c r="G2366" t="s">
        <v>18</v>
      </c>
      <c r="H2366">
        <v>27</v>
      </c>
      <c r="I2366" t="s">
        <v>19</v>
      </c>
      <c r="J2366">
        <v>1987</v>
      </c>
      <c r="K2366">
        <v>1987</v>
      </c>
      <c r="L2366" t="s">
        <v>20</v>
      </c>
      <c r="M2366">
        <v>23077</v>
      </c>
      <c r="N2366">
        <v>495</v>
      </c>
    </row>
    <row r="2367" spans="1:14" x14ac:dyDescent="0.35">
      <c r="A2367" t="s">
        <v>2466</v>
      </c>
      <c r="B2367" t="s">
        <v>15</v>
      </c>
      <c r="C2367" t="s">
        <v>16</v>
      </c>
      <c r="D2367">
        <v>202</v>
      </c>
      <c r="E2367" t="s">
        <v>2463</v>
      </c>
      <c r="F2367">
        <v>5419</v>
      </c>
      <c r="G2367" t="s">
        <v>18</v>
      </c>
      <c r="H2367">
        <v>27</v>
      </c>
      <c r="I2367" t="s">
        <v>19</v>
      </c>
      <c r="J2367">
        <v>1989</v>
      </c>
      <c r="K2367">
        <v>1989</v>
      </c>
      <c r="L2367" t="s">
        <v>20</v>
      </c>
      <c r="M2367">
        <v>23077</v>
      </c>
      <c r="N2367">
        <v>495</v>
      </c>
    </row>
    <row r="2368" spans="1:14" x14ac:dyDescent="0.35">
      <c r="A2368" t="s">
        <v>2467</v>
      </c>
      <c r="B2368" t="s">
        <v>15</v>
      </c>
      <c r="C2368" t="s">
        <v>16</v>
      </c>
      <c r="D2368">
        <v>202</v>
      </c>
      <c r="E2368" t="s">
        <v>2463</v>
      </c>
      <c r="F2368">
        <v>5419</v>
      </c>
      <c r="G2368" t="s">
        <v>18</v>
      </c>
      <c r="H2368">
        <v>27</v>
      </c>
      <c r="I2368" t="s">
        <v>19</v>
      </c>
      <c r="J2368">
        <v>1990</v>
      </c>
      <c r="K2368">
        <v>1990</v>
      </c>
      <c r="L2368" t="s">
        <v>20</v>
      </c>
      <c r="M2368">
        <v>18976</v>
      </c>
      <c r="N2368">
        <v>495</v>
      </c>
    </row>
    <row r="2369" spans="1:14" x14ac:dyDescent="0.35">
      <c r="A2369" t="s">
        <v>2468</v>
      </c>
      <c r="B2369" t="s">
        <v>15</v>
      </c>
      <c r="C2369" t="s">
        <v>16</v>
      </c>
      <c r="D2369">
        <v>202</v>
      </c>
      <c r="E2369" t="s">
        <v>2463</v>
      </c>
      <c r="F2369">
        <v>5419</v>
      </c>
      <c r="G2369" t="s">
        <v>18</v>
      </c>
      <c r="H2369">
        <v>27</v>
      </c>
      <c r="I2369" t="s">
        <v>19</v>
      </c>
      <c r="J2369">
        <v>1991</v>
      </c>
      <c r="K2369">
        <v>1991</v>
      </c>
      <c r="L2369" t="s">
        <v>20</v>
      </c>
      <c r="M2369">
        <v>21297</v>
      </c>
      <c r="N2369">
        <v>495</v>
      </c>
    </row>
    <row r="2370" spans="1:14" x14ac:dyDescent="0.35">
      <c r="A2370" t="s">
        <v>2469</v>
      </c>
      <c r="B2370" t="s">
        <v>15</v>
      </c>
      <c r="C2370" t="s">
        <v>16</v>
      </c>
      <c r="D2370">
        <v>202</v>
      </c>
      <c r="E2370" t="s">
        <v>2463</v>
      </c>
      <c r="F2370">
        <v>5419</v>
      </c>
      <c r="G2370" t="s">
        <v>18</v>
      </c>
      <c r="H2370">
        <v>27</v>
      </c>
      <c r="I2370" t="s">
        <v>19</v>
      </c>
      <c r="J2370">
        <v>1992</v>
      </c>
      <c r="K2370">
        <v>1992</v>
      </c>
      <c r="L2370" t="s">
        <v>20</v>
      </c>
      <c r="M2370">
        <v>21503</v>
      </c>
      <c r="N2370">
        <v>495</v>
      </c>
    </row>
    <row r="2371" spans="1:14" x14ac:dyDescent="0.35">
      <c r="A2371" t="s">
        <v>2470</v>
      </c>
      <c r="B2371" t="s">
        <v>15</v>
      </c>
      <c r="C2371" t="s">
        <v>16</v>
      </c>
      <c r="D2371">
        <v>202</v>
      </c>
      <c r="E2371" t="s">
        <v>2463</v>
      </c>
      <c r="F2371">
        <v>5419</v>
      </c>
      <c r="G2371" t="s">
        <v>18</v>
      </c>
      <c r="H2371">
        <v>27</v>
      </c>
      <c r="I2371" t="s">
        <v>19</v>
      </c>
      <c r="J2371">
        <v>1993</v>
      </c>
      <c r="K2371">
        <v>1993</v>
      </c>
      <c r="L2371" t="s">
        <v>20</v>
      </c>
      <c r="M2371">
        <v>21710</v>
      </c>
      <c r="N2371">
        <v>495</v>
      </c>
    </row>
    <row r="2372" spans="1:14" x14ac:dyDescent="0.35">
      <c r="A2372" t="s">
        <v>2471</v>
      </c>
      <c r="B2372" t="s">
        <v>15</v>
      </c>
      <c r="C2372" t="s">
        <v>16</v>
      </c>
      <c r="D2372">
        <v>202</v>
      </c>
      <c r="E2372" t="s">
        <v>2463</v>
      </c>
      <c r="F2372">
        <v>5419</v>
      </c>
      <c r="G2372" t="s">
        <v>18</v>
      </c>
      <c r="H2372">
        <v>27</v>
      </c>
      <c r="I2372" t="s">
        <v>19</v>
      </c>
      <c r="J2372">
        <v>1994</v>
      </c>
      <c r="K2372">
        <v>1994</v>
      </c>
      <c r="L2372" t="s">
        <v>20</v>
      </c>
      <c r="M2372">
        <v>21917</v>
      </c>
      <c r="N2372">
        <v>495</v>
      </c>
    </row>
    <row r="2373" spans="1:14" x14ac:dyDescent="0.35">
      <c r="A2373" t="s">
        <v>2472</v>
      </c>
      <c r="B2373" t="s">
        <v>15</v>
      </c>
      <c r="C2373" t="s">
        <v>16</v>
      </c>
      <c r="D2373">
        <v>202</v>
      </c>
      <c r="E2373" t="s">
        <v>2463</v>
      </c>
      <c r="F2373">
        <v>5419</v>
      </c>
      <c r="G2373" t="s">
        <v>18</v>
      </c>
      <c r="H2373">
        <v>27</v>
      </c>
      <c r="I2373" t="s">
        <v>19</v>
      </c>
      <c r="J2373">
        <v>1995</v>
      </c>
      <c r="K2373">
        <v>1995</v>
      </c>
      <c r="L2373" t="s">
        <v>20</v>
      </c>
      <c r="M2373">
        <v>22124</v>
      </c>
      <c r="N2373">
        <v>495</v>
      </c>
    </row>
    <row r="2374" spans="1:14" x14ac:dyDescent="0.35">
      <c r="A2374" t="s">
        <v>2473</v>
      </c>
      <c r="B2374" t="s">
        <v>15</v>
      </c>
      <c r="C2374" t="s">
        <v>16</v>
      </c>
      <c r="D2374">
        <v>202</v>
      </c>
      <c r="E2374" t="s">
        <v>2463</v>
      </c>
      <c r="F2374">
        <v>5419</v>
      </c>
      <c r="G2374" t="s">
        <v>18</v>
      </c>
      <c r="H2374">
        <v>27</v>
      </c>
      <c r="I2374" t="s">
        <v>19</v>
      </c>
      <c r="J2374">
        <v>1996</v>
      </c>
      <c r="K2374">
        <v>1996</v>
      </c>
      <c r="L2374" t="s">
        <v>20</v>
      </c>
      <c r="M2374">
        <v>22331</v>
      </c>
      <c r="N2374">
        <v>495</v>
      </c>
    </row>
    <row r="2375" spans="1:14" x14ac:dyDescent="0.35">
      <c r="A2375" t="s">
        <v>2474</v>
      </c>
      <c r="B2375" t="s">
        <v>15</v>
      </c>
      <c r="C2375" t="s">
        <v>16</v>
      </c>
      <c r="D2375">
        <v>202</v>
      </c>
      <c r="E2375" t="s">
        <v>2463</v>
      </c>
      <c r="F2375">
        <v>5419</v>
      </c>
      <c r="G2375" t="s">
        <v>18</v>
      </c>
      <c r="H2375">
        <v>27</v>
      </c>
      <c r="I2375" t="s">
        <v>19</v>
      </c>
      <c r="J2375">
        <v>1997</v>
      </c>
      <c r="K2375">
        <v>1997</v>
      </c>
      <c r="L2375" t="s">
        <v>20</v>
      </c>
      <c r="M2375">
        <v>22537</v>
      </c>
      <c r="N2375">
        <v>495</v>
      </c>
    </row>
    <row r="2376" spans="1:14" x14ac:dyDescent="0.35">
      <c r="A2376" t="s">
        <v>2475</v>
      </c>
      <c r="B2376" t="s">
        <v>15</v>
      </c>
      <c r="C2376" t="s">
        <v>16</v>
      </c>
      <c r="D2376">
        <v>202</v>
      </c>
      <c r="E2376" t="s">
        <v>2463</v>
      </c>
      <c r="F2376">
        <v>5419</v>
      </c>
      <c r="G2376" t="s">
        <v>18</v>
      </c>
      <c r="H2376">
        <v>27</v>
      </c>
      <c r="I2376" t="s">
        <v>19</v>
      </c>
      <c r="J2376">
        <v>1998</v>
      </c>
      <c r="K2376">
        <v>1998</v>
      </c>
      <c r="L2376" t="s">
        <v>20</v>
      </c>
      <c r="M2376">
        <v>22744</v>
      </c>
      <c r="N2376">
        <v>495</v>
      </c>
    </row>
    <row r="2377" spans="1:14" x14ac:dyDescent="0.35">
      <c r="A2377" t="s">
        <v>2476</v>
      </c>
      <c r="B2377" t="s">
        <v>15</v>
      </c>
      <c r="C2377" t="s">
        <v>16</v>
      </c>
      <c r="D2377">
        <v>202</v>
      </c>
      <c r="E2377" t="s">
        <v>2463</v>
      </c>
      <c r="F2377">
        <v>5419</v>
      </c>
      <c r="G2377" t="s">
        <v>18</v>
      </c>
      <c r="H2377">
        <v>27</v>
      </c>
      <c r="I2377" t="s">
        <v>19</v>
      </c>
      <c r="J2377">
        <v>1999</v>
      </c>
      <c r="K2377">
        <v>1999</v>
      </c>
      <c r="L2377" t="s">
        <v>20</v>
      </c>
      <c r="M2377">
        <v>22949</v>
      </c>
      <c r="N2377">
        <v>495</v>
      </c>
    </row>
    <row r="2378" spans="1:14" x14ac:dyDescent="0.35">
      <c r="A2378" t="s">
        <v>2477</v>
      </c>
      <c r="B2378" t="s">
        <v>15</v>
      </c>
      <c r="C2378" t="s">
        <v>16</v>
      </c>
      <c r="D2378">
        <v>202</v>
      </c>
      <c r="E2378" t="s">
        <v>2463</v>
      </c>
      <c r="F2378">
        <v>5419</v>
      </c>
      <c r="G2378" t="s">
        <v>18</v>
      </c>
      <c r="H2378">
        <v>27</v>
      </c>
      <c r="I2378" t="s">
        <v>19</v>
      </c>
      <c r="J2378">
        <v>2000</v>
      </c>
      <c r="K2378">
        <v>2000</v>
      </c>
      <c r="L2378" t="s">
        <v>20</v>
      </c>
      <c r="M2378">
        <v>22962</v>
      </c>
      <c r="N2378">
        <v>495</v>
      </c>
    </row>
    <row r="2379" spans="1:14" x14ac:dyDescent="0.35">
      <c r="A2379" t="s">
        <v>2478</v>
      </c>
      <c r="B2379" t="s">
        <v>15</v>
      </c>
      <c r="C2379" t="s">
        <v>16</v>
      </c>
      <c r="D2379">
        <v>202</v>
      </c>
      <c r="E2379" t="s">
        <v>2463</v>
      </c>
      <c r="F2379">
        <v>5419</v>
      </c>
      <c r="G2379" t="s">
        <v>18</v>
      </c>
      <c r="H2379">
        <v>27</v>
      </c>
      <c r="I2379" t="s">
        <v>19</v>
      </c>
      <c r="J2379">
        <v>2001</v>
      </c>
      <c r="K2379">
        <v>2001</v>
      </c>
      <c r="L2379" t="s">
        <v>20</v>
      </c>
      <c r="M2379">
        <v>22857</v>
      </c>
      <c r="N2379">
        <v>495</v>
      </c>
    </row>
    <row r="2380" spans="1:14" x14ac:dyDescent="0.35">
      <c r="A2380" t="s">
        <v>2479</v>
      </c>
      <c r="B2380" t="s">
        <v>15</v>
      </c>
      <c r="C2380" t="s">
        <v>16</v>
      </c>
      <c r="D2380">
        <v>202</v>
      </c>
      <c r="E2380" t="s">
        <v>2463</v>
      </c>
      <c r="F2380">
        <v>5419</v>
      </c>
      <c r="G2380" t="s">
        <v>18</v>
      </c>
      <c r="H2380">
        <v>27</v>
      </c>
      <c r="I2380" t="s">
        <v>19</v>
      </c>
      <c r="J2380">
        <v>2002</v>
      </c>
      <c r="K2380">
        <v>2002</v>
      </c>
      <c r="L2380" t="s">
        <v>20</v>
      </c>
      <c r="M2380">
        <v>23517</v>
      </c>
      <c r="N2380">
        <v>495</v>
      </c>
    </row>
    <row r="2381" spans="1:14" x14ac:dyDescent="0.35">
      <c r="A2381" t="s">
        <v>2480</v>
      </c>
      <c r="B2381" t="s">
        <v>15</v>
      </c>
      <c r="C2381" t="s">
        <v>16</v>
      </c>
      <c r="D2381">
        <v>202</v>
      </c>
      <c r="E2381" t="s">
        <v>2463</v>
      </c>
      <c r="F2381">
        <v>5419</v>
      </c>
      <c r="G2381" t="s">
        <v>18</v>
      </c>
      <c r="H2381">
        <v>27</v>
      </c>
      <c r="I2381" t="s">
        <v>19</v>
      </c>
      <c r="J2381">
        <v>2004</v>
      </c>
      <c r="K2381">
        <v>2004</v>
      </c>
      <c r="L2381" t="s">
        <v>20</v>
      </c>
      <c r="M2381">
        <v>24139</v>
      </c>
      <c r="N2381">
        <v>495</v>
      </c>
    </row>
    <row r="2382" spans="1:14" x14ac:dyDescent="0.35">
      <c r="A2382" t="s">
        <v>2481</v>
      </c>
      <c r="B2382" t="s">
        <v>15</v>
      </c>
      <c r="C2382" t="s">
        <v>16</v>
      </c>
      <c r="D2382">
        <v>202</v>
      </c>
      <c r="E2382" t="s">
        <v>2463</v>
      </c>
      <c r="F2382">
        <v>5419</v>
      </c>
      <c r="G2382" t="s">
        <v>18</v>
      </c>
      <c r="H2382">
        <v>27</v>
      </c>
      <c r="I2382" t="s">
        <v>19</v>
      </c>
      <c r="J2382">
        <v>2005</v>
      </c>
      <c r="K2382">
        <v>2005</v>
      </c>
      <c r="L2382" t="s">
        <v>20</v>
      </c>
      <c r="M2382">
        <v>24452</v>
      </c>
      <c r="N2382">
        <v>495</v>
      </c>
    </row>
    <row r="2383" spans="1:14" x14ac:dyDescent="0.35">
      <c r="A2383" t="s">
        <v>2482</v>
      </c>
      <c r="B2383" t="s">
        <v>15</v>
      </c>
      <c r="C2383" t="s">
        <v>16</v>
      </c>
      <c r="D2383">
        <v>202</v>
      </c>
      <c r="E2383" t="s">
        <v>2463</v>
      </c>
      <c r="F2383">
        <v>5419</v>
      </c>
      <c r="G2383" t="s">
        <v>18</v>
      </c>
      <c r="H2383">
        <v>27</v>
      </c>
      <c r="I2383" t="s">
        <v>19</v>
      </c>
      <c r="J2383">
        <v>2006</v>
      </c>
      <c r="K2383">
        <v>2006</v>
      </c>
      <c r="L2383" t="s">
        <v>20</v>
      </c>
      <c r="M2383">
        <v>24755</v>
      </c>
      <c r="N2383">
        <v>495</v>
      </c>
    </row>
    <row r="2384" spans="1:14" x14ac:dyDescent="0.35">
      <c r="A2384" t="s">
        <v>2483</v>
      </c>
      <c r="B2384" t="s">
        <v>15</v>
      </c>
      <c r="C2384" t="s">
        <v>16</v>
      </c>
      <c r="D2384">
        <v>202</v>
      </c>
      <c r="E2384" t="s">
        <v>2463</v>
      </c>
      <c r="F2384">
        <v>5419</v>
      </c>
      <c r="G2384" t="s">
        <v>18</v>
      </c>
      <c r="H2384">
        <v>27</v>
      </c>
      <c r="I2384" t="s">
        <v>19</v>
      </c>
      <c r="J2384">
        <v>2007</v>
      </c>
      <c r="K2384">
        <v>2007</v>
      </c>
      <c r="L2384" t="s">
        <v>20</v>
      </c>
      <c r="M2384">
        <v>25048</v>
      </c>
      <c r="N2384">
        <v>495</v>
      </c>
    </row>
    <row r="2385" spans="1:14" x14ac:dyDescent="0.35">
      <c r="A2385" t="s">
        <v>2484</v>
      </c>
      <c r="B2385" t="s">
        <v>15</v>
      </c>
      <c r="C2385" t="s">
        <v>16</v>
      </c>
      <c r="D2385">
        <v>202</v>
      </c>
      <c r="E2385" t="s">
        <v>2463</v>
      </c>
      <c r="F2385">
        <v>5419</v>
      </c>
      <c r="G2385" t="s">
        <v>18</v>
      </c>
      <c r="H2385">
        <v>27</v>
      </c>
      <c r="I2385" t="s">
        <v>19</v>
      </c>
      <c r="J2385">
        <v>2008</v>
      </c>
      <c r="K2385">
        <v>2008</v>
      </c>
      <c r="L2385" t="s">
        <v>20</v>
      </c>
      <c r="M2385">
        <v>25334</v>
      </c>
      <c r="N2385">
        <v>495</v>
      </c>
    </row>
    <row r="2386" spans="1:14" x14ac:dyDescent="0.35">
      <c r="A2386" t="s">
        <v>2485</v>
      </c>
      <c r="B2386" t="s">
        <v>15</v>
      </c>
      <c r="C2386" t="s">
        <v>16</v>
      </c>
      <c r="D2386">
        <v>202</v>
      </c>
      <c r="E2386" t="s">
        <v>2463</v>
      </c>
      <c r="F2386">
        <v>5419</v>
      </c>
      <c r="G2386" t="s">
        <v>18</v>
      </c>
      <c r="H2386">
        <v>27</v>
      </c>
      <c r="I2386" t="s">
        <v>19</v>
      </c>
      <c r="J2386">
        <v>2009</v>
      </c>
      <c r="K2386">
        <v>2009</v>
      </c>
      <c r="L2386" t="s">
        <v>20</v>
      </c>
      <c r="M2386">
        <v>25612</v>
      </c>
      <c r="N2386">
        <v>495</v>
      </c>
    </row>
    <row r="2387" spans="1:14" x14ac:dyDescent="0.35">
      <c r="A2387" t="s">
        <v>2486</v>
      </c>
      <c r="B2387" t="s">
        <v>15</v>
      </c>
      <c r="C2387" t="s">
        <v>16</v>
      </c>
      <c r="D2387">
        <v>202</v>
      </c>
      <c r="E2387" t="s">
        <v>2463</v>
      </c>
      <c r="F2387">
        <v>5419</v>
      </c>
      <c r="G2387" t="s">
        <v>18</v>
      </c>
      <c r="H2387">
        <v>27</v>
      </c>
      <c r="I2387" t="s">
        <v>19</v>
      </c>
      <c r="J2387">
        <v>2010</v>
      </c>
      <c r="K2387">
        <v>2010</v>
      </c>
      <c r="L2387" t="s">
        <v>20</v>
      </c>
      <c r="M2387">
        <v>25885</v>
      </c>
      <c r="N2387">
        <v>495</v>
      </c>
    </row>
    <row r="2388" spans="1:14" x14ac:dyDescent="0.35">
      <c r="A2388" t="s">
        <v>2487</v>
      </c>
      <c r="B2388" t="s">
        <v>15</v>
      </c>
      <c r="C2388" t="s">
        <v>16</v>
      </c>
      <c r="D2388">
        <v>202</v>
      </c>
      <c r="E2388" t="s">
        <v>2463</v>
      </c>
      <c r="F2388">
        <v>5419</v>
      </c>
      <c r="G2388" t="s">
        <v>18</v>
      </c>
      <c r="H2388">
        <v>27</v>
      </c>
      <c r="I2388" t="s">
        <v>19</v>
      </c>
      <c r="J2388">
        <v>2011</v>
      </c>
      <c r="K2388">
        <v>2011</v>
      </c>
      <c r="L2388" t="s">
        <v>20</v>
      </c>
      <c r="M2388">
        <v>26151</v>
      </c>
      <c r="N2388">
        <v>495</v>
      </c>
    </row>
    <row r="2389" spans="1:14" x14ac:dyDescent="0.35">
      <c r="A2389" t="s">
        <v>2488</v>
      </c>
      <c r="B2389" t="s">
        <v>15</v>
      </c>
      <c r="C2389" t="s">
        <v>16</v>
      </c>
      <c r="D2389">
        <v>202</v>
      </c>
      <c r="E2389" t="s">
        <v>2463</v>
      </c>
      <c r="F2389">
        <v>5419</v>
      </c>
      <c r="G2389" t="s">
        <v>18</v>
      </c>
      <c r="H2389">
        <v>27</v>
      </c>
      <c r="I2389" t="s">
        <v>19</v>
      </c>
      <c r="J2389">
        <v>2012</v>
      </c>
      <c r="K2389">
        <v>2012</v>
      </c>
      <c r="L2389" t="s">
        <v>20</v>
      </c>
      <c r="M2389">
        <v>27273</v>
      </c>
      <c r="N2389">
        <v>495</v>
      </c>
    </row>
    <row r="2390" spans="1:14" x14ac:dyDescent="0.35">
      <c r="A2390" t="s">
        <v>2489</v>
      </c>
      <c r="B2390" t="s">
        <v>15</v>
      </c>
      <c r="C2390" t="s">
        <v>16</v>
      </c>
      <c r="D2390">
        <v>202</v>
      </c>
      <c r="E2390" t="s">
        <v>2463</v>
      </c>
      <c r="F2390">
        <v>5419</v>
      </c>
      <c r="G2390" t="s">
        <v>18</v>
      </c>
      <c r="H2390">
        <v>27</v>
      </c>
      <c r="I2390" t="s">
        <v>19</v>
      </c>
      <c r="J2390">
        <v>2013</v>
      </c>
      <c r="K2390">
        <v>2013</v>
      </c>
      <c r="L2390" t="s">
        <v>20</v>
      </c>
      <c r="M2390">
        <v>26087</v>
      </c>
      <c r="N2390">
        <v>495</v>
      </c>
    </row>
    <row r="2391" spans="1:14" x14ac:dyDescent="0.35">
      <c r="A2391" t="s">
        <v>2490</v>
      </c>
      <c r="B2391" t="s">
        <v>15</v>
      </c>
      <c r="C2391" t="s">
        <v>16</v>
      </c>
      <c r="D2391">
        <v>202</v>
      </c>
      <c r="E2391" t="s">
        <v>2463</v>
      </c>
      <c r="F2391">
        <v>5419</v>
      </c>
      <c r="G2391" t="s">
        <v>18</v>
      </c>
      <c r="H2391">
        <v>27</v>
      </c>
      <c r="I2391" t="s">
        <v>19</v>
      </c>
      <c r="J2391">
        <v>2014</v>
      </c>
      <c r="K2391">
        <v>2014</v>
      </c>
      <c r="L2391" t="s">
        <v>20</v>
      </c>
      <c r="M2391">
        <v>26702</v>
      </c>
      <c r="N2391">
        <v>495</v>
      </c>
    </row>
    <row r="2392" spans="1:14" x14ac:dyDescent="0.35">
      <c r="A2392" t="s">
        <v>2491</v>
      </c>
      <c r="B2392" t="s">
        <v>15</v>
      </c>
      <c r="C2392" t="s">
        <v>16</v>
      </c>
      <c r="D2392">
        <v>202</v>
      </c>
      <c r="E2392" t="s">
        <v>2463</v>
      </c>
      <c r="F2392">
        <v>5419</v>
      </c>
      <c r="G2392" t="s">
        <v>18</v>
      </c>
      <c r="H2392">
        <v>27</v>
      </c>
      <c r="I2392" t="s">
        <v>19</v>
      </c>
      <c r="J2392">
        <v>2015</v>
      </c>
      <c r="K2392">
        <v>2015</v>
      </c>
      <c r="L2392" t="s">
        <v>20</v>
      </c>
      <c r="M2392">
        <v>26949</v>
      </c>
      <c r="N2392">
        <v>495</v>
      </c>
    </row>
    <row r="2393" spans="1:14" x14ac:dyDescent="0.35">
      <c r="A2393" t="s">
        <v>2492</v>
      </c>
      <c r="B2393" t="s">
        <v>15</v>
      </c>
      <c r="C2393" t="s">
        <v>16</v>
      </c>
      <c r="D2393">
        <v>202</v>
      </c>
      <c r="E2393" t="s">
        <v>2463</v>
      </c>
      <c r="F2393">
        <v>5419</v>
      </c>
      <c r="G2393" t="s">
        <v>18</v>
      </c>
      <c r="H2393">
        <v>27</v>
      </c>
      <c r="I2393" t="s">
        <v>19</v>
      </c>
      <c r="J2393">
        <v>2016</v>
      </c>
      <c r="K2393">
        <v>2016</v>
      </c>
      <c r="L2393" t="s">
        <v>20</v>
      </c>
      <c r="M2393">
        <v>27212</v>
      </c>
      <c r="N2393">
        <v>495</v>
      </c>
    </row>
    <row r="2394" spans="1:14" x14ac:dyDescent="0.35">
      <c r="A2394" t="s">
        <v>2493</v>
      </c>
      <c r="B2394" t="s">
        <v>15</v>
      </c>
      <c r="C2394" t="s">
        <v>16</v>
      </c>
      <c r="D2394">
        <v>203</v>
      </c>
      <c r="E2394" t="s">
        <v>2494</v>
      </c>
      <c r="F2394">
        <v>5419</v>
      </c>
      <c r="G2394" t="s">
        <v>18</v>
      </c>
      <c r="H2394">
        <v>27</v>
      </c>
      <c r="I2394" t="s">
        <v>19</v>
      </c>
      <c r="J2394">
        <v>1985</v>
      </c>
      <c r="K2394">
        <v>1985</v>
      </c>
      <c r="L2394" t="s">
        <v>20</v>
      </c>
      <c r="M2394">
        <v>61980</v>
      </c>
      <c r="N2394">
        <v>636</v>
      </c>
    </row>
    <row r="2395" spans="1:14" x14ac:dyDescent="0.35">
      <c r="A2395" t="s">
        <v>2495</v>
      </c>
      <c r="B2395" t="s">
        <v>15</v>
      </c>
      <c r="C2395" t="s">
        <v>16</v>
      </c>
      <c r="D2395">
        <v>203</v>
      </c>
      <c r="E2395" t="s">
        <v>2494</v>
      </c>
      <c r="F2395">
        <v>5419</v>
      </c>
      <c r="G2395" t="s">
        <v>18</v>
      </c>
      <c r="H2395">
        <v>27</v>
      </c>
      <c r="I2395" t="s">
        <v>19</v>
      </c>
      <c r="J2395">
        <v>1986</v>
      </c>
      <c r="K2395">
        <v>1986</v>
      </c>
      <c r="L2395" t="s">
        <v>20</v>
      </c>
      <c r="M2395">
        <v>63245</v>
      </c>
      <c r="N2395">
        <v>636</v>
      </c>
    </row>
    <row r="2396" spans="1:14" x14ac:dyDescent="0.35">
      <c r="A2396" t="s">
        <v>2496</v>
      </c>
      <c r="B2396" t="s">
        <v>15</v>
      </c>
      <c r="C2396" t="s">
        <v>16</v>
      </c>
      <c r="D2396">
        <v>203</v>
      </c>
      <c r="E2396" t="s">
        <v>2494</v>
      </c>
      <c r="F2396">
        <v>5419</v>
      </c>
      <c r="G2396" t="s">
        <v>18</v>
      </c>
      <c r="H2396">
        <v>27</v>
      </c>
      <c r="I2396" t="s">
        <v>19</v>
      </c>
      <c r="J2396">
        <v>1987</v>
      </c>
      <c r="K2396">
        <v>1987</v>
      </c>
      <c r="L2396" t="s">
        <v>20</v>
      </c>
      <c r="M2396">
        <v>63284</v>
      </c>
      <c r="N2396">
        <v>636</v>
      </c>
    </row>
    <row r="2397" spans="1:14" x14ac:dyDescent="0.35">
      <c r="A2397" t="s">
        <v>2497</v>
      </c>
      <c r="B2397" t="s">
        <v>15</v>
      </c>
      <c r="C2397" t="s">
        <v>16</v>
      </c>
      <c r="D2397">
        <v>203</v>
      </c>
      <c r="E2397" t="s">
        <v>2494</v>
      </c>
      <c r="F2397">
        <v>5419</v>
      </c>
      <c r="G2397" t="s">
        <v>18</v>
      </c>
      <c r="H2397">
        <v>27</v>
      </c>
      <c r="I2397" t="s">
        <v>19</v>
      </c>
      <c r="J2397">
        <v>1989</v>
      </c>
      <c r="K2397">
        <v>1989</v>
      </c>
      <c r="L2397" t="s">
        <v>20</v>
      </c>
      <c r="M2397">
        <v>58410</v>
      </c>
      <c r="N2397">
        <v>636</v>
      </c>
    </row>
    <row r="2398" spans="1:14" x14ac:dyDescent="0.35">
      <c r="A2398" t="s">
        <v>2498</v>
      </c>
      <c r="B2398" t="s">
        <v>15</v>
      </c>
      <c r="C2398" t="s">
        <v>16</v>
      </c>
      <c r="D2398">
        <v>203</v>
      </c>
      <c r="E2398" t="s">
        <v>2494</v>
      </c>
      <c r="F2398">
        <v>5419</v>
      </c>
      <c r="G2398" t="s">
        <v>18</v>
      </c>
      <c r="H2398">
        <v>27</v>
      </c>
      <c r="I2398" t="s">
        <v>19</v>
      </c>
      <c r="J2398">
        <v>1990</v>
      </c>
      <c r="K2398">
        <v>1990</v>
      </c>
      <c r="L2398" t="s">
        <v>20</v>
      </c>
      <c r="M2398">
        <v>63209</v>
      </c>
      <c r="N2398">
        <v>636</v>
      </c>
    </row>
    <row r="2399" spans="1:14" x14ac:dyDescent="0.35">
      <c r="A2399" t="s">
        <v>2499</v>
      </c>
      <c r="B2399" t="s">
        <v>15</v>
      </c>
      <c r="C2399" t="s">
        <v>16</v>
      </c>
      <c r="D2399">
        <v>203</v>
      </c>
      <c r="E2399" t="s">
        <v>2494</v>
      </c>
      <c r="F2399">
        <v>5419</v>
      </c>
      <c r="G2399" t="s">
        <v>18</v>
      </c>
      <c r="H2399">
        <v>27</v>
      </c>
      <c r="I2399" t="s">
        <v>19</v>
      </c>
      <c r="J2399">
        <v>1991</v>
      </c>
      <c r="K2399">
        <v>1991</v>
      </c>
      <c r="L2399" t="s">
        <v>20</v>
      </c>
      <c r="M2399">
        <v>62082</v>
      </c>
      <c r="N2399">
        <v>636</v>
      </c>
    </row>
    <row r="2400" spans="1:14" x14ac:dyDescent="0.35">
      <c r="A2400" t="s">
        <v>2500</v>
      </c>
      <c r="B2400" t="s">
        <v>15</v>
      </c>
      <c r="C2400" t="s">
        <v>16</v>
      </c>
      <c r="D2400">
        <v>203</v>
      </c>
      <c r="E2400" t="s">
        <v>2494</v>
      </c>
      <c r="F2400">
        <v>5419</v>
      </c>
      <c r="G2400" t="s">
        <v>18</v>
      </c>
      <c r="H2400">
        <v>27</v>
      </c>
      <c r="I2400" t="s">
        <v>19</v>
      </c>
      <c r="J2400">
        <v>1992</v>
      </c>
      <c r="K2400">
        <v>1992</v>
      </c>
      <c r="L2400" t="s">
        <v>20</v>
      </c>
      <c r="M2400">
        <v>64481</v>
      </c>
      <c r="N2400">
        <v>636</v>
      </c>
    </row>
    <row r="2401" spans="1:14" x14ac:dyDescent="0.35">
      <c r="A2401" t="s">
        <v>2501</v>
      </c>
      <c r="B2401" t="s">
        <v>15</v>
      </c>
      <c r="C2401" t="s">
        <v>16</v>
      </c>
      <c r="D2401">
        <v>203</v>
      </c>
      <c r="E2401" t="s">
        <v>2494</v>
      </c>
      <c r="F2401">
        <v>5419</v>
      </c>
      <c r="G2401" t="s">
        <v>18</v>
      </c>
      <c r="H2401">
        <v>27</v>
      </c>
      <c r="I2401" t="s">
        <v>19</v>
      </c>
      <c r="J2401">
        <v>1993</v>
      </c>
      <c r="K2401">
        <v>1993</v>
      </c>
      <c r="L2401" t="s">
        <v>20</v>
      </c>
      <c r="M2401">
        <v>66694</v>
      </c>
      <c r="N2401">
        <v>636</v>
      </c>
    </row>
    <row r="2402" spans="1:14" x14ac:dyDescent="0.35">
      <c r="A2402" t="s">
        <v>2502</v>
      </c>
      <c r="B2402" t="s">
        <v>15</v>
      </c>
      <c r="C2402" t="s">
        <v>16</v>
      </c>
      <c r="D2402">
        <v>203</v>
      </c>
      <c r="E2402" t="s">
        <v>2494</v>
      </c>
      <c r="F2402">
        <v>5419</v>
      </c>
      <c r="G2402" t="s">
        <v>18</v>
      </c>
      <c r="H2402">
        <v>27</v>
      </c>
      <c r="I2402" t="s">
        <v>19</v>
      </c>
      <c r="J2402">
        <v>1994</v>
      </c>
      <c r="K2402">
        <v>1994</v>
      </c>
      <c r="L2402" t="s">
        <v>20</v>
      </c>
      <c r="M2402">
        <v>61109</v>
      </c>
      <c r="N2402">
        <v>636</v>
      </c>
    </row>
    <row r="2403" spans="1:14" x14ac:dyDescent="0.35">
      <c r="A2403" t="s">
        <v>2503</v>
      </c>
      <c r="B2403" t="s">
        <v>15</v>
      </c>
      <c r="C2403" t="s">
        <v>16</v>
      </c>
      <c r="D2403">
        <v>203</v>
      </c>
      <c r="E2403" t="s">
        <v>2494</v>
      </c>
      <c r="F2403">
        <v>5419</v>
      </c>
      <c r="G2403" t="s">
        <v>18</v>
      </c>
      <c r="H2403">
        <v>27</v>
      </c>
      <c r="I2403" t="s">
        <v>19</v>
      </c>
      <c r="J2403">
        <v>1995</v>
      </c>
      <c r="K2403">
        <v>1995</v>
      </c>
      <c r="L2403" t="s">
        <v>20</v>
      </c>
      <c r="M2403">
        <v>60459</v>
      </c>
      <c r="N2403">
        <v>636</v>
      </c>
    </row>
    <row r="2404" spans="1:14" x14ac:dyDescent="0.35">
      <c r="A2404" t="s">
        <v>2504</v>
      </c>
      <c r="B2404" t="s">
        <v>15</v>
      </c>
      <c r="C2404" t="s">
        <v>16</v>
      </c>
      <c r="D2404">
        <v>203</v>
      </c>
      <c r="E2404" t="s">
        <v>2494</v>
      </c>
      <c r="F2404">
        <v>5419</v>
      </c>
      <c r="G2404" t="s">
        <v>18</v>
      </c>
      <c r="H2404">
        <v>27</v>
      </c>
      <c r="I2404" t="s">
        <v>19</v>
      </c>
      <c r="J2404">
        <v>1996</v>
      </c>
      <c r="K2404">
        <v>1996</v>
      </c>
      <c r="L2404" t="s">
        <v>20</v>
      </c>
      <c r="M2404">
        <v>69838</v>
      </c>
      <c r="N2404">
        <v>636</v>
      </c>
    </row>
    <row r="2405" spans="1:14" x14ac:dyDescent="0.35">
      <c r="A2405" t="s">
        <v>2505</v>
      </c>
      <c r="B2405" t="s">
        <v>15</v>
      </c>
      <c r="C2405" t="s">
        <v>16</v>
      </c>
      <c r="D2405">
        <v>203</v>
      </c>
      <c r="E2405" t="s">
        <v>2494</v>
      </c>
      <c r="F2405">
        <v>5419</v>
      </c>
      <c r="G2405" t="s">
        <v>18</v>
      </c>
      <c r="H2405">
        <v>27</v>
      </c>
      <c r="I2405" t="s">
        <v>19</v>
      </c>
      <c r="J2405">
        <v>1997</v>
      </c>
      <c r="K2405">
        <v>1997</v>
      </c>
      <c r="L2405" t="s">
        <v>20</v>
      </c>
      <c r="M2405">
        <v>68295</v>
      </c>
      <c r="N2405">
        <v>636</v>
      </c>
    </row>
    <row r="2406" spans="1:14" x14ac:dyDescent="0.35">
      <c r="A2406" t="s">
        <v>2506</v>
      </c>
      <c r="B2406" t="s">
        <v>15</v>
      </c>
      <c r="C2406" t="s">
        <v>16</v>
      </c>
      <c r="D2406">
        <v>203</v>
      </c>
      <c r="E2406" t="s">
        <v>2494</v>
      </c>
      <c r="F2406">
        <v>5419</v>
      </c>
      <c r="G2406" t="s">
        <v>18</v>
      </c>
      <c r="H2406">
        <v>27</v>
      </c>
      <c r="I2406" t="s">
        <v>19</v>
      </c>
      <c r="J2406">
        <v>1998</v>
      </c>
      <c r="K2406">
        <v>1998</v>
      </c>
      <c r="L2406" t="s">
        <v>20</v>
      </c>
      <c r="M2406">
        <v>70657</v>
      </c>
      <c r="N2406">
        <v>636</v>
      </c>
    </row>
    <row r="2407" spans="1:14" x14ac:dyDescent="0.35">
      <c r="A2407" t="s">
        <v>2507</v>
      </c>
      <c r="B2407" t="s">
        <v>15</v>
      </c>
      <c r="C2407" t="s">
        <v>16</v>
      </c>
      <c r="D2407">
        <v>203</v>
      </c>
      <c r="E2407" t="s">
        <v>2494</v>
      </c>
      <c r="F2407">
        <v>5419</v>
      </c>
      <c r="G2407" t="s">
        <v>18</v>
      </c>
      <c r="H2407">
        <v>27</v>
      </c>
      <c r="I2407" t="s">
        <v>19</v>
      </c>
      <c r="J2407">
        <v>1999</v>
      </c>
      <c r="K2407">
        <v>1999</v>
      </c>
      <c r="L2407" t="s">
        <v>20</v>
      </c>
      <c r="M2407">
        <v>75388</v>
      </c>
      <c r="N2407">
        <v>636</v>
      </c>
    </row>
    <row r="2408" spans="1:14" x14ac:dyDescent="0.35">
      <c r="A2408" t="s">
        <v>2508</v>
      </c>
      <c r="B2408" t="s">
        <v>15</v>
      </c>
      <c r="C2408" t="s">
        <v>16</v>
      </c>
      <c r="D2408">
        <v>203</v>
      </c>
      <c r="E2408" t="s">
        <v>2494</v>
      </c>
      <c r="F2408">
        <v>5419</v>
      </c>
      <c r="G2408" t="s">
        <v>18</v>
      </c>
      <c r="H2408">
        <v>27</v>
      </c>
      <c r="I2408" t="s">
        <v>19</v>
      </c>
      <c r="J2408">
        <v>2000</v>
      </c>
      <c r="K2408">
        <v>2000</v>
      </c>
      <c r="L2408" t="s">
        <v>20</v>
      </c>
      <c r="M2408">
        <v>70661</v>
      </c>
      <c r="N2408">
        <v>636</v>
      </c>
    </row>
    <row r="2409" spans="1:14" x14ac:dyDescent="0.35">
      <c r="A2409" t="s">
        <v>2509</v>
      </c>
      <c r="B2409" t="s">
        <v>15</v>
      </c>
      <c r="C2409" t="s">
        <v>16</v>
      </c>
      <c r="D2409">
        <v>203</v>
      </c>
      <c r="E2409" t="s">
        <v>2494</v>
      </c>
      <c r="F2409">
        <v>5419</v>
      </c>
      <c r="G2409" t="s">
        <v>18</v>
      </c>
      <c r="H2409">
        <v>27</v>
      </c>
      <c r="I2409" t="s">
        <v>19</v>
      </c>
      <c r="J2409">
        <v>2001</v>
      </c>
      <c r="K2409">
        <v>2001</v>
      </c>
      <c r="L2409" t="s">
        <v>20</v>
      </c>
      <c r="M2409">
        <v>75795</v>
      </c>
      <c r="N2409">
        <v>636</v>
      </c>
    </row>
    <row r="2410" spans="1:14" x14ac:dyDescent="0.35">
      <c r="A2410" t="s">
        <v>2510</v>
      </c>
      <c r="B2410" t="s">
        <v>15</v>
      </c>
      <c r="C2410" t="s">
        <v>16</v>
      </c>
      <c r="D2410">
        <v>203</v>
      </c>
      <c r="E2410" t="s">
        <v>2494</v>
      </c>
      <c r="F2410">
        <v>5419</v>
      </c>
      <c r="G2410" t="s">
        <v>18</v>
      </c>
      <c r="H2410">
        <v>27</v>
      </c>
      <c r="I2410" t="s">
        <v>19</v>
      </c>
      <c r="J2410">
        <v>2002</v>
      </c>
      <c r="K2410">
        <v>2002</v>
      </c>
      <c r="L2410" t="s">
        <v>20</v>
      </c>
      <c r="M2410">
        <v>72172</v>
      </c>
      <c r="N2410">
        <v>636</v>
      </c>
    </row>
    <row r="2411" spans="1:14" x14ac:dyDescent="0.35">
      <c r="A2411" t="s">
        <v>2511</v>
      </c>
      <c r="B2411" t="s">
        <v>15</v>
      </c>
      <c r="C2411" t="s">
        <v>16</v>
      </c>
      <c r="D2411">
        <v>203</v>
      </c>
      <c r="E2411" t="s">
        <v>2494</v>
      </c>
      <c r="F2411">
        <v>5419</v>
      </c>
      <c r="G2411" t="s">
        <v>18</v>
      </c>
      <c r="H2411">
        <v>27</v>
      </c>
      <c r="I2411" t="s">
        <v>19</v>
      </c>
      <c r="J2411">
        <v>2004</v>
      </c>
      <c r="K2411">
        <v>2004</v>
      </c>
      <c r="L2411" t="s">
        <v>20</v>
      </c>
      <c r="M2411">
        <v>72015</v>
      </c>
      <c r="N2411">
        <v>636</v>
      </c>
    </row>
    <row r="2412" spans="1:14" x14ac:dyDescent="0.35">
      <c r="A2412" t="s">
        <v>2512</v>
      </c>
      <c r="B2412" t="s">
        <v>15</v>
      </c>
      <c r="C2412" t="s">
        <v>16</v>
      </c>
      <c r="D2412">
        <v>203</v>
      </c>
      <c r="E2412" t="s">
        <v>2494</v>
      </c>
      <c r="F2412">
        <v>5419</v>
      </c>
      <c r="G2412" t="s">
        <v>18</v>
      </c>
      <c r="H2412">
        <v>27</v>
      </c>
      <c r="I2412" t="s">
        <v>19</v>
      </c>
      <c r="J2412">
        <v>2005</v>
      </c>
      <c r="K2412">
        <v>2005</v>
      </c>
      <c r="L2412" t="s">
        <v>20</v>
      </c>
      <c r="M2412">
        <v>69166</v>
      </c>
      <c r="N2412">
        <v>636</v>
      </c>
    </row>
    <row r="2413" spans="1:14" x14ac:dyDescent="0.35">
      <c r="A2413" t="s">
        <v>2513</v>
      </c>
      <c r="B2413" t="s">
        <v>15</v>
      </c>
      <c r="C2413" t="s">
        <v>16</v>
      </c>
      <c r="D2413">
        <v>203</v>
      </c>
      <c r="E2413" t="s">
        <v>2494</v>
      </c>
      <c r="F2413">
        <v>5419</v>
      </c>
      <c r="G2413" t="s">
        <v>18</v>
      </c>
      <c r="H2413">
        <v>27</v>
      </c>
      <c r="I2413" t="s">
        <v>19</v>
      </c>
      <c r="J2413">
        <v>2006</v>
      </c>
      <c r="K2413">
        <v>2006</v>
      </c>
      <c r="L2413" t="s">
        <v>20</v>
      </c>
      <c r="M2413">
        <v>67992</v>
      </c>
      <c r="N2413">
        <v>636</v>
      </c>
    </row>
    <row r="2414" spans="1:14" x14ac:dyDescent="0.35">
      <c r="A2414" t="s">
        <v>2514</v>
      </c>
      <c r="B2414" t="s">
        <v>15</v>
      </c>
      <c r="C2414" t="s">
        <v>16</v>
      </c>
      <c r="D2414">
        <v>203</v>
      </c>
      <c r="E2414" t="s">
        <v>2494</v>
      </c>
      <c r="F2414">
        <v>5419</v>
      </c>
      <c r="G2414" t="s">
        <v>18</v>
      </c>
      <c r="H2414">
        <v>27</v>
      </c>
      <c r="I2414" t="s">
        <v>19</v>
      </c>
      <c r="J2414">
        <v>2007</v>
      </c>
      <c r="K2414">
        <v>2007</v>
      </c>
      <c r="L2414" t="s">
        <v>20</v>
      </c>
      <c r="M2414">
        <v>71228</v>
      </c>
      <c r="N2414">
        <v>636</v>
      </c>
    </row>
    <row r="2415" spans="1:14" x14ac:dyDescent="0.35">
      <c r="A2415" t="s">
        <v>2515</v>
      </c>
      <c r="B2415" t="s">
        <v>15</v>
      </c>
      <c r="C2415" t="s">
        <v>16</v>
      </c>
      <c r="D2415">
        <v>203</v>
      </c>
      <c r="E2415" t="s">
        <v>2494</v>
      </c>
      <c r="F2415">
        <v>5419</v>
      </c>
      <c r="G2415" t="s">
        <v>18</v>
      </c>
      <c r="H2415">
        <v>27</v>
      </c>
      <c r="I2415" t="s">
        <v>19</v>
      </c>
      <c r="J2415">
        <v>2008</v>
      </c>
      <c r="K2415">
        <v>2008</v>
      </c>
      <c r="L2415" t="s">
        <v>20</v>
      </c>
      <c r="M2415">
        <v>69220</v>
      </c>
      <c r="N2415">
        <v>636</v>
      </c>
    </row>
    <row r="2416" spans="1:14" x14ac:dyDescent="0.35">
      <c r="A2416" t="s">
        <v>2516</v>
      </c>
      <c r="B2416" t="s">
        <v>15</v>
      </c>
      <c r="C2416" t="s">
        <v>16</v>
      </c>
      <c r="D2416">
        <v>203</v>
      </c>
      <c r="E2416" t="s">
        <v>2494</v>
      </c>
      <c r="F2416">
        <v>5419</v>
      </c>
      <c r="G2416" t="s">
        <v>18</v>
      </c>
      <c r="H2416">
        <v>27</v>
      </c>
      <c r="I2416" t="s">
        <v>19</v>
      </c>
      <c r="J2416">
        <v>2009</v>
      </c>
      <c r="K2416">
        <v>2009</v>
      </c>
      <c r="L2416" t="s">
        <v>20</v>
      </c>
      <c r="M2416">
        <v>76593</v>
      </c>
      <c r="N2416">
        <v>636</v>
      </c>
    </row>
    <row r="2417" spans="1:14" x14ac:dyDescent="0.35">
      <c r="A2417" t="s">
        <v>2517</v>
      </c>
      <c r="B2417" t="s">
        <v>15</v>
      </c>
      <c r="C2417" t="s">
        <v>16</v>
      </c>
      <c r="D2417">
        <v>203</v>
      </c>
      <c r="E2417" t="s">
        <v>2494</v>
      </c>
      <c r="F2417">
        <v>5419</v>
      </c>
      <c r="G2417" t="s">
        <v>18</v>
      </c>
      <c r="H2417">
        <v>27</v>
      </c>
      <c r="I2417" t="s">
        <v>19</v>
      </c>
      <c r="J2417">
        <v>2010</v>
      </c>
      <c r="K2417">
        <v>2010</v>
      </c>
      <c r="L2417" t="s">
        <v>20</v>
      </c>
      <c r="M2417">
        <v>75936</v>
      </c>
      <c r="N2417">
        <v>636</v>
      </c>
    </row>
    <row r="2418" spans="1:14" x14ac:dyDescent="0.35">
      <c r="A2418" t="s">
        <v>2518</v>
      </c>
      <c r="B2418" t="s">
        <v>15</v>
      </c>
      <c r="C2418" t="s">
        <v>16</v>
      </c>
      <c r="D2418">
        <v>203</v>
      </c>
      <c r="E2418" t="s">
        <v>2494</v>
      </c>
      <c r="F2418">
        <v>5419</v>
      </c>
      <c r="G2418" t="s">
        <v>18</v>
      </c>
      <c r="H2418">
        <v>27</v>
      </c>
      <c r="I2418" t="s">
        <v>19</v>
      </c>
      <c r="J2418">
        <v>2011</v>
      </c>
      <c r="K2418">
        <v>2011</v>
      </c>
      <c r="L2418" t="s">
        <v>20</v>
      </c>
      <c r="M2418">
        <v>75800</v>
      </c>
      <c r="N2418">
        <v>636</v>
      </c>
    </row>
    <row r="2419" spans="1:14" x14ac:dyDescent="0.35">
      <c r="A2419" t="s">
        <v>2519</v>
      </c>
      <c r="B2419" t="s">
        <v>15</v>
      </c>
      <c r="C2419" t="s">
        <v>16</v>
      </c>
      <c r="D2419">
        <v>203</v>
      </c>
      <c r="E2419" t="s">
        <v>2494</v>
      </c>
      <c r="F2419">
        <v>5419</v>
      </c>
      <c r="G2419" t="s">
        <v>18</v>
      </c>
      <c r="H2419">
        <v>27</v>
      </c>
      <c r="I2419" t="s">
        <v>19</v>
      </c>
      <c r="J2419">
        <v>2012</v>
      </c>
      <c r="K2419">
        <v>2012</v>
      </c>
      <c r="L2419" t="s">
        <v>20</v>
      </c>
      <c r="M2419">
        <v>79739</v>
      </c>
      <c r="N2419">
        <v>636</v>
      </c>
    </row>
    <row r="2420" spans="1:14" x14ac:dyDescent="0.35">
      <c r="A2420" t="s">
        <v>2520</v>
      </c>
      <c r="B2420" t="s">
        <v>15</v>
      </c>
      <c r="C2420" t="s">
        <v>16</v>
      </c>
      <c r="D2420">
        <v>203</v>
      </c>
      <c r="E2420" t="s">
        <v>2494</v>
      </c>
      <c r="F2420">
        <v>5419</v>
      </c>
      <c r="G2420" t="s">
        <v>18</v>
      </c>
      <c r="H2420">
        <v>27</v>
      </c>
      <c r="I2420" t="s">
        <v>19</v>
      </c>
      <c r="J2420">
        <v>2013</v>
      </c>
      <c r="K2420">
        <v>2013</v>
      </c>
      <c r="L2420" t="s">
        <v>20</v>
      </c>
      <c r="M2420">
        <v>77902</v>
      </c>
      <c r="N2420">
        <v>636</v>
      </c>
    </row>
    <row r="2421" spans="1:14" x14ac:dyDescent="0.35">
      <c r="A2421" t="s">
        <v>2521</v>
      </c>
      <c r="B2421" t="s">
        <v>15</v>
      </c>
      <c r="C2421" t="s">
        <v>16</v>
      </c>
      <c r="D2421">
        <v>203</v>
      </c>
      <c r="E2421" t="s">
        <v>2494</v>
      </c>
      <c r="F2421">
        <v>5419</v>
      </c>
      <c r="G2421" t="s">
        <v>18</v>
      </c>
      <c r="H2421">
        <v>27</v>
      </c>
      <c r="I2421" t="s">
        <v>19</v>
      </c>
      <c r="J2421">
        <v>2014</v>
      </c>
      <c r="K2421">
        <v>2014</v>
      </c>
      <c r="L2421" t="s">
        <v>20</v>
      </c>
      <c r="M2421">
        <v>77985</v>
      </c>
      <c r="N2421">
        <v>636</v>
      </c>
    </row>
    <row r="2422" spans="1:14" x14ac:dyDescent="0.35">
      <c r="A2422" t="s">
        <v>2522</v>
      </c>
      <c r="B2422" t="s">
        <v>15</v>
      </c>
      <c r="C2422" t="s">
        <v>16</v>
      </c>
      <c r="D2422">
        <v>203</v>
      </c>
      <c r="E2422" t="s">
        <v>2494</v>
      </c>
      <c r="F2422">
        <v>5419</v>
      </c>
      <c r="G2422" t="s">
        <v>18</v>
      </c>
      <c r="H2422">
        <v>27</v>
      </c>
      <c r="I2422" t="s">
        <v>19</v>
      </c>
      <c r="J2422">
        <v>2015</v>
      </c>
      <c r="K2422">
        <v>2015</v>
      </c>
      <c r="L2422" t="s">
        <v>20</v>
      </c>
      <c r="M2422">
        <v>77503</v>
      </c>
      <c r="N2422">
        <v>636</v>
      </c>
    </row>
    <row r="2423" spans="1:14" x14ac:dyDescent="0.35">
      <c r="A2423" t="s">
        <v>2523</v>
      </c>
      <c r="B2423" t="s">
        <v>15</v>
      </c>
      <c r="C2423" t="s">
        <v>16</v>
      </c>
      <c r="D2423">
        <v>203</v>
      </c>
      <c r="E2423" t="s">
        <v>2494</v>
      </c>
      <c r="F2423">
        <v>5419</v>
      </c>
      <c r="G2423" t="s">
        <v>18</v>
      </c>
      <c r="H2423">
        <v>27</v>
      </c>
      <c r="I2423" t="s">
        <v>19</v>
      </c>
      <c r="J2423">
        <v>2016</v>
      </c>
      <c r="K2423">
        <v>2016</v>
      </c>
      <c r="L2423" t="s">
        <v>20</v>
      </c>
      <c r="M2423">
        <v>78277</v>
      </c>
      <c r="N2423">
        <v>636</v>
      </c>
    </row>
    <row r="2424" spans="1:14" x14ac:dyDescent="0.35">
      <c r="A2424" t="s">
        <v>2524</v>
      </c>
      <c r="B2424" t="s">
        <v>15</v>
      </c>
      <c r="C2424" t="s">
        <v>16</v>
      </c>
      <c r="D2424">
        <v>38</v>
      </c>
      <c r="E2424" t="s">
        <v>2525</v>
      </c>
      <c r="F2424">
        <v>5419</v>
      </c>
      <c r="G2424" t="s">
        <v>18</v>
      </c>
      <c r="H2424">
        <v>27</v>
      </c>
      <c r="I2424" t="s">
        <v>19</v>
      </c>
      <c r="J2424">
        <v>1985</v>
      </c>
      <c r="K2424">
        <v>1985</v>
      </c>
      <c r="L2424" t="s">
        <v>20</v>
      </c>
      <c r="M2424">
        <v>30777</v>
      </c>
      <c r="N2424">
        <v>1712</v>
      </c>
    </row>
    <row r="2425" spans="1:14" x14ac:dyDescent="0.35">
      <c r="A2425" t="s">
        <v>2526</v>
      </c>
      <c r="B2425" t="s">
        <v>15</v>
      </c>
      <c r="C2425" t="s">
        <v>16</v>
      </c>
      <c r="D2425">
        <v>38</v>
      </c>
      <c r="E2425" t="s">
        <v>2525</v>
      </c>
      <c r="F2425">
        <v>5419</v>
      </c>
      <c r="G2425" t="s">
        <v>18</v>
      </c>
      <c r="H2425">
        <v>27</v>
      </c>
      <c r="I2425" t="s">
        <v>19</v>
      </c>
      <c r="J2425">
        <v>1986</v>
      </c>
      <c r="K2425">
        <v>1986</v>
      </c>
      <c r="L2425" t="s">
        <v>20</v>
      </c>
      <c r="M2425">
        <v>30944</v>
      </c>
      <c r="N2425">
        <v>1712</v>
      </c>
    </row>
    <row r="2426" spans="1:14" x14ac:dyDescent="0.35">
      <c r="A2426" t="s">
        <v>2527</v>
      </c>
      <c r="B2426" t="s">
        <v>15</v>
      </c>
      <c r="C2426" t="s">
        <v>16</v>
      </c>
      <c r="D2426">
        <v>38</v>
      </c>
      <c r="E2426" t="s">
        <v>2525</v>
      </c>
      <c r="F2426">
        <v>5419</v>
      </c>
      <c r="G2426" t="s">
        <v>18</v>
      </c>
      <c r="H2426">
        <v>27</v>
      </c>
      <c r="I2426" t="s">
        <v>19</v>
      </c>
      <c r="J2426">
        <v>1987</v>
      </c>
      <c r="K2426">
        <v>1987</v>
      </c>
      <c r="L2426" t="s">
        <v>20</v>
      </c>
      <c r="M2426">
        <v>31318</v>
      </c>
      <c r="N2426">
        <v>1712</v>
      </c>
    </row>
    <row r="2427" spans="1:14" x14ac:dyDescent="0.35">
      <c r="A2427" t="s">
        <v>2528</v>
      </c>
      <c r="B2427" t="s">
        <v>15</v>
      </c>
      <c r="C2427" t="s">
        <v>16</v>
      </c>
      <c r="D2427">
        <v>38</v>
      </c>
      <c r="E2427" t="s">
        <v>2525</v>
      </c>
      <c r="F2427">
        <v>5419</v>
      </c>
      <c r="G2427" t="s">
        <v>18</v>
      </c>
      <c r="H2427">
        <v>27</v>
      </c>
      <c r="I2427" t="s">
        <v>19</v>
      </c>
      <c r="J2427">
        <v>1989</v>
      </c>
      <c r="K2427">
        <v>1989</v>
      </c>
      <c r="L2427" t="s">
        <v>20</v>
      </c>
      <c r="M2427">
        <v>29916</v>
      </c>
      <c r="N2427">
        <v>1712</v>
      </c>
    </row>
    <row r="2428" spans="1:14" x14ac:dyDescent="0.35">
      <c r="A2428" t="s">
        <v>2529</v>
      </c>
      <c r="B2428" t="s">
        <v>15</v>
      </c>
      <c r="C2428" t="s">
        <v>16</v>
      </c>
      <c r="D2428">
        <v>38</v>
      </c>
      <c r="E2428" t="s">
        <v>2525</v>
      </c>
      <c r="F2428">
        <v>5419</v>
      </c>
      <c r="G2428" t="s">
        <v>18</v>
      </c>
      <c r="H2428">
        <v>27</v>
      </c>
      <c r="I2428" t="s">
        <v>19</v>
      </c>
      <c r="J2428">
        <v>1990</v>
      </c>
      <c r="K2428">
        <v>1990</v>
      </c>
      <c r="L2428" t="s">
        <v>20</v>
      </c>
      <c r="M2428">
        <v>30643</v>
      </c>
      <c r="N2428">
        <v>1712</v>
      </c>
    </row>
    <row r="2429" spans="1:14" x14ac:dyDescent="0.35">
      <c r="A2429" t="s">
        <v>2530</v>
      </c>
      <c r="B2429" t="s">
        <v>15</v>
      </c>
      <c r="C2429" t="s">
        <v>16</v>
      </c>
      <c r="D2429">
        <v>38</v>
      </c>
      <c r="E2429" t="s">
        <v>2525</v>
      </c>
      <c r="F2429">
        <v>5419</v>
      </c>
      <c r="G2429" t="s">
        <v>18</v>
      </c>
      <c r="H2429">
        <v>27</v>
      </c>
      <c r="I2429" t="s">
        <v>19</v>
      </c>
      <c r="J2429">
        <v>1991</v>
      </c>
      <c r="K2429">
        <v>1991</v>
      </c>
      <c r="L2429" t="s">
        <v>20</v>
      </c>
      <c r="M2429">
        <v>30215</v>
      </c>
      <c r="N2429">
        <v>1712</v>
      </c>
    </row>
    <row r="2430" spans="1:14" x14ac:dyDescent="0.35">
      <c r="A2430" t="s">
        <v>2531</v>
      </c>
      <c r="B2430" t="s">
        <v>15</v>
      </c>
      <c r="C2430" t="s">
        <v>16</v>
      </c>
      <c r="D2430">
        <v>38</v>
      </c>
      <c r="E2430" t="s">
        <v>2525</v>
      </c>
      <c r="F2430">
        <v>5419</v>
      </c>
      <c r="G2430" t="s">
        <v>18</v>
      </c>
      <c r="H2430">
        <v>27</v>
      </c>
      <c r="I2430" t="s">
        <v>19</v>
      </c>
      <c r="J2430">
        <v>1992</v>
      </c>
      <c r="K2430">
        <v>1992</v>
      </c>
      <c r="L2430" t="s">
        <v>20</v>
      </c>
      <c r="M2430">
        <v>30544</v>
      </c>
      <c r="N2430">
        <v>1712</v>
      </c>
    </row>
    <row r="2431" spans="1:14" x14ac:dyDescent="0.35">
      <c r="A2431" t="s">
        <v>2532</v>
      </c>
      <c r="B2431" t="s">
        <v>15</v>
      </c>
      <c r="C2431" t="s">
        <v>16</v>
      </c>
      <c r="D2431">
        <v>38</v>
      </c>
      <c r="E2431" t="s">
        <v>2525</v>
      </c>
      <c r="F2431">
        <v>5419</v>
      </c>
      <c r="G2431" t="s">
        <v>18</v>
      </c>
      <c r="H2431">
        <v>27</v>
      </c>
      <c r="I2431" t="s">
        <v>19</v>
      </c>
      <c r="J2431">
        <v>1993</v>
      </c>
      <c r="K2431">
        <v>1993</v>
      </c>
      <c r="L2431" t="s">
        <v>20</v>
      </c>
      <c r="M2431">
        <v>31350</v>
      </c>
      <c r="N2431">
        <v>1712</v>
      </c>
    </row>
    <row r="2432" spans="1:14" x14ac:dyDescent="0.35">
      <c r="A2432" t="s">
        <v>2533</v>
      </c>
      <c r="B2432" t="s">
        <v>15</v>
      </c>
      <c r="C2432" t="s">
        <v>16</v>
      </c>
      <c r="D2432">
        <v>38</v>
      </c>
      <c r="E2432" t="s">
        <v>2525</v>
      </c>
      <c r="F2432">
        <v>5419</v>
      </c>
      <c r="G2432" t="s">
        <v>18</v>
      </c>
      <c r="H2432">
        <v>27</v>
      </c>
      <c r="I2432" t="s">
        <v>19</v>
      </c>
      <c r="J2432">
        <v>1994</v>
      </c>
      <c r="K2432">
        <v>1994</v>
      </c>
      <c r="L2432" t="s">
        <v>20</v>
      </c>
      <c r="M2432">
        <v>29933</v>
      </c>
      <c r="N2432">
        <v>1712</v>
      </c>
    </row>
    <row r="2433" spans="1:14" x14ac:dyDescent="0.35">
      <c r="A2433" t="s">
        <v>2534</v>
      </c>
      <c r="B2433" t="s">
        <v>15</v>
      </c>
      <c r="C2433" t="s">
        <v>16</v>
      </c>
      <c r="D2433">
        <v>38</v>
      </c>
      <c r="E2433" t="s">
        <v>2525</v>
      </c>
      <c r="F2433">
        <v>5419</v>
      </c>
      <c r="G2433" t="s">
        <v>18</v>
      </c>
      <c r="H2433">
        <v>27</v>
      </c>
      <c r="I2433" t="s">
        <v>19</v>
      </c>
      <c r="J2433">
        <v>1995</v>
      </c>
      <c r="K2433">
        <v>1995</v>
      </c>
      <c r="L2433" t="s">
        <v>20</v>
      </c>
      <c r="M2433">
        <v>31586</v>
      </c>
      <c r="N2433">
        <v>1712</v>
      </c>
    </row>
    <row r="2434" spans="1:14" x14ac:dyDescent="0.35">
      <c r="A2434" t="s">
        <v>2535</v>
      </c>
      <c r="B2434" t="s">
        <v>15</v>
      </c>
      <c r="C2434" t="s">
        <v>16</v>
      </c>
      <c r="D2434">
        <v>38</v>
      </c>
      <c r="E2434" t="s">
        <v>2525</v>
      </c>
      <c r="F2434">
        <v>5419</v>
      </c>
      <c r="G2434" t="s">
        <v>18</v>
      </c>
      <c r="H2434">
        <v>27</v>
      </c>
      <c r="I2434" t="s">
        <v>19</v>
      </c>
      <c r="J2434">
        <v>1996</v>
      </c>
      <c r="K2434">
        <v>1996</v>
      </c>
      <c r="L2434" t="s">
        <v>20</v>
      </c>
      <c r="M2434">
        <v>31231</v>
      </c>
      <c r="N2434">
        <v>1712</v>
      </c>
    </row>
    <row r="2435" spans="1:14" x14ac:dyDescent="0.35">
      <c r="A2435" t="s">
        <v>2536</v>
      </c>
      <c r="B2435" t="s">
        <v>15</v>
      </c>
      <c r="C2435" t="s">
        <v>16</v>
      </c>
      <c r="D2435">
        <v>38</v>
      </c>
      <c r="E2435" t="s">
        <v>2525</v>
      </c>
      <c r="F2435">
        <v>5419</v>
      </c>
      <c r="G2435" t="s">
        <v>18</v>
      </c>
      <c r="H2435">
        <v>27</v>
      </c>
      <c r="I2435" t="s">
        <v>19</v>
      </c>
      <c r="J2435">
        <v>1997</v>
      </c>
      <c r="K2435">
        <v>1997</v>
      </c>
      <c r="L2435" t="s">
        <v>20</v>
      </c>
      <c r="M2435">
        <v>32451</v>
      </c>
      <c r="N2435">
        <v>1712</v>
      </c>
    </row>
    <row r="2436" spans="1:14" x14ac:dyDescent="0.35">
      <c r="A2436" t="s">
        <v>2537</v>
      </c>
      <c r="B2436" t="s">
        <v>15</v>
      </c>
      <c r="C2436" t="s">
        <v>16</v>
      </c>
      <c r="D2436">
        <v>38</v>
      </c>
      <c r="E2436" t="s">
        <v>2525</v>
      </c>
      <c r="F2436">
        <v>5419</v>
      </c>
      <c r="G2436" t="s">
        <v>18</v>
      </c>
      <c r="H2436">
        <v>27</v>
      </c>
      <c r="I2436" t="s">
        <v>19</v>
      </c>
      <c r="J2436">
        <v>1998</v>
      </c>
      <c r="K2436">
        <v>1998</v>
      </c>
      <c r="L2436" t="s">
        <v>20</v>
      </c>
      <c r="M2436">
        <v>35102</v>
      </c>
      <c r="N2436">
        <v>1712</v>
      </c>
    </row>
    <row r="2437" spans="1:14" x14ac:dyDescent="0.35">
      <c r="A2437" t="s">
        <v>2538</v>
      </c>
      <c r="B2437" t="s">
        <v>15</v>
      </c>
      <c r="C2437" t="s">
        <v>16</v>
      </c>
      <c r="D2437">
        <v>38</v>
      </c>
      <c r="E2437" t="s">
        <v>2525</v>
      </c>
      <c r="F2437">
        <v>5419</v>
      </c>
      <c r="G2437" t="s">
        <v>18</v>
      </c>
      <c r="H2437">
        <v>27</v>
      </c>
      <c r="I2437" t="s">
        <v>19</v>
      </c>
      <c r="J2437">
        <v>1999</v>
      </c>
      <c r="K2437">
        <v>1999</v>
      </c>
      <c r="L2437" t="s">
        <v>20</v>
      </c>
      <c r="M2437">
        <v>32810</v>
      </c>
      <c r="N2437">
        <v>1712</v>
      </c>
    </row>
    <row r="2438" spans="1:14" x14ac:dyDescent="0.35">
      <c r="A2438" t="s">
        <v>2539</v>
      </c>
      <c r="B2438" t="s">
        <v>15</v>
      </c>
      <c r="C2438" t="s">
        <v>16</v>
      </c>
      <c r="D2438">
        <v>38</v>
      </c>
      <c r="E2438" t="s">
        <v>2525</v>
      </c>
      <c r="F2438">
        <v>5419</v>
      </c>
      <c r="G2438" t="s">
        <v>18</v>
      </c>
      <c r="H2438">
        <v>27</v>
      </c>
      <c r="I2438" t="s">
        <v>19</v>
      </c>
      <c r="J2438">
        <v>2000</v>
      </c>
      <c r="K2438">
        <v>2000</v>
      </c>
      <c r="L2438" t="s">
        <v>20</v>
      </c>
      <c r="M2438">
        <v>34374</v>
      </c>
      <c r="N2438">
        <v>1712</v>
      </c>
    </row>
    <row r="2439" spans="1:14" x14ac:dyDescent="0.35">
      <c r="A2439" t="s">
        <v>2540</v>
      </c>
      <c r="B2439" t="s">
        <v>15</v>
      </c>
      <c r="C2439" t="s">
        <v>16</v>
      </c>
      <c r="D2439">
        <v>38</v>
      </c>
      <c r="E2439" t="s">
        <v>2525</v>
      </c>
      <c r="F2439">
        <v>5419</v>
      </c>
      <c r="G2439" t="s">
        <v>18</v>
      </c>
      <c r="H2439">
        <v>27</v>
      </c>
      <c r="I2439" t="s">
        <v>19</v>
      </c>
      <c r="J2439">
        <v>2001</v>
      </c>
      <c r="K2439">
        <v>2001</v>
      </c>
      <c r="L2439" t="s">
        <v>20</v>
      </c>
      <c r="M2439">
        <v>35228</v>
      </c>
      <c r="N2439">
        <v>1712</v>
      </c>
    </row>
    <row r="2440" spans="1:14" x14ac:dyDescent="0.35">
      <c r="A2440" t="s">
        <v>2541</v>
      </c>
      <c r="B2440" t="s">
        <v>15</v>
      </c>
      <c r="C2440" t="s">
        <v>16</v>
      </c>
      <c r="D2440">
        <v>38</v>
      </c>
      <c r="E2440" t="s">
        <v>2525</v>
      </c>
      <c r="F2440">
        <v>5419</v>
      </c>
      <c r="G2440" t="s">
        <v>18</v>
      </c>
      <c r="H2440">
        <v>27</v>
      </c>
      <c r="I2440" t="s">
        <v>19</v>
      </c>
      <c r="J2440">
        <v>2002</v>
      </c>
      <c r="K2440">
        <v>2002</v>
      </c>
      <c r="L2440" t="s">
        <v>20</v>
      </c>
      <c r="M2440">
        <v>34889</v>
      </c>
      <c r="N2440">
        <v>1712</v>
      </c>
    </row>
    <row r="2441" spans="1:14" x14ac:dyDescent="0.35">
      <c r="A2441" t="s">
        <v>2542</v>
      </c>
      <c r="B2441" t="s">
        <v>15</v>
      </c>
      <c r="C2441" t="s">
        <v>16</v>
      </c>
      <c r="D2441">
        <v>38</v>
      </c>
      <c r="E2441" t="s">
        <v>2525</v>
      </c>
      <c r="F2441">
        <v>5419</v>
      </c>
      <c r="G2441" t="s">
        <v>18</v>
      </c>
      <c r="H2441">
        <v>27</v>
      </c>
      <c r="I2441" t="s">
        <v>19</v>
      </c>
      <c r="J2441">
        <v>2004</v>
      </c>
      <c r="K2441">
        <v>2004</v>
      </c>
      <c r="L2441" t="s">
        <v>20</v>
      </c>
      <c r="M2441">
        <v>36516</v>
      </c>
      <c r="N2441">
        <v>1712</v>
      </c>
    </row>
    <row r="2442" spans="1:14" x14ac:dyDescent="0.35">
      <c r="A2442" t="s">
        <v>2543</v>
      </c>
      <c r="B2442" t="s">
        <v>15</v>
      </c>
      <c r="C2442" t="s">
        <v>16</v>
      </c>
      <c r="D2442">
        <v>38</v>
      </c>
      <c r="E2442" t="s">
        <v>2525</v>
      </c>
      <c r="F2442">
        <v>5419</v>
      </c>
      <c r="G2442" t="s">
        <v>18</v>
      </c>
      <c r="H2442">
        <v>27</v>
      </c>
      <c r="I2442" t="s">
        <v>19</v>
      </c>
      <c r="J2442">
        <v>2005</v>
      </c>
      <c r="K2442">
        <v>2005</v>
      </c>
      <c r="L2442" t="s">
        <v>20</v>
      </c>
      <c r="M2442">
        <v>35465</v>
      </c>
      <c r="N2442">
        <v>1712</v>
      </c>
    </row>
    <row r="2443" spans="1:14" x14ac:dyDescent="0.35">
      <c r="A2443" t="s">
        <v>2544</v>
      </c>
      <c r="B2443" t="s">
        <v>15</v>
      </c>
      <c r="C2443" t="s">
        <v>16</v>
      </c>
      <c r="D2443">
        <v>38</v>
      </c>
      <c r="E2443" t="s">
        <v>2525</v>
      </c>
      <c r="F2443">
        <v>5419</v>
      </c>
      <c r="G2443" t="s">
        <v>18</v>
      </c>
      <c r="H2443">
        <v>27</v>
      </c>
      <c r="I2443" t="s">
        <v>19</v>
      </c>
      <c r="J2443">
        <v>2006</v>
      </c>
      <c r="K2443">
        <v>2006</v>
      </c>
      <c r="L2443" t="s">
        <v>20</v>
      </c>
      <c r="M2443">
        <v>36705</v>
      </c>
      <c r="N2443">
        <v>1712</v>
      </c>
    </row>
    <row r="2444" spans="1:14" x14ac:dyDescent="0.35">
      <c r="A2444" t="s">
        <v>2545</v>
      </c>
      <c r="B2444" t="s">
        <v>15</v>
      </c>
      <c r="C2444" t="s">
        <v>16</v>
      </c>
      <c r="D2444">
        <v>38</v>
      </c>
      <c r="E2444" t="s">
        <v>2525</v>
      </c>
      <c r="F2444">
        <v>5419</v>
      </c>
      <c r="G2444" t="s">
        <v>18</v>
      </c>
      <c r="H2444">
        <v>27</v>
      </c>
      <c r="I2444" t="s">
        <v>19</v>
      </c>
      <c r="J2444">
        <v>2007</v>
      </c>
      <c r="K2444">
        <v>2007</v>
      </c>
      <c r="L2444" t="s">
        <v>20</v>
      </c>
      <c r="M2444">
        <v>38337</v>
      </c>
      <c r="N2444">
        <v>1712</v>
      </c>
    </row>
    <row r="2445" spans="1:14" x14ac:dyDescent="0.35">
      <c r="A2445" t="s">
        <v>2546</v>
      </c>
      <c r="B2445" t="s">
        <v>15</v>
      </c>
      <c r="C2445" t="s">
        <v>16</v>
      </c>
      <c r="D2445">
        <v>38</v>
      </c>
      <c r="E2445" t="s">
        <v>2525</v>
      </c>
      <c r="F2445">
        <v>5419</v>
      </c>
      <c r="G2445" t="s">
        <v>18</v>
      </c>
      <c r="H2445">
        <v>27</v>
      </c>
      <c r="I2445" t="s">
        <v>19</v>
      </c>
      <c r="J2445">
        <v>2008</v>
      </c>
      <c r="K2445">
        <v>2008</v>
      </c>
      <c r="L2445" t="s">
        <v>20</v>
      </c>
      <c r="M2445">
        <v>36800</v>
      </c>
      <c r="N2445">
        <v>1712</v>
      </c>
    </row>
    <row r="2446" spans="1:14" x14ac:dyDescent="0.35">
      <c r="A2446" t="s">
        <v>2547</v>
      </c>
      <c r="B2446" t="s">
        <v>15</v>
      </c>
      <c r="C2446" t="s">
        <v>16</v>
      </c>
      <c r="D2446">
        <v>38</v>
      </c>
      <c r="E2446" t="s">
        <v>2525</v>
      </c>
      <c r="F2446">
        <v>5419</v>
      </c>
      <c r="G2446" t="s">
        <v>18</v>
      </c>
      <c r="H2446">
        <v>27</v>
      </c>
      <c r="I2446" t="s">
        <v>19</v>
      </c>
      <c r="J2446">
        <v>2009</v>
      </c>
      <c r="K2446">
        <v>2009</v>
      </c>
      <c r="L2446" t="s">
        <v>20</v>
      </c>
      <c r="M2446">
        <v>38748</v>
      </c>
      <c r="N2446">
        <v>1712</v>
      </c>
    </row>
    <row r="2447" spans="1:14" x14ac:dyDescent="0.35">
      <c r="A2447" t="s">
        <v>2548</v>
      </c>
      <c r="B2447" t="s">
        <v>15</v>
      </c>
      <c r="C2447" t="s">
        <v>16</v>
      </c>
      <c r="D2447">
        <v>38</v>
      </c>
      <c r="E2447" t="s">
        <v>2525</v>
      </c>
      <c r="F2447">
        <v>5419</v>
      </c>
      <c r="G2447" t="s">
        <v>18</v>
      </c>
      <c r="H2447">
        <v>27</v>
      </c>
      <c r="I2447" t="s">
        <v>19</v>
      </c>
      <c r="J2447">
        <v>2010</v>
      </c>
      <c r="K2447">
        <v>2010</v>
      </c>
      <c r="L2447" t="s">
        <v>20</v>
      </c>
      <c r="M2447">
        <v>40558</v>
      </c>
      <c r="N2447">
        <v>1712</v>
      </c>
    </row>
    <row r="2448" spans="1:14" x14ac:dyDescent="0.35">
      <c r="A2448" t="s">
        <v>2549</v>
      </c>
      <c r="B2448" t="s">
        <v>15</v>
      </c>
      <c r="C2448" t="s">
        <v>16</v>
      </c>
      <c r="D2448">
        <v>38</v>
      </c>
      <c r="E2448" t="s">
        <v>2525</v>
      </c>
      <c r="F2448">
        <v>5419</v>
      </c>
      <c r="G2448" t="s">
        <v>18</v>
      </c>
      <c r="H2448">
        <v>27</v>
      </c>
      <c r="I2448" t="s">
        <v>19</v>
      </c>
      <c r="J2448">
        <v>2011</v>
      </c>
      <c r="K2448">
        <v>2011</v>
      </c>
      <c r="L2448" t="s">
        <v>20</v>
      </c>
      <c r="M2448">
        <v>35699</v>
      </c>
      <c r="N2448">
        <v>1712</v>
      </c>
    </row>
    <row r="2449" spans="1:14" x14ac:dyDescent="0.35">
      <c r="A2449" t="s">
        <v>2550</v>
      </c>
      <c r="B2449" t="s">
        <v>15</v>
      </c>
      <c r="C2449" t="s">
        <v>16</v>
      </c>
      <c r="D2449">
        <v>38</v>
      </c>
      <c r="E2449" t="s">
        <v>2525</v>
      </c>
      <c r="F2449">
        <v>5419</v>
      </c>
      <c r="G2449" t="s">
        <v>18</v>
      </c>
      <c r="H2449">
        <v>27</v>
      </c>
      <c r="I2449" t="s">
        <v>19</v>
      </c>
      <c r="J2449">
        <v>2012</v>
      </c>
      <c r="K2449">
        <v>2012</v>
      </c>
      <c r="L2449" t="s">
        <v>20</v>
      </c>
      <c r="M2449">
        <v>36057</v>
      </c>
      <c r="N2449">
        <v>1712</v>
      </c>
    </row>
    <row r="2450" spans="1:14" x14ac:dyDescent="0.35">
      <c r="A2450" t="s">
        <v>2551</v>
      </c>
      <c r="B2450" t="s">
        <v>15</v>
      </c>
      <c r="C2450" t="s">
        <v>16</v>
      </c>
      <c r="D2450">
        <v>38</v>
      </c>
      <c r="E2450" t="s">
        <v>2525</v>
      </c>
      <c r="F2450">
        <v>5419</v>
      </c>
      <c r="G2450" t="s">
        <v>18</v>
      </c>
      <c r="H2450">
        <v>27</v>
      </c>
      <c r="I2450" t="s">
        <v>19</v>
      </c>
      <c r="J2450">
        <v>2013</v>
      </c>
      <c r="K2450">
        <v>2013</v>
      </c>
      <c r="L2450" t="s">
        <v>20</v>
      </c>
      <c r="M2450">
        <v>38897</v>
      </c>
      <c r="N2450">
        <v>1712</v>
      </c>
    </row>
    <row r="2451" spans="1:14" x14ac:dyDescent="0.35">
      <c r="A2451" t="s">
        <v>2552</v>
      </c>
      <c r="B2451" t="s">
        <v>15</v>
      </c>
      <c r="C2451" t="s">
        <v>16</v>
      </c>
      <c r="D2451">
        <v>38</v>
      </c>
      <c r="E2451" t="s">
        <v>2525</v>
      </c>
      <c r="F2451">
        <v>5419</v>
      </c>
      <c r="G2451" t="s">
        <v>18</v>
      </c>
      <c r="H2451">
        <v>27</v>
      </c>
      <c r="I2451" t="s">
        <v>19</v>
      </c>
      <c r="J2451">
        <v>2014</v>
      </c>
      <c r="K2451">
        <v>2014</v>
      </c>
      <c r="L2451" t="s">
        <v>20</v>
      </c>
      <c r="M2451">
        <v>38377</v>
      </c>
      <c r="N2451">
        <v>1712</v>
      </c>
    </row>
    <row r="2452" spans="1:14" x14ac:dyDescent="0.35">
      <c r="A2452" t="s">
        <v>2553</v>
      </c>
      <c r="B2452" t="s">
        <v>15</v>
      </c>
      <c r="C2452" t="s">
        <v>16</v>
      </c>
      <c r="D2452">
        <v>38</v>
      </c>
      <c r="E2452" t="s">
        <v>2525</v>
      </c>
      <c r="F2452">
        <v>5419</v>
      </c>
      <c r="G2452" t="s">
        <v>18</v>
      </c>
      <c r="H2452">
        <v>27</v>
      </c>
      <c r="I2452" t="s">
        <v>19</v>
      </c>
      <c r="J2452">
        <v>2015</v>
      </c>
      <c r="K2452">
        <v>2015</v>
      </c>
      <c r="L2452" t="s">
        <v>20</v>
      </c>
      <c r="M2452">
        <v>38726</v>
      </c>
      <c r="N2452">
        <v>1712</v>
      </c>
    </row>
    <row r="2453" spans="1:14" x14ac:dyDescent="0.35">
      <c r="A2453" t="s">
        <v>2554</v>
      </c>
      <c r="B2453" t="s">
        <v>15</v>
      </c>
      <c r="C2453" t="s">
        <v>16</v>
      </c>
      <c r="D2453">
        <v>38</v>
      </c>
      <c r="E2453" t="s">
        <v>2525</v>
      </c>
      <c r="F2453">
        <v>5419</v>
      </c>
      <c r="G2453" t="s">
        <v>18</v>
      </c>
      <c r="H2453">
        <v>27</v>
      </c>
      <c r="I2453" t="s">
        <v>19</v>
      </c>
      <c r="J2453">
        <v>2016</v>
      </c>
      <c r="K2453">
        <v>2016</v>
      </c>
      <c r="L2453" t="s">
        <v>20</v>
      </c>
      <c r="M2453">
        <v>39160</v>
      </c>
      <c r="N2453">
        <v>1712</v>
      </c>
    </row>
    <row r="2454" spans="1:14" x14ac:dyDescent="0.35">
      <c r="A2454" t="s">
        <v>2555</v>
      </c>
      <c r="B2454" t="s">
        <v>15</v>
      </c>
      <c r="C2454" t="s">
        <v>16</v>
      </c>
      <c r="D2454">
        <v>276</v>
      </c>
      <c r="E2454" t="s">
        <v>2556</v>
      </c>
      <c r="F2454">
        <v>5419</v>
      </c>
      <c r="G2454" t="s">
        <v>18</v>
      </c>
      <c r="H2454">
        <v>27</v>
      </c>
      <c r="I2454" t="s">
        <v>19</v>
      </c>
      <c r="J2454">
        <v>2012</v>
      </c>
      <c r="K2454">
        <v>2012</v>
      </c>
      <c r="L2454" t="s">
        <v>20</v>
      </c>
      <c r="M2454">
        <v>31746</v>
      </c>
      <c r="N2454">
        <v>1712</v>
      </c>
    </row>
    <row r="2455" spans="1:14" x14ac:dyDescent="0.35">
      <c r="A2455" t="s">
        <v>2557</v>
      </c>
      <c r="B2455" t="s">
        <v>15</v>
      </c>
      <c r="C2455" t="s">
        <v>16</v>
      </c>
      <c r="D2455">
        <v>276</v>
      </c>
      <c r="E2455" t="s">
        <v>2556</v>
      </c>
      <c r="F2455">
        <v>5419</v>
      </c>
      <c r="G2455" t="s">
        <v>18</v>
      </c>
      <c r="H2455">
        <v>27</v>
      </c>
      <c r="I2455" t="s">
        <v>19</v>
      </c>
      <c r="J2455">
        <v>2013</v>
      </c>
      <c r="K2455">
        <v>2013</v>
      </c>
      <c r="L2455" t="s">
        <v>20</v>
      </c>
      <c r="M2455">
        <v>33060</v>
      </c>
      <c r="N2455">
        <v>1712</v>
      </c>
    </row>
    <row r="2456" spans="1:14" x14ac:dyDescent="0.35">
      <c r="A2456" t="s">
        <v>2558</v>
      </c>
      <c r="B2456" t="s">
        <v>15</v>
      </c>
      <c r="C2456" t="s">
        <v>16</v>
      </c>
      <c r="D2456">
        <v>276</v>
      </c>
      <c r="E2456" t="s">
        <v>2556</v>
      </c>
      <c r="F2456">
        <v>5419</v>
      </c>
      <c r="G2456" t="s">
        <v>18</v>
      </c>
      <c r="H2456">
        <v>27</v>
      </c>
      <c r="I2456" t="s">
        <v>19</v>
      </c>
      <c r="J2456">
        <v>2014</v>
      </c>
      <c r="K2456">
        <v>2014</v>
      </c>
      <c r="L2456" t="s">
        <v>20</v>
      </c>
      <c r="M2456">
        <v>10821</v>
      </c>
      <c r="N2456">
        <v>1712</v>
      </c>
    </row>
    <row r="2457" spans="1:14" x14ac:dyDescent="0.35">
      <c r="A2457" t="s">
        <v>2559</v>
      </c>
      <c r="B2457" t="s">
        <v>15</v>
      </c>
      <c r="C2457" t="s">
        <v>16</v>
      </c>
      <c r="D2457">
        <v>276</v>
      </c>
      <c r="E2457" t="s">
        <v>2556</v>
      </c>
      <c r="F2457">
        <v>5419</v>
      </c>
      <c r="G2457" t="s">
        <v>18</v>
      </c>
      <c r="H2457">
        <v>27</v>
      </c>
      <c r="I2457" t="s">
        <v>19</v>
      </c>
      <c r="J2457">
        <v>2015</v>
      </c>
      <c r="K2457">
        <v>2015</v>
      </c>
      <c r="L2457" t="s">
        <v>20</v>
      </c>
      <c r="M2457">
        <v>42328</v>
      </c>
      <c r="N2457">
        <v>1712</v>
      </c>
    </row>
    <row r="2458" spans="1:14" x14ac:dyDescent="0.35">
      <c r="A2458" t="s">
        <v>2560</v>
      </c>
      <c r="B2458" t="s">
        <v>15</v>
      </c>
      <c r="C2458" t="s">
        <v>16</v>
      </c>
      <c r="D2458">
        <v>276</v>
      </c>
      <c r="E2458" t="s">
        <v>2556</v>
      </c>
      <c r="F2458">
        <v>5419</v>
      </c>
      <c r="G2458" t="s">
        <v>18</v>
      </c>
      <c r="H2458">
        <v>27</v>
      </c>
      <c r="I2458" t="s">
        <v>19</v>
      </c>
      <c r="J2458">
        <v>2016</v>
      </c>
      <c r="K2458">
        <v>2016</v>
      </c>
      <c r="L2458" t="s">
        <v>20</v>
      </c>
      <c r="M2458">
        <v>39216</v>
      </c>
      <c r="N2458">
        <v>1712</v>
      </c>
    </row>
    <row r="2459" spans="1:14" x14ac:dyDescent="0.35">
      <c r="A2459" t="s">
        <v>2561</v>
      </c>
      <c r="B2459" t="s">
        <v>15</v>
      </c>
      <c r="C2459" t="s">
        <v>16</v>
      </c>
      <c r="D2459">
        <v>207</v>
      </c>
      <c r="E2459" t="s">
        <v>2562</v>
      </c>
      <c r="F2459">
        <v>5419</v>
      </c>
      <c r="G2459" t="s">
        <v>18</v>
      </c>
      <c r="H2459">
        <v>27</v>
      </c>
      <c r="I2459" t="s">
        <v>19</v>
      </c>
      <c r="J2459">
        <v>1985</v>
      </c>
      <c r="K2459">
        <v>1985</v>
      </c>
      <c r="L2459" t="s">
        <v>20</v>
      </c>
      <c r="M2459">
        <v>39950</v>
      </c>
      <c r="N2459">
        <v>2331</v>
      </c>
    </row>
    <row r="2460" spans="1:14" x14ac:dyDescent="0.35">
      <c r="A2460" t="s">
        <v>2563</v>
      </c>
      <c r="B2460" t="s">
        <v>15</v>
      </c>
      <c r="C2460" t="s">
        <v>16</v>
      </c>
      <c r="D2460">
        <v>207</v>
      </c>
      <c r="E2460" t="s">
        <v>2562</v>
      </c>
      <c r="F2460">
        <v>5419</v>
      </c>
      <c r="G2460" t="s">
        <v>18</v>
      </c>
      <c r="H2460">
        <v>27</v>
      </c>
      <c r="I2460" t="s">
        <v>19</v>
      </c>
      <c r="J2460">
        <v>1986</v>
      </c>
      <c r="K2460">
        <v>1986</v>
      </c>
      <c r="L2460" t="s">
        <v>20</v>
      </c>
      <c r="M2460">
        <v>39921</v>
      </c>
      <c r="N2460">
        <v>2331</v>
      </c>
    </row>
    <row r="2461" spans="1:14" x14ac:dyDescent="0.35">
      <c r="A2461" t="s">
        <v>2564</v>
      </c>
      <c r="B2461" t="s">
        <v>15</v>
      </c>
      <c r="C2461" t="s">
        <v>16</v>
      </c>
      <c r="D2461">
        <v>207</v>
      </c>
      <c r="E2461" t="s">
        <v>2562</v>
      </c>
      <c r="F2461">
        <v>5419</v>
      </c>
      <c r="G2461" t="s">
        <v>18</v>
      </c>
      <c r="H2461">
        <v>27</v>
      </c>
      <c r="I2461" t="s">
        <v>19</v>
      </c>
      <c r="J2461">
        <v>1987</v>
      </c>
      <c r="K2461">
        <v>1987</v>
      </c>
      <c r="L2461" t="s">
        <v>20</v>
      </c>
      <c r="M2461">
        <v>38170</v>
      </c>
      <c r="N2461">
        <v>2331</v>
      </c>
    </row>
    <row r="2462" spans="1:14" x14ac:dyDescent="0.35">
      <c r="A2462" t="s">
        <v>2565</v>
      </c>
      <c r="B2462" t="s">
        <v>15</v>
      </c>
      <c r="C2462" t="s">
        <v>16</v>
      </c>
      <c r="D2462">
        <v>207</v>
      </c>
      <c r="E2462" t="s">
        <v>2562</v>
      </c>
      <c r="F2462">
        <v>5419</v>
      </c>
      <c r="G2462" t="s">
        <v>18</v>
      </c>
      <c r="H2462">
        <v>27</v>
      </c>
      <c r="I2462" t="s">
        <v>19</v>
      </c>
      <c r="J2462">
        <v>1989</v>
      </c>
      <c r="K2462">
        <v>1989</v>
      </c>
      <c r="L2462" t="s">
        <v>20</v>
      </c>
      <c r="M2462">
        <v>37345</v>
      </c>
      <c r="N2462">
        <v>2331</v>
      </c>
    </row>
    <row r="2463" spans="1:14" x14ac:dyDescent="0.35">
      <c r="A2463" t="s">
        <v>2566</v>
      </c>
      <c r="B2463" t="s">
        <v>15</v>
      </c>
      <c r="C2463" t="s">
        <v>16</v>
      </c>
      <c r="D2463">
        <v>207</v>
      </c>
      <c r="E2463" t="s">
        <v>2562</v>
      </c>
      <c r="F2463">
        <v>5419</v>
      </c>
      <c r="G2463" t="s">
        <v>18</v>
      </c>
      <c r="H2463">
        <v>27</v>
      </c>
      <c r="I2463" t="s">
        <v>19</v>
      </c>
      <c r="J2463">
        <v>1990</v>
      </c>
      <c r="K2463">
        <v>1990</v>
      </c>
      <c r="L2463" t="s">
        <v>20</v>
      </c>
      <c r="M2463">
        <v>37691</v>
      </c>
      <c r="N2463">
        <v>2331</v>
      </c>
    </row>
    <row r="2464" spans="1:14" x14ac:dyDescent="0.35">
      <c r="A2464" t="s">
        <v>2567</v>
      </c>
      <c r="B2464" t="s">
        <v>15</v>
      </c>
      <c r="C2464" t="s">
        <v>16</v>
      </c>
      <c r="D2464">
        <v>207</v>
      </c>
      <c r="E2464" t="s">
        <v>2562</v>
      </c>
      <c r="F2464">
        <v>5419</v>
      </c>
      <c r="G2464" t="s">
        <v>18</v>
      </c>
      <c r="H2464">
        <v>27</v>
      </c>
      <c r="I2464" t="s">
        <v>19</v>
      </c>
      <c r="J2464">
        <v>1991</v>
      </c>
      <c r="K2464">
        <v>1991</v>
      </c>
      <c r="L2464" t="s">
        <v>20</v>
      </c>
      <c r="M2464">
        <v>38156</v>
      </c>
      <c r="N2464">
        <v>2331</v>
      </c>
    </row>
    <row r="2465" spans="1:14" x14ac:dyDescent="0.35">
      <c r="A2465" t="s">
        <v>2568</v>
      </c>
      <c r="B2465" t="s">
        <v>15</v>
      </c>
      <c r="C2465" t="s">
        <v>16</v>
      </c>
      <c r="D2465">
        <v>207</v>
      </c>
      <c r="E2465" t="s">
        <v>2562</v>
      </c>
      <c r="F2465">
        <v>5419</v>
      </c>
      <c r="G2465" t="s">
        <v>18</v>
      </c>
      <c r="H2465">
        <v>27</v>
      </c>
      <c r="I2465" t="s">
        <v>19</v>
      </c>
      <c r="J2465">
        <v>1992</v>
      </c>
      <c r="K2465">
        <v>1992</v>
      </c>
      <c r="L2465" t="s">
        <v>20</v>
      </c>
      <c r="M2465">
        <v>37975</v>
      </c>
      <c r="N2465">
        <v>2331</v>
      </c>
    </row>
    <row r="2466" spans="1:14" x14ac:dyDescent="0.35">
      <c r="A2466" t="s">
        <v>2569</v>
      </c>
      <c r="B2466" t="s">
        <v>15</v>
      </c>
      <c r="C2466" t="s">
        <v>16</v>
      </c>
      <c r="D2466">
        <v>207</v>
      </c>
      <c r="E2466" t="s">
        <v>2562</v>
      </c>
      <c r="F2466">
        <v>5419</v>
      </c>
      <c r="G2466" t="s">
        <v>18</v>
      </c>
      <c r="H2466">
        <v>27</v>
      </c>
      <c r="I2466" t="s">
        <v>19</v>
      </c>
      <c r="J2466">
        <v>1993</v>
      </c>
      <c r="K2466">
        <v>1993</v>
      </c>
      <c r="L2466" t="s">
        <v>20</v>
      </c>
      <c r="M2466">
        <v>36987</v>
      </c>
      <c r="N2466">
        <v>2331</v>
      </c>
    </row>
    <row r="2467" spans="1:14" x14ac:dyDescent="0.35">
      <c r="A2467" t="s">
        <v>2570</v>
      </c>
      <c r="B2467" t="s">
        <v>15</v>
      </c>
      <c r="C2467" t="s">
        <v>16</v>
      </c>
      <c r="D2467">
        <v>207</v>
      </c>
      <c r="E2467" t="s">
        <v>2562</v>
      </c>
      <c r="F2467">
        <v>5419</v>
      </c>
      <c r="G2467" t="s">
        <v>18</v>
      </c>
      <c r="H2467">
        <v>27</v>
      </c>
      <c r="I2467" t="s">
        <v>19</v>
      </c>
      <c r="J2467">
        <v>1994</v>
      </c>
      <c r="K2467">
        <v>1994</v>
      </c>
      <c r="L2467" t="s">
        <v>20</v>
      </c>
      <c r="M2467">
        <v>36325</v>
      </c>
      <c r="N2467">
        <v>2331</v>
      </c>
    </row>
    <row r="2468" spans="1:14" x14ac:dyDescent="0.35">
      <c r="A2468" t="s">
        <v>2571</v>
      </c>
      <c r="B2468" t="s">
        <v>15</v>
      </c>
      <c r="C2468" t="s">
        <v>16</v>
      </c>
      <c r="D2468">
        <v>207</v>
      </c>
      <c r="E2468" t="s">
        <v>2562</v>
      </c>
      <c r="F2468">
        <v>5419</v>
      </c>
      <c r="G2468" t="s">
        <v>18</v>
      </c>
      <c r="H2468">
        <v>27</v>
      </c>
      <c r="I2468" t="s">
        <v>19</v>
      </c>
      <c r="J2468">
        <v>1995</v>
      </c>
      <c r="K2468">
        <v>1995</v>
      </c>
      <c r="L2468" t="s">
        <v>20</v>
      </c>
      <c r="M2468">
        <v>35186</v>
      </c>
      <c r="N2468">
        <v>2331</v>
      </c>
    </row>
    <row r="2469" spans="1:14" x14ac:dyDescent="0.35">
      <c r="A2469" t="s">
        <v>2572</v>
      </c>
      <c r="B2469" t="s">
        <v>15</v>
      </c>
      <c r="C2469" t="s">
        <v>16</v>
      </c>
      <c r="D2469">
        <v>207</v>
      </c>
      <c r="E2469" t="s">
        <v>2562</v>
      </c>
      <c r="F2469">
        <v>5419</v>
      </c>
      <c r="G2469" t="s">
        <v>18</v>
      </c>
      <c r="H2469">
        <v>27</v>
      </c>
      <c r="I2469" t="s">
        <v>19</v>
      </c>
      <c r="J2469">
        <v>1996</v>
      </c>
      <c r="K2469">
        <v>1996</v>
      </c>
      <c r="L2469" t="s">
        <v>20</v>
      </c>
      <c r="M2469">
        <v>37025</v>
      </c>
      <c r="N2469">
        <v>2331</v>
      </c>
    </row>
    <row r="2470" spans="1:14" x14ac:dyDescent="0.35">
      <c r="A2470" t="s">
        <v>2573</v>
      </c>
      <c r="B2470" t="s">
        <v>15</v>
      </c>
      <c r="C2470" t="s">
        <v>16</v>
      </c>
      <c r="D2470">
        <v>207</v>
      </c>
      <c r="E2470" t="s">
        <v>2562</v>
      </c>
      <c r="F2470">
        <v>5419</v>
      </c>
      <c r="G2470" t="s">
        <v>18</v>
      </c>
      <c r="H2470">
        <v>27</v>
      </c>
      <c r="I2470" t="s">
        <v>19</v>
      </c>
      <c r="J2470">
        <v>1997</v>
      </c>
      <c r="K2470">
        <v>1997</v>
      </c>
      <c r="L2470" t="s">
        <v>20</v>
      </c>
      <c r="M2470">
        <v>39827</v>
      </c>
      <c r="N2470">
        <v>2331</v>
      </c>
    </row>
    <row r="2471" spans="1:14" x14ac:dyDescent="0.35">
      <c r="A2471" t="s">
        <v>2574</v>
      </c>
      <c r="B2471" t="s">
        <v>15</v>
      </c>
      <c r="C2471" t="s">
        <v>16</v>
      </c>
      <c r="D2471">
        <v>207</v>
      </c>
      <c r="E2471" t="s">
        <v>2562</v>
      </c>
      <c r="F2471">
        <v>5419</v>
      </c>
      <c r="G2471" t="s">
        <v>18</v>
      </c>
      <c r="H2471">
        <v>27</v>
      </c>
      <c r="I2471" t="s">
        <v>19</v>
      </c>
      <c r="J2471">
        <v>1998</v>
      </c>
      <c r="K2471">
        <v>1998</v>
      </c>
      <c r="L2471" t="s">
        <v>20</v>
      </c>
      <c r="M2471">
        <v>37581</v>
      </c>
      <c r="N2471">
        <v>2331</v>
      </c>
    </row>
    <row r="2472" spans="1:14" x14ac:dyDescent="0.35">
      <c r="A2472" t="s">
        <v>2575</v>
      </c>
      <c r="B2472" t="s">
        <v>15</v>
      </c>
      <c r="C2472" t="s">
        <v>16</v>
      </c>
      <c r="D2472">
        <v>207</v>
      </c>
      <c r="E2472" t="s">
        <v>2562</v>
      </c>
      <c r="F2472">
        <v>5419</v>
      </c>
      <c r="G2472" t="s">
        <v>18</v>
      </c>
      <c r="H2472">
        <v>27</v>
      </c>
      <c r="I2472" t="s">
        <v>19</v>
      </c>
      <c r="J2472">
        <v>1999</v>
      </c>
      <c r="K2472">
        <v>1999</v>
      </c>
      <c r="L2472" t="s">
        <v>20</v>
      </c>
      <c r="M2472">
        <v>37205</v>
      </c>
      <c r="N2472">
        <v>2331</v>
      </c>
    </row>
    <row r="2473" spans="1:14" x14ac:dyDescent="0.35">
      <c r="A2473" t="s">
        <v>2576</v>
      </c>
      <c r="B2473" t="s">
        <v>15</v>
      </c>
      <c r="C2473" t="s">
        <v>16</v>
      </c>
      <c r="D2473">
        <v>207</v>
      </c>
      <c r="E2473" t="s">
        <v>2562</v>
      </c>
      <c r="F2473">
        <v>5419</v>
      </c>
      <c r="G2473" t="s">
        <v>18</v>
      </c>
      <c r="H2473">
        <v>27</v>
      </c>
      <c r="I2473" t="s">
        <v>19</v>
      </c>
      <c r="J2473">
        <v>2000</v>
      </c>
      <c r="K2473">
        <v>2000</v>
      </c>
      <c r="L2473" t="s">
        <v>20</v>
      </c>
      <c r="M2473">
        <v>38970</v>
      </c>
      <c r="N2473">
        <v>2331</v>
      </c>
    </row>
    <row r="2474" spans="1:14" x14ac:dyDescent="0.35">
      <c r="A2474" t="s">
        <v>2577</v>
      </c>
      <c r="B2474" t="s">
        <v>15</v>
      </c>
      <c r="C2474" t="s">
        <v>16</v>
      </c>
      <c r="D2474">
        <v>207</v>
      </c>
      <c r="E2474" t="s">
        <v>2562</v>
      </c>
      <c r="F2474">
        <v>5419</v>
      </c>
      <c r="G2474" t="s">
        <v>18</v>
      </c>
      <c r="H2474">
        <v>27</v>
      </c>
      <c r="I2474" t="s">
        <v>19</v>
      </c>
      <c r="J2474">
        <v>2001</v>
      </c>
      <c r="K2474">
        <v>2001</v>
      </c>
      <c r="L2474" t="s">
        <v>20</v>
      </c>
      <c r="M2474">
        <v>37671</v>
      </c>
      <c r="N2474">
        <v>2331</v>
      </c>
    </row>
    <row r="2475" spans="1:14" x14ac:dyDescent="0.35">
      <c r="A2475" t="s">
        <v>2578</v>
      </c>
      <c r="B2475" t="s">
        <v>15</v>
      </c>
      <c r="C2475" t="s">
        <v>16</v>
      </c>
      <c r="D2475">
        <v>207</v>
      </c>
      <c r="E2475" t="s">
        <v>2562</v>
      </c>
      <c r="F2475">
        <v>5419</v>
      </c>
      <c r="G2475" t="s">
        <v>18</v>
      </c>
      <c r="H2475">
        <v>27</v>
      </c>
      <c r="I2475" t="s">
        <v>19</v>
      </c>
      <c r="J2475">
        <v>2002</v>
      </c>
      <c r="K2475">
        <v>2002</v>
      </c>
      <c r="L2475" t="s">
        <v>20</v>
      </c>
      <c r="M2475">
        <v>39227</v>
      </c>
      <c r="N2475">
        <v>2331</v>
      </c>
    </row>
    <row r="2476" spans="1:14" x14ac:dyDescent="0.35">
      <c r="A2476" t="s">
        <v>2579</v>
      </c>
      <c r="B2476" t="s">
        <v>15</v>
      </c>
      <c r="C2476" t="s">
        <v>16</v>
      </c>
      <c r="D2476">
        <v>207</v>
      </c>
      <c r="E2476" t="s">
        <v>2562</v>
      </c>
      <c r="F2476">
        <v>5419</v>
      </c>
      <c r="G2476" t="s">
        <v>18</v>
      </c>
      <c r="H2476">
        <v>27</v>
      </c>
      <c r="I2476" t="s">
        <v>19</v>
      </c>
      <c r="J2476">
        <v>2004</v>
      </c>
      <c r="K2476">
        <v>2004</v>
      </c>
      <c r="L2476" t="s">
        <v>20</v>
      </c>
      <c r="M2476">
        <v>35596</v>
      </c>
      <c r="N2476">
        <v>2331</v>
      </c>
    </row>
    <row r="2477" spans="1:14" x14ac:dyDescent="0.35">
      <c r="A2477" t="s">
        <v>2580</v>
      </c>
      <c r="B2477" t="s">
        <v>15</v>
      </c>
      <c r="C2477" t="s">
        <v>16</v>
      </c>
      <c r="D2477">
        <v>207</v>
      </c>
      <c r="E2477" t="s">
        <v>2562</v>
      </c>
      <c r="F2477">
        <v>5419</v>
      </c>
      <c r="G2477" t="s">
        <v>18</v>
      </c>
      <c r="H2477">
        <v>27</v>
      </c>
      <c r="I2477" t="s">
        <v>19</v>
      </c>
      <c r="J2477">
        <v>2005</v>
      </c>
      <c r="K2477">
        <v>2005</v>
      </c>
      <c r="L2477" t="s">
        <v>20</v>
      </c>
      <c r="M2477">
        <v>35984</v>
      </c>
      <c r="N2477">
        <v>2331</v>
      </c>
    </row>
    <row r="2478" spans="1:14" x14ac:dyDescent="0.35">
      <c r="A2478" t="s">
        <v>2581</v>
      </c>
      <c r="B2478" t="s">
        <v>15</v>
      </c>
      <c r="C2478" t="s">
        <v>16</v>
      </c>
      <c r="D2478">
        <v>207</v>
      </c>
      <c r="E2478" t="s">
        <v>2562</v>
      </c>
      <c r="F2478">
        <v>5419</v>
      </c>
      <c r="G2478" t="s">
        <v>18</v>
      </c>
      <c r="H2478">
        <v>27</v>
      </c>
      <c r="I2478" t="s">
        <v>19</v>
      </c>
      <c r="J2478">
        <v>2006</v>
      </c>
      <c r="K2478">
        <v>2006</v>
      </c>
      <c r="L2478" t="s">
        <v>20</v>
      </c>
      <c r="M2478">
        <v>41296</v>
      </c>
      <c r="N2478">
        <v>2331</v>
      </c>
    </row>
    <row r="2479" spans="1:14" x14ac:dyDescent="0.35">
      <c r="A2479" t="s">
        <v>2582</v>
      </c>
      <c r="B2479" t="s">
        <v>15</v>
      </c>
      <c r="C2479" t="s">
        <v>16</v>
      </c>
      <c r="D2479">
        <v>207</v>
      </c>
      <c r="E2479" t="s">
        <v>2562</v>
      </c>
      <c r="F2479">
        <v>5419</v>
      </c>
      <c r="G2479" t="s">
        <v>18</v>
      </c>
      <c r="H2479">
        <v>27</v>
      </c>
      <c r="I2479" t="s">
        <v>19</v>
      </c>
      <c r="J2479">
        <v>2007</v>
      </c>
      <c r="K2479">
        <v>2007</v>
      </c>
      <c r="L2479" t="s">
        <v>20</v>
      </c>
      <c r="M2479">
        <v>42534</v>
      </c>
      <c r="N2479">
        <v>2331</v>
      </c>
    </row>
    <row r="2480" spans="1:14" x14ac:dyDescent="0.35">
      <c r="A2480" t="s">
        <v>2583</v>
      </c>
      <c r="B2480" t="s">
        <v>15</v>
      </c>
      <c r="C2480" t="s">
        <v>16</v>
      </c>
      <c r="D2480">
        <v>207</v>
      </c>
      <c r="E2480" t="s">
        <v>2562</v>
      </c>
      <c r="F2480">
        <v>5419</v>
      </c>
      <c r="G2480" t="s">
        <v>18</v>
      </c>
      <c r="H2480">
        <v>27</v>
      </c>
      <c r="I2480" t="s">
        <v>19</v>
      </c>
      <c r="J2480">
        <v>2008</v>
      </c>
      <c r="K2480">
        <v>2008</v>
      </c>
      <c r="L2480" t="s">
        <v>20</v>
      </c>
      <c r="M2480">
        <v>41892</v>
      </c>
      <c r="N2480">
        <v>2331</v>
      </c>
    </row>
    <row r="2481" spans="1:14" x14ac:dyDescent="0.35">
      <c r="A2481" t="s">
        <v>2584</v>
      </c>
      <c r="B2481" t="s">
        <v>15</v>
      </c>
      <c r="C2481" t="s">
        <v>16</v>
      </c>
      <c r="D2481">
        <v>207</v>
      </c>
      <c r="E2481" t="s">
        <v>2562</v>
      </c>
      <c r="F2481">
        <v>5419</v>
      </c>
      <c r="G2481" t="s">
        <v>18</v>
      </c>
      <c r="H2481">
        <v>27</v>
      </c>
      <c r="I2481" t="s">
        <v>19</v>
      </c>
      <c r="J2481">
        <v>2009</v>
      </c>
      <c r="K2481">
        <v>2009</v>
      </c>
      <c r="L2481" t="s">
        <v>20</v>
      </c>
      <c r="M2481">
        <v>42092</v>
      </c>
      <c r="N2481">
        <v>2331</v>
      </c>
    </row>
    <row r="2482" spans="1:14" x14ac:dyDescent="0.35">
      <c r="A2482" t="s">
        <v>2585</v>
      </c>
      <c r="B2482" t="s">
        <v>15</v>
      </c>
      <c r="C2482" t="s">
        <v>16</v>
      </c>
      <c r="D2482">
        <v>207</v>
      </c>
      <c r="E2482" t="s">
        <v>2562</v>
      </c>
      <c r="F2482">
        <v>5419</v>
      </c>
      <c r="G2482" t="s">
        <v>18</v>
      </c>
      <c r="H2482">
        <v>27</v>
      </c>
      <c r="I2482" t="s">
        <v>19</v>
      </c>
      <c r="J2482">
        <v>2010</v>
      </c>
      <c r="K2482">
        <v>2010</v>
      </c>
      <c r="L2482" t="s">
        <v>20</v>
      </c>
      <c r="M2482">
        <v>42329</v>
      </c>
      <c r="N2482">
        <v>2331</v>
      </c>
    </row>
    <row r="2483" spans="1:14" x14ac:dyDescent="0.35">
      <c r="A2483" t="s">
        <v>2586</v>
      </c>
      <c r="B2483" t="s">
        <v>15</v>
      </c>
      <c r="C2483" t="s">
        <v>16</v>
      </c>
      <c r="D2483">
        <v>207</v>
      </c>
      <c r="E2483" t="s">
        <v>2562</v>
      </c>
      <c r="F2483">
        <v>5419</v>
      </c>
      <c r="G2483" t="s">
        <v>18</v>
      </c>
      <c r="H2483">
        <v>27</v>
      </c>
      <c r="I2483" t="s">
        <v>19</v>
      </c>
      <c r="J2483">
        <v>2011</v>
      </c>
      <c r="K2483">
        <v>2011</v>
      </c>
      <c r="L2483" t="s">
        <v>20</v>
      </c>
      <c r="M2483">
        <v>41331</v>
      </c>
      <c r="N2483">
        <v>2331</v>
      </c>
    </row>
    <row r="2484" spans="1:14" x14ac:dyDescent="0.35">
      <c r="A2484" t="s">
        <v>2587</v>
      </c>
      <c r="B2484" t="s">
        <v>15</v>
      </c>
      <c r="C2484" t="s">
        <v>16</v>
      </c>
      <c r="D2484">
        <v>207</v>
      </c>
      <c r="E2484" t="s">
        <v>2562</v>
      </c>
      <c r="F2484">
        <v>5419</v>
      </c>
      <c r="G2484" t="s">
        <v>18</v>
      </c>
      <c r="H2484">
        <v>27</v>
      </c>
      <c r="I2484" t="s">
        <v>19</v>
      </c>
      <c r="J2484">
        <v>2012</v>
      </c>
      <c r="K2484">
        <v>2012</v>
      </c>
      <c r="L2484" t="s">
        <v>20</v>
      </c>
      <c r="M2484">
        <v>43622</v>
      </c>
      <c r="N2484">
        <v>2331</v>
      </c>
    </row>
    <row r="2485" spans="1:14" x14ac:dyDescent="0.35">
      <c r="A2485" t="s">
        <v>2588</v>
      </c>
      <c r="B2485" t="s">
        <v>15</v>
      </c>
      <c r="C2485" t="s">
        <v>16</v>
      </c>
      <c r="D2485">
        <v>207</v>
      </c>
      <c r="E2485" t="s">
        <v>2562</v>
      </c>
      <c r="F2485">
        <v>5419</v>
      </c>
      <c r="G2485" t="s">
        <v>18</v>
      </c>
      <c r="H2485">
        <v>27</v>
      </c>
      <c r="I2485" t="s">
        <v>19</v>
      </c>
      <c r="J2485">
        <v>2013</v>
      </c>
      <c r="K2485">
        <v>2013</v>
      </c>
      <c r="L2485" t="s">
        <v>20</v>
      </c>
      <c r="M2485">
        <v>44965</v>
      </c>
      <c r="N2485">
        <v>2331</v>
      </c>
    </row>
    <row r="2486" spans="1:14" x14ac:dyDescent="0.35">
      <c r="A2486" t="s">
        <v>2589</v>
      </c>
      <c r="B2486" t="s">
        <v>15</v>
      </c>
      <c r="C2486" t="s">
        <v>16</v>
      </c>
      <c r="D2486">
        <v>207</v>
      </c>
      <c r="E2486" t="s">
        <v>2562</v>
      </c>
      <c r="F2486">
        <v>5419</v>
      </c>
      <c r="G2486" t="s">
        <v>18</v>
      </c>
      <c r="H2486">
        <v>27</v>
      </c>
      <c r="I2486" t="s">
        <v>19</v>
      </c>
      <c r="J2486">
        <v>2014</v>
      </c>
      <c r="K2486">
        <v>2014</v>
      </c>
      <c r="L2486" t="s">
        <v>20</v>
      </c>
      <c r="M2486">
        <v>44341</v>
      </c>
      <c r="N2486">
        <v>2331</v>
      </c>
    </row>
    <row r="2487" spans="1:14" x14ac:dyDescent="0.35">
      <c r="A2487" t="s">
        <v>2590</v>
      </c>
      <c r="B2487" t="s">
        <v>15</v>
      </c>
      <c r="C2487" t="s">
        <v>16</v>
      </c>
      <c r="D2487">
        <v>207</v>
      </c>
      <c r="E2487" t="s">
        <v>2562</v>
      </c>
      <c r="F2487">
        <v>5419</v>
      </c>
      <c r="G2487" t="s">
        <v>18</v>
      </c>
      <c r="H2487">
        <v>27</v>
      </c>
      <c r="I2487" t="s">
        <v>19</v>
      </c>
      <c r="J2487">
        <v>2015</v>
      </c>
      <c r="K2487">
        <v>2015</v>
      </c>
      <c r="L2487" t="s">
        <v>20</v>
      </c>
      <c r="M2487">
        <v>45309</v>
      </c>
      <c r="N2487">
        <v>2331</v>
      </c>
    </row>
    <row r="2488" spans="1:14" x14ac:dyDescent="0.35">
      <c r="A2488" t="s">
        <v>2591</v>
      </c>
      <c r="B2488" t="s">
        <v>15</v>
      </c>
      <c r="C2488" t="s">
        <v>16</v>
      </c>
      <c r="D2488">
        <v>207</v>
      </c>
      <c r="E2488" t="s">
        <v>2562</v>
      </c>
      <c r="F2488">
        <v>5419</v>
      </c>
      <c r="G2488" t="s">
        <v>18</v>
      </c>
      <c r="H2488">
        <v>27</v>
      </c>
      <c r="I2488" t="s">
        <v>19</v>
      </c>
      <c r="J2488">
        <v>2016</v>
      </c>
      <c r="K2488">
        <v>2016</v>
      </c>
      <c r="L2488" t="s">
        <v>20</v>
      </c>
      <c r="M2488">
        <v>44341</v>
      </c>
      <c r="N2488">
        <v>2331</v>
      </c>
    </row>
    <row r="2489" spans="1:14" x14ac:dyDescent="0.35">
      <c r="A2489" t="s">
        <v>2592</v>
      </c>
      <c r="B2489" t="s">
        <v>15</v>
      </c>
      <c r="C2489" t="s">
        <v>16</v>
      </c>
      <c r="D2489">
        <v>209</v>
      </c>
      <c r="E2489" t="s">
        <v>2593</v>
      </c>
      <c r="F2489">
        <v>5419</v>
      </c>
      <c r="G2489" t="s">
        <v>18</v>
      </c>
      <c r="H2489">
        <v>27</v>
      </c>
      <c r="I2489" t="s">
        <v>19</v>
      </c>
      <c r="J2489">
        <v>1985</v>
      </c>
      <c r="K2489">
        <v>1985</v>
      </c>
      <c r="L2489" t="s">
        <v>20</v>
      </c>
      <c r="M2489">
        <v>75000</v>
      </c>
      <c r="N2489">
        <v>788</v>
      </c>
    </row>
    <row r="2490" spans="1:14" x14ac:dyDescent="0.35">
      <c r="A2490" t="s">
        <v>2594</v>
      </c>
      <c r="B2490" t="s">
        <v>15</v>
      </c>
      <c r="C2490" t="s">
        <v>16</v>
      </c>
      <c r="D2490">
        <v>209</v>
      </c>
      <c r="E2490" t="s">
        <v>2593</v>
      </c>
      <c r="F2490">
        <v>5419</v>
      </c>
      <c r="G2490" t="s">
        <v>18</v>
      </c>
      <c r="H2490">
        <v>27</v>
      </c>
      <c r="I2490" t="s">
        <v>19</v>
      </c>
      <c r="J2490">
        <v>1986</v>
      </c>
      <c r="K2490">
        <v>1986</v>
      </c>
      <c r="L2490" t="s">
        <v>20</v>
      </c>
      <c r="M2490">
        <v>75000</v>
      </c>
      <c r="N2490">
        <v>788</v>
      </c>
    </row>
    <row r="2491" spans="1:14" x14ac:dyDescent="0.35">
      <c r="A2491" t="s">
        <v>2595</v>
      </c>
      <c r="B2491" t="s">
        <v>15</v>
      </c>
      <c r="C2491" t="s">
        <v>16</v>
      </c>
      <c r="D2491">
        <v>209</v>
      </c>
      <c r="E2491" t="s">
        <v>2593</v>
      </c>
      <c r="F2491">
        <v>5419</v>
      </c>
      <c r="G2491" t="s">
        <v>18</v>
      </c>
      <c r="H2491">
        <v>27</v>
      </c>
      <c r="I2491" t="s">
        <v>19</v>
      </c>
      <c r="J2491">
        <v>1987</v>
      </c>
      <c r="K2491">
        <v>1987</v>
      </c>
      <c r="L2491" t="s">
        <v>20</v>
      </c>
      <c r="M2491">
        <v>75000</v>
      </c>
      <c r="N2491">
        <v>788</v>
      </c>
    </row>
    <row r="2492" spans="1:14" x14ac:dyDescent="0.35">
      <c r="A2492" t="s">
        <v>2596</v>
      </c>
      <c r="B2492" t="s">
        <v>15</v>
      </c>
      <c r="C2492" t="s">
        <v>16</v>
      </c>
      <c r="D2492">
        <v>209</v>
      </c>
      <c r="E2492" t="s">
        <v>2593</v>
      </c>
      <c r="F2492">
        <v>5419</v>
      </c>
      <c r="G2492" t="s">
        <v>18</v>
      </c>
      <c r="H2492">
        <v>27</v>
      </c>
      <c r="I2492" t="s">
        <v>19</v>
      </c>
      <c r="J2492">
        <v>1989</v>
      </c>
      <c r="K2492">
        <v>1989</v>
      </c>
      <c r="L2492" t="s">
        <v>20</v>
      </c>
      <c r="M2492">
        <v>75000</v>
      </c>
      <c r="N2492">
        <v>788</v>
      </c>
    </row>
    <row r="2493" spans="1:14" x14ac:dyDescent="0.35">
      <c r="A2493" t="s">
        <v>2597</v>
      </c>
      <c r="B2493" t="s">
        <v>15</v>
      </c>
      <c r="C2493" t="s">
        <v>16</v>
      </c>
      <c r="D2493">
        <v>209</v>
      </c>
      <c r="E2493" t="s">
        <v>2593</v>
      </c>
      <c r="F2493">
        <v>5419</v>
      </c>
      <c r="G2493" t="s">
        <v>18</v>
      </c>
      <c r="H2493">
        <v>27</v>
      </c>
      <c r="I2493" t="s">
        <v>19</v>
      </c>
      <c r="J2493">
        <v>1990</v>
      </c>
      <c r="K2493">
        <v>1990</v>
      </c>
      <c r="L2493" t="s">
        <v>20</v>
      </c>
      <c r="M2493">
        <v>91492</v>
      </c>
      <c r="N2493">
        <v>788</v>
      </c>
    </row>
    <row r="2494" spans="1:14" x14ac:dyDescent="0.35">
      <c r="A2494" t="s">
        <v>2598</v>
      </c>
      <c r="B2494" t="s">
        <v>15</v>
      </c>
      <c r="C2494" t="s">
        <v>16</v>
      </c>
      <c r="D2494">
        <v>209</v>
      </c>
      <c r="E2494" t="s">
        <v>2593</v>
      </c>
      <c r="F2494">
        <v>5419</v>
      </c>
      <c r="G2494" t="s">
        <v>18</v>
      </c>
      <c r="H2494">
        <v>27</v>
      </c>
      <c r="I2494" t="s">
        <v>19</v>
      </c>
      <c r="J2494">
        <v>1991</v>
      </c>
      <c r="K2494">
        <v>1991</v>
      </c>
      <c r="L2494" t="s">
        <v>20</v>
      </c>
      <c r="M2494">
        <v>75000</v>
      </c>
      <c r="N2494">
        <v>788</v>
      </c>
    </row>
    <row r="2495" spans="1:14" x14ac:dyDescent="0.35">
      <c r="A2495" t="s">
        <v>2599</v>
      </c>
      <c r="B2495" t="s">
        <v>15</v>
      </c>
      <c r="C2495" t="s">
        <v>16</v>
      </c>
      <c r="D2495">
        <v>209</v>
      </c>
      <c r="E2495" t="s">
        <v>2593</v>
      </c>
      <c r="F2495">
        <v>5419</v>
      </c>
      <c r="G2495" t="s">
        <v>18</v>
      </c>
      <c r="H2495">
        <v>27</v>
      </c>
      <c r="I2495" t="s">
        <v>19</v>
      </c>
      <c r="J2495">
        <v>1992</v>
      </c>
      <c r="K2495">
        <v>1992</v>
      </c>
      <c r="L2495" t="s">
        <v>20</v>
      </c>
      <c r="M2495">
        <v>61660</v>
      </c>
      <c r="N2495">
        <v>788</v>
      </c>
    </row>
    <row r="2496" spans="1:14" x14ac:dyDescent="0.35">
      <c r="A2496" t="s">
        <v>2600</v>
      </c>
      <c r="B2496" t="s">
        <v>15</v>
      </c>
      <c r="C2496" t="s">
        <v>16</v>
      </c>
      <c r="D2496">
        <v>209</v>
      </c>
      <c r="E2496" t="s">
        <v>2593</v>
      </c>
      <c r="F2496">
        <v>5419</v>
      </c>
      <c r="G2496" t="s">
        <v>18</v>
      </c>
      <c r="H2496">
        <v>27</v>
      </c>
      <c r="I2496" t="s">
        <v>19</v>
      </c>
      <c r="J2496">
        <v>1993</v>
      </c>
      <c r="K2496">
        <v>1993</v>
      </c>
      <c r="L2496" t="s">
        <v>20</v>
      </c>
      <c r="M2496">
        <v>50000</v>
      </c>
      <c r="N2496">
        <v>788</v>
      </c>
    </row>
    <row r="2497" spans="1:14" x14ac:dyDescent="0.35">
      <c r="A2497" t="s">
        <v>2601</v>
      </c>
      <c r="B2497" t="s">
        <v>15</v>
      </c>
      <c r="C2497" t="s">
        <v>16</v>
      </c>
      <c r="D2497">
        <v>209</v>
      </c>
      <c r="E2497" t="s">
        <v>2593</v>
      </c>
      <c r="F2497">
        <v>5419</v>
      </c>
      <c r="G2497" t="s">
        <v>18</v>
      </c>
      <c r="H2497">
        <v>27</v>
      </c>
      <c r="I2497" t="s">
        <v>19</v>
      </c>
      <c r="J2497">
        <v>1994</v>
      </c>
      <c r="K2497">
        <v>1994</v>
      </c>
      <c r="L2497" t="s">
        <v>20</v>
      </c>
      <c r="M2497">
        <v>55000</v>
      </c>
      <c r="N2497">
        <v>788</v>
      </c>
    </row>
    <row r="2498" spans="1:14" x14ac:dyDescent="0.35">
      <c r="A2498" t="s">
        <v>2602</v>
      </c>
      <c r="B2498" t="s">
        <v>15</v>
      </c>
      <c r="C2498" t="s">
        <v>16</v>
      </c>
      <c r="D2498">
        <v>209</v>
      </c>
      <c r="E2498" t="s">
        <v>2593</v>
      </c>
      <c r="F2498">
        <v>5419</v>
      </c>
      <c r="G2498" t="s">
        <v>18</v>
      </c>
      <c r="H2498">
        <v>27</v>
      </c>
      <c r="I2498" t="s">
        <v>19</v>
      </c>
      <c r="J2498">
        <v>1995</v>
      </c>
      <c r="K2498">
        <v>1995</v>
      </c>
      <c r="L2498" t="s">
        <v>20</v>
      </c>
      <c r="M2498">
        <v>53162</v>
      </c>
      <c r="N2498">
        <v>788</v>
      </c>
    </row>
    <row r="2499" spans="1:14" x14ac:dyDescent="0.35">
      <c r="A2499" t="s">
        <v>2603</v>
      </c>
      <c r="B2499" t="s">
        <v>15</v>
      </c>
      <c r="C2499" t="s">
        <v>16</v>
      </c>
      <c r="D2499">
        <v>209</v>
      </c>
      <c r="E2499" t="s">
        <v>2593</v>
      </c>
      <c r="F2499">
        <v>5419</v>
      </c>
      <c r="G2499" t="s">
        <v>18</v>
      </c>
      <c r="H2499">
        <v>27</v>
      </c>
      <c r="I2499" t="s">
        <v>19</v>
      </c>
      <c r="J2499">
        <v>1996</v>
      </c>
      <c r="K2499">
        <v>1996</v>
      </c>
      <c r="L2499" t="s">
        <v>20</v>
      </c>
      <c r="M2499">
        <v>46491</v>
      </c>
      <c r="N2499">
        <v>788</v>
      </c>
    </row>
    <row r="2500" spans="1:14" x14ac:dyDescent="0.35">
      <c r="A2500" t="s">
        <v>2604</v>
      </c>
      <c r="B2500" t="s">
        <v>15</v>
      </c>
      <c r="C2500" t="s">
        <v>16</v>
      </c>
      <c r="D2500">
        <v>209</v>
      </c>
      <c r="E2500" t="s">
        <v>2593</v>
      </c>
      <c r="F2500">
        <v>5419</v>
      </c>
      <c r="G2500" t="s">
        <v>18</v>
      </c>
      <c r="H2500">
        <v>27</v>
      </c>
      <c r="I2500" t="s">
        <v>19</v>
      </c>
      <c r="J2500">
        <v>1997</v>
      </c>
      <c r="K2500">
        <v>1997</v>
      </c>
      <c r="L2500" t="s">
        <v>20</v>
      </c>
      <c r="M2500">
        <v>51375</v>
      </c>
      <c r="N2500">
        <v>788</v>
      </c>
    </row>
    <row r="2501" spans="1:14" x14ac:dyDescent="0.35">
      <c r="A2501" t="s">
        <v>2605</v>
      </c>
      <c r="B2501" t="s">
        <v>15</v>
      </c>
      <c r="C2501" t="s">
        <v>16</v>
      </c>
      <c r="D2501">
        <v>209</v>
      </c>
      <c r="E2501" t="s">
        <v>2593</v>
      </c>
      <c r="F2501">
        <v>5419</v>
      </c>
      <c r="G2501" t="s">
        <v>18</v>
      </c>
      <c r="H2501">
        <v>27</v>
      </c>
      <c r="I2501" t="s">
        <v>19</v>
      </c>
      <c r="J2501">
        <v>1998</v>
      </c>
      <c r="K2501">
        <v>1998</v>
      </c>
      <c r="L2501" t="s">
        <v>20</v>
      </c>
      <c r="M2501">
        <v>70000</v>
      </c>
      <c r="N2501">
        <v>788</v>
      </c>
    </row>
    <row r="2502" spans="1:14" x14ac:dyDescent="0.35">
      <c r="A2502" t="s">
        <v>2606</v>
      </c>
      <c r="B2502" t="s">
        <v>15</v>
      </c>
      <c r="C2502" t="s">
        <v>16</v>
      </c>
      <c r="D2502">
        <v>209</v>
      </c>
      <c r="E2502" t="s">
        <v>2593</v>
      </c>
      <c r="F2502">
        <v>5419</v>
      </c>
      <c r="G2502" t="s">
        <v>18</v>
      </c>
      <c r="H2502">
        <v>27</v>
      </c>
      <c r="I2502" t="s">
        <v>19</v>
      </c>
      <c r="J2502">
        <v>1999</v>
      </c>
      <c r="K2502">
        <v>1999</v>
      </c>
      <c r="L2502" t="s">
        <v>20</v>
      </c>
      <c r="M2502">
        <v>33333</v>
      </c>
      <c r="N2502">
        <v>788</v>
      </c>
    </row>
    <row r="2503" spans="1:14" x14ac:dyDescent="0.35">
      <c r="A2503" t="s">
        <v>2607</v>
      </c>
      <c r="B2503" t="s">
        <v>15</v>
      </c>
      <c r="C2503" t="s">
        <v>16</v>
      </c>
      <c r="D2503">
        <v>209</v>
      </c>
      <c r="E2503" t="s">
        <v>2593</v>
      </c>
      <c r="F2503">
        <v>5419</v>
      </c>
      <c r="G2503" t="s">
        <v>18</v>
      </c>
      <c r="H2503">
        <v>27</v>
      </c>
      <c r="I2503" t="s">
        <v>19</v>
      </c>
      <c r="J2503">
        <v>2000</v>
      </c>
      <c r="K2503">
        <v>2000</v>
      </c>
      <c r="L2503" t="s">
        <v>20</v>
      </c>
      <c r="M2503">
        <v>34000</v>
      </c>
      <c r="N2503">
        <v>788</v>
      </c>
    </row>
    <row r="2504" spans="1:14" x14ac:dyDescent="0.35">
      <c r="A2504" t="s">
        <v>2608</v>
      </c>
      <c r="B2504" t="s">
        <v>15</v>
      </c>
      <c r="C2504" t="s">
        <v>16</v>
      </c>
      <c r="D2504">
        <v>209</v>
      </c>
      <c r="E2504" t="s">
        <v>2593</v>
      </c>
      <c r="F2504">
        <v>5419</v>
      </c>
      <c r="G2504" t="s">
        <v>18</v>
      </c>
      <c r="H2504">
        <v>27</v>
      </c>
      <c r="I2504" t="s">
        <v>19</v>
      </c>
      <c r="J2504">
        <v>2001</v>
      </c>
      <c r="K2504">
        <v>2001</v>
      </c>
      <c r="L2504" t="s">
        <v>20</v>
      </c>
      <c r="M2504">
        <v>37995</v>
      </c>
      <c r="N2504">
        <v>788</v>
      </c>
    </row>
    <row r="2505" spans="1:14" x14ac:dyDescent="0.35">
      <c r="A2505" t="s">
        <v>2609</v>
      </c>
      <c r="B2505" t="s">
        <v>15</v>
      </c>
      <c r="C2505" t="s">
        <v>16</v>
      </c>
      <c r="D2505">
        <v>209</v>
      </c>
      <c r="E2505" t="s">
        <v>2593</v>
      </c>
      <c r="F2505">
        <v>5419</v>
      </c>
      <c r="G2505" t="s">
        <v>18</v>
      </c>
      <c r="H2505">
        <v>27</v>
      </c>
      <c r="I2505" t="s">
        <v>19</v>
      </c>
      <c r="J2505">
        <v>2002</v>
      </c>
      <c r="K2505">
        <v>2002</v>
      </c>
      <c r="L2505" t="s">
        <v>20</v>
      </c>
      <c r="M2505">
        <v>39549</v>
      </c>
      <c r="N2505">
        <v>788</v>
      </c>
    </row>
    <row r="2506" spans="1:14" x14ac:dyDescent="0.35">
      <c r="A2506" t="s">
        <v>2610</v>
      </c>
      <c r="B2506" t="s">
        <v>15</v>
      </c>
      <c r="C2506" t="s">
        <v>16</v>
      </c>
      <c r="D2506">
        <v>209</v>
      </c>
      <c r="E2506" t="s">
        <v>2593</v>
      </c>
      <c r="F2506">
        <v>5419</v>
      </c>
      <c r="G2506" t="s">
        <v>18</v>
      </c>
      <c r="H2506">
        <v>27</v>
      </c>
      <c r="I2506" t="s">
        <v>19</v>
      </c>
      <c r="J2506">
        <v>2004</v>
      </c>
      <c r="K2506">
        <v>2004</v>
      </c>
      <c r="L2506" t="s">
        <v>20</v>
      </c>
      <c r="M2506">
        <v>39342</v>
      </c>
      <c r="N2506">
        <v>788</v>
      </c>
    </row>
    <row r="2507" spans="1:14" x14ac:dyDescent="0.35">
      <c r="A2507" t="s">
        <v>2611</v>
      </c>
      <c r="B2507" t="s">
        <v>15</v>
      </c>
      <c r="C2507" t="s">
        <v>16</v>
      </c>
      <c r="D2507">
        <v>209</v>
      </c>
      <c r="E2507" t="s">
        <v>2593</v>
      </c>
      <c r="F2507">
        <v>5419</v>
      </c>
      <c r="G2507" t="s">
        <v>18</v>
      </c>
      <c r="H2507">
        <v>27</v>
      </c>
      <c r="I2507" t="s">
        <v>19</v>
      </c>
      <c r="J2507">
        <v>2005</v>
      </c>
      <c r="K2507">
        <v>2005</v>
      </c>
      <c r="L2507" t="s">
        <v>20</v>
      </c>
      <c r="M2507">
        <v>38675</v>
      </c>
      <c r="N2507">
        <v>788</v>
      </c>
    </row>
    <row r="2508" spans="1:14" x14ac:dyDescent="0.35">
      <c r="A2508" t="s">
        <v>2612</v>
      </c>
      <c r="B2508" t="s">
        <v>15</v>
      </c>
      <c r="C2508" t="s">
        <v>16</v>
      </c>
      <c r="D2508">
        <v>209</v>
      </c>
      <c r="E2508" t="s">
        <v>2593</v>
      </c>
      <c r="F2508">
        <v>5419</v>
      </c>
      <c r="G2508" t="s">
        <v>18</v>
      </c>
      <c r="H2508">
        <v>27</v>
      </c>
      <c r="I2508" t="s">
        <v>19</v>
      </c>
      <c r="J2508">
        <v>2006</v>
      </c>
      <c r="K2508">
        <v>2006</v>
      </c>
      <c r="L2508" t="s">
        <v>20</v>
      </c>
      <c r="M2508">
        <v>38008</v>
      </c>
      <c r="N2508">
        <v>788</v>
      </c>
    </row>
    <row r="2509" spans="1:14" x14ac:dyDescent="0.35">
      <c r="A2509" t="s">
        <v>2613</v>
      </c>
      <c r="B2509" t="s">
        <v>15</v>
      </c>
      <c r="C2509" t="s">
        <v>16</v>
      </c>
      <c r="D2509">
        <v>209</v>
      </c>
      <c r="E2509" t="s">
        <v>2593</v>
      </c>
      <c r="F2509">
        <v>5419</v>
      </c>
      <c r="G2509" t="s">
        <v>18</v>
      </c>
      <c r="H2509">
        <v>27</v>
      </c>
      <c r="I2509" t="s">
        <v>19</v>
      </c>
      <c r="J2509">
        <v>2007</v>
      </c>
      <c r="K2509">
        <v>2007</v>
      </c>
      <c r="L2509" t="s">
        <v>20</v>
      </c>
      <c r="M2509">
        <v>37340</v>
      </c>
      <c r="N2509">
        <v>788</v>
      </c>
    </row>
    <row r="2510" spans="1:14" x14ac:dyDescent="0.35">
      <c r="A2510" t="s">
        <v>2614</v>
      </c>
      <c r="B2510" t="s">
        <v>15</v>
      </c>
      <c r="C2510" t="s">
        <v>16</v>
      </c>
      <c r="D2510">
        <v>209</v>
      </c>
      <c r="E2510" t="s">
        <v>2593</v>
      </c>
      <c r="F2510">
        <v>5419</v>
      </c>
      <c r="G2510" t="s">
        <v>18</v>
      </c>
      <c r="H2510">
        <v>27</v>
      </c>
      <c r="I2510" t="s">
        <v>19</v>
      </c>
      <c r="J2510">
        <v>2008</v>
      </c>
      <c r="K2510">
        <v>2008</v>
      </c>
      <c r="L2510" t="s">
        <v>20</v>
      </c>
      <c r="M2510">
        <v>36673</v>
      </c>
      <c r="N2510">
        <v>788</v>
      </c>
    </row>
    <row r="2511" spans="1:14" x14ac:dyDescent="0.35">
      <c r="A2511" t="s">
        <v>2615</v>
      </c>
      <c r="B2511" t="s">
        <v>15</v>
      </c>
      <c r="C2511" t="s">
        <v>16</v>
      </c>
      <c r="D2511">
        <v>209</v>
      </c>
      <c r="E2511" t="s">
        <v>2593</v>
      </c>
      <c r="F2511">
        <v>5419</v>
      </c>
      <c r="G2511" t="s">
        <v>18</v>
      </c>
      <c r="H2511">
        <v>27</v>
      </c>
      <c r="I2511" t="s">
        <v>19</v>
      </c>
      <c r="J2511">
        <v>2009</v>
      </c>
      <c r="K2511">
        <v>2009</v>
      </c>
      <c r="L2511" t="s">
        <v>20</v>
      </c>
      <c r="M2511">
        <v>36005</v>
      </c>
      <c r="N2511">
        <v>788</v>
      </c>
    </row>
    <row r="2512" spans="1:14" x14ac:dyDescent="0.35">
      <c r="A2512" t="s">
        <v>2616</v>
      </c>
      <c r="B2512" t="s">
        <v>15</v>
      </c>
      <c r="C2512" t="s">
        <v>16</v>
      </c>
      <c r="D2512">
        <v>209</v>
      </c>
      <c r="E2512" t="s">
        <v>2593</v>
      </c>
      <c r="F2512">
        <v>5419</v>
      </c>
      <c r="G2512" t="s">
        <v>18</v>
      </c>
      <c r="H2512">
        <v>27</v>
      </c>
      <c r="I2512" t="s">
        <v>19</v>
      </c>
      <c r="J2512">
        <v>2010</v>
      </c>
      <c r="K2512">
        <v>2010</v>
      </c>
      <c r="L2512" t="s">
        <v>20</v>
      </c>
      <c r="M2512">
        <v>35338</v>
      </c>
      <c r="N2512">
        <v>788</v>
      </c>
    </row>
    <row r="2513" spans="1:14" x14ac:dyDescent="0.35">
      <c r="A2513" t="s">
        <v>2617</v>
      </c>
      <c r="B2513" t="s">
        <v>15</v>
      </c>
      <c r="C2513" t="s">
        <v>16</v>
      </c>
      <c r="D2513">
        <v>209</v>
      </c>
      <c r="E2513" t="s">
        <v>2593</v>
      </c>
      <c r="F2513">
        <v>5419</v>
      </c>
      <c r="G2513" t="s">
        <v>18</v>
      </c>
      <c r="H2513">
        <v>27</v>
      </c>
      <c r="I2513" t="s">
        <v>19</v>
      </c>
      <c r="J2513">
        <v>2011</v>
      </c>
      <c r="K2513">
        <v>2011</v>
      </c>
      <c r="L2513" t="s">
        <v>20</v>
      </c>
      <c r="M2513">
        <v>34670</v>
      </c>
      <c r="N2513">
        <v>788</v>
      </c>
    </row>
    <row r="2514" spans="1:14" x14ac:dyDescent="0.35">
      <c r="A2514" t="s">
        <v>2618</v>
      </c>
      <c r="B2514" t="s">
        <v>15</v>
      </c>
      <c r="C2514" t="s">
        <v>16</v>
      </c>
      <c r="D2514">
        <v>209</v>
      </c>
      <c r="E2514" t="s">
        <v>2593</v>
      </c>
      <c r="F2514">
        <v>5419</v>
      </c>
      <c r="G2514" t="s">
        <v>18</v>
      </c>
      <c r="H2514">
        <v>27</v>
      </c>
      <c r="I2514" t="s">
        <v>19</v>
      </c>
      <c r="J2514">
        <v>2012</v>
      </c>
      <c r="K2514">
        <v>2012</v>
      </c>
      <c r="L2514" t="s">
        <v>20</v>
      </c>
      <c r="M2514">
        <v>34003</v>
      </c>
      <c r="N2514">
        <v>788</v>
      </c>
    </row>
    <row r="2515" spans="1:14" x14ac:dyDescent="0.35">
      <c r="A2515" t="s">
        <v>2619</v>
      </c>
      <c r="B2515" t="s">
        <v>15</v>
      </c>
      <c r="C2515" t="s">
        <v>16</v>
      </c>
      <c r="D2515">
        <v>209</v>
      </c>
      <c r="E2515" t="s">
        <v>2593</v>
      </c>
      <c r="F2515">
        <v>5419</v>
      </c>
      <c r="G2515" t="s">
        <v>18</v>
      </c>
      <c r="H2515">
        <v>27</v>
      </c>
      <c r="I2515" t="s">
        <v>19</v>
      </c>
      <c r="J2515">
        <v>2013</v>
      </c>
      <c r="K2515">
        <v>2013</v>
      </c>
      <c r="L2515" t="s">
        <v>20</v>
      </c>
      <c r="M2515">
        <v>33782</v>
      </c>
      <c r="N2515">
        <v>788</v>
      </c>
    </row>
    <row r="2516" spans="1:14" x14ac:dyDescent="0.35">
      <c r="A2516" t="s">
        <v>2620</v>
      </c>
      <c r="B2516" t="s">
        <v>15</v>
      </c>
      <c r="C2516" t="s">
        <v>16</v>
      </c>
      <c r="D2516">
        <v>209</v>
      </c>
      <c r="E2516" t="s">
        <v>2593</v>
      </c>
      <c r="F2516">
        <v>5419</v>
      </c>
      <c r="G2516" t="s">
        <v>18</v>
      </c>
      <c r="H2516">
        <v>27</v>
      </c>
      <c r="I2516" t="s">
        <v>19</v>
      </c>
      <c r="J2516">
        <v>2014</v>
      </c>
      <c r="K2516">
        <v>2014</v>
      </c>
      <c r="L2516" t="s">
        <v>20</v>
      </c>
      <c r="M2516">
        <v>34134</v>
      </c>
      <c r="N2516">
        <v>788</v>
      </c>
    </row>
    <row r="2517" spans="1:14" x14ac:dyDescent="0.35">
      <c r="A2517" t="s">
        <v>2621</v>
      </c>
      <c r="B2517" t="s">
        <v>15</v>
      </c>
      <c r="C2517" t="s">
        <v>16</v>
      </c>
      <c r="D2517">
        <v>209</v>
      </c>
      <c r="E2517" t="s">
        <v>2593</v>
      </c>
      <c r="F2517">
        <v>5419</v>
      </c>
      <c r="G2517" t="s">
        <v>18</v>
      </c>
      <c r="H2517">
        <v>27</v>
      </c>
      <c r="I2517" t="s">
        <v>19</v>
      </c>
      <c r="J2517">
        <v>2015</v>
      </c>
      <c r="K2517">
        <v>2015</v>
      </c>
      <c r="L2517" t="s">
        <v>20</v>
      </c>
      <c r="M2517">
        <v>34486</v>
      </c>
      <c r="N2517">
        <v>788</v>
      </c>
    </row>
    <row r="2518" spans="1:14" x14ac:dyDescent="0.35">
      <c r="A2518" t="s">
        <v>2622</v>
      </c>
      <c r="B2518" t="s">
        <v>15</v>
      </c>
      <c r="C2518" t="s">
        <v>16</v>
      </c>
      <c r="D2518">
        <v>209</v>
      </c>
      <c r="E2518" t="s">
        <v>2593</v>
      </c>
      <c r="F2518">
        <v>5419</v>
      </c>
      <c r="G2518" t="s">
        <v>18</v>
      </c>
      <c r="H2518">
        <v>27</v>
      </c>
      <c r="I2518" t="s">
        <v>19</v>
      </c>
      <c r="J2518">
        <v>2016</v>
      </c>
      <c r="K2518">
        <v>2016</v>
      </c>
      <c r="L2518" t="s">
        <v>20</v>
      </c>
      <c r="M2518">
        <v>34837</v>
      </c>
      <c r="N2518">
        <v>788</v>
      </c>
    </row>
    <row r="2519" spans="1:14" x14ac:dyDescent="0.35">
      <c r="A2519" t="s">
        <v>2623</v>
      </c>
      <c r="B2519" t="s">
        <v>15</v>
      </c>
      <c r="C2519" t="s">
        <v>16</v>
      </c>
      <c r="D2519">
        <v>208</v>
      </c>
      <c r="E2519" t="s">
        <v>2624</v>
      </c>
      <c r="F2519">
        <v>5419</v>
      </c>
      <c r="G2519" t="s">
        <v>18</v>
      </c>
      <c r="H2519">
        <v>27</v>
      </c>
      <c r="I2519" t="s">
        <v>19</v>
      </c>
      <c r="J2519">
        <v>1992</v>
      </c>
      <c r="K2519">
        <v>1992</v>
      </c>
      <c r="L2519" t="s">
        <v>20</v>
      </c>
      <c r="M2519">
        <v>20184</v>
      </c>
      <c r="N2519">
        <v>691</v>
      </c>
    </row>
    <row r="2520" spans="1:14" x14ac:dyDescent="0.35">
      <c r="A2520" t="s">
        <v>2625</v>
      </c>
      <c r="B2520" t="s">
        <v>15</v>
      </c>
      <c r="C2520" t="s">
        <v>16</v>
      </c>
      <c r="D2520">
        <v>208</v>
      </c>
      <c r="E2520" t="s">
        <v>2624</v>
      </c>
      <c r="F2520">
        <v>5419</v>
      </c>
      <c r="G2520" t="s">
        <v>18</v>
      </c>
      <c r="H2520">
        <v>27</v>
      </c>
      <c r="I2520" t="s">
        <v>19</v>
      </c>
      <c r="J2520">
        <v>1993</v>
      </c>
      <c r="K2520">
        <v>1993</v>
      </c>
      <c r="L2520" t="s">
        <v>20</v>
      </c>
      <c r="M2520">
        <v>18306</v>
      </c>
      <c r="N2520">
        <v>691</v>
      </c>
    </row>
    <row r="2521" spans="1:14" x14ac:dyDescent="0.35">
      <c r="A2521" t="s">
        <v>2626</v>
      </c>
      <c r="B2521" t="s">
        <v>15</v>
      </c>
      <c r="C2521" t="s">
        <v>16</v>
      </c>
      <c r="D2521">
        <v>208</v>
      </c>
      <c r="E2521" t="s">
        <v>2624</v>
      </c>
      <c r="F2521">
        <v>5419</v>
      </c>
      <c r="G2521" t="s">
        <v>18</v>
      </c>
      <c r="H2521">
        <v>27</v>
      </c>
      <c r="I2521" t="s">
        <v>19</v>
      </c>
      <c r="J2521">
        <v>1994</v>
      </c>
      <c r="K2521">
        <v>1994</v>
      </c>
      <c r="L2521" t="s">
        <v>20</v>
      </c>
      <c r="M2521">
        <v>15385</v>
      </c>
      <c r="N2521">
        <v>691</v>
      </c>
    </row>
    <row r="2522" spans="1:14" x14ac:dyDescent="0.35">
      <c r="A2522" t="s">
        <v>2627</v>
      </c>
      <c r="B2522" t="s">
        <v>15</v>
      </c>
      <c r="C2522" t="s">
        <v>16</v>
      </c>
      <c r="D2522">
        <v>208</v>
      </c>
      <c r="E2522" t="s">
        <v>2624</v>
      </c>
      <c r="F2522">
        <v>5419</v>
      </c>
      <c r="G2522" t="s">
        <v>18</v>
      </c>
      <c r="H2522">
        <v>27</v>
      </c>
      <c r="I2522" t="s">
        <v>19</v>
      </c>
      <c r="J2522">
        <v>1995</v>
      </c>
      <c r="K2522">
        <v>1995</v>
      </c>
      <c r="L2522" t="s">
        <v>20</v>
      </c>
      <c r="M2522">
        <v>18000</v>
      </c>
      <c r="N2522">
        <v>691</v>
      </c>
    </row>
    <row r="2523" spans="1:14" x14ac:dyDescent="0.35">
      <c r="A2523" t="s">
        <v>2628</v>
      </c>
      <c r="B2523" t="s">
        <v>15</v>
      </c>
      <c r="C2523" t="s">
        <v>16</v>
      </c>
      <c r="D2523">
        <v>208</v>
      </c>
      <c r="E2523" t="s">
        <v>2624</v>
      </c>
      <c r="F2523">
        <v>5419</v>
      </c>
      <c r="G2523" t="s">
        <v>18</v>
      </c>
      <c r="H2523">
        <v>27</v>
      </c>
      <c r="I2523" t="s">
        <v>19</v>
      </c>
      <c r="J2523">
        <v>1996</v>
      </c>
      <c r="K2523">
        <v>1996</v>
      </c>
      <c r="L2523" t="s">
        <v>20</v>
      </c>
      <c r="M2523">
        <v>17268</v>
      </c>
      <c r="N2523">
        <v>691</v>
      </c>
    </row>
    <row r="2524" spans="1:14" x14ac:dyDescent="0.35">
      <c r="A2524" t="s">
        <v>2629</v>
      </c>
      <c r="B2524" t="s">
        <v>15</v>
      </c>
      <c r="C2524" t="s">
        <v>16</v>
      </c>
      <c r="D2524">
        <v>208</v>
      </c>
      <c r="E2524" t="s">
        <v>2624</v>
      </c>
      <c r="F2524">
        <v>5419</v>
      </c>
      <c r="G2524" t="s">
        <v>18</v>
      </c>
      <c r="H2524">
        <v>27</v>
      </c>
      <c r="I2524" t="s">
        <v>19</v>
      </c>
      <c r="J2524">
        <v>1997</v>
      </c>
      <c r="K2524">
        <v>1997</v>
      </c>
      <c r="L2524" t="s">
        <v>20</v>
      </c>
      <c r="M2524">
        <v>27093</v>
      </c>
      <c r="N2524">
        <v>691</v>
      </c>
    </row>
    <row r="2525" spans="1:14" x14ac:dyDescent="0.35">
      <c r="A2525" t="s">
        <v>2630</v>
      </c>
      <c r="B2525" t="s">
        <v>15</v>
      </c>
      <c r="C2525" t="s">
        <v>16</v>
      </c>
      <c r="D2525">
        <v>208</v>
      </c>
      <c r="E2525" t="s">
        <v>2624</v>
      </c>
      <c r="F2525">
        <v>5419</v>
      </c>
      <c r="G2525" t="s">
        <v>18</v>
      </c>
      <c r="H2525">
        <v>27</v>
      </c>
      <c r="I2525" t="s">
        <v>19</v>
      </c>
      <c r="J2525">
        <v>1998</v>
      </c>
      <c r="K2525">
        <v>1998</v>
      </c>
      <c r="L2525" t="s">
        <v>20</v>
      </c>
      <c r="M2525">
        <v>24566</v>
      </c>
      <c r="N2525">
        <v>691</v>
      </c>
    </row>
    <row r="2526" spans="1:14" x14ac:dyDescent="0.35">
      <c r="A2526" t="s">
        <v>2631</v>
      </c>
      <c r="B2526" t="s">
        <v>15</v>
      </c>
      <c r="C2526" t="s">
        <v>16</v>
      </c>
      <c r="D2526">
        <v>208</v>
      </c>
      <c r="E2526" t="s">
        <v>2624</v>
      </c>
      <c r="F2526">
        <v>5419</v>
      </c>
      <c r="G2526" t="s">
        <v>18</v>
      </c>
      <c r="H2526">
        <v>27</v>
      </c>
      <c r="I2526" t="s">
        <v>19</v>
      </c>
      <c r="J2526">
        <v>1999</v>
      </c>
      <c r="K2526">
        <v>1999</v>
      </c>
      <c r="L2526" t="s">
        <v>20</v>
      </c>
      <c r="M2526">
        <v>24908</v>
      </c>
      <c r="N2526">
        <v>691</v>
      </c>
    </row>
    <row r="2527" spans="1:14" x14ac:dyDescent="0.35">
      <c r="A2527" t="s">
        <v>2632</v>
      </c>
      <c r="B2527" t="s">
        <v>15</v>
      </c>
      <c r="C2527" t="s">
        <v>16</v>
      </c>
      <c r="D2527">
        <v>208</v>
      </c>
      <c r="E2527" t="s">
        <v>2624</v>
      </c>
      <c r="F2527">
        <v>5419</v>
      </c>
      <c r="G2527" t="s">
        <v>18</v>
      </c>
      <c r="H2527">
        <v>27</v>
      </c>
      <c r="I2527" t="s">
        <v>19</v>
      </c>
      <c r="J2527">
        <v>2000</v>
      </c>
      <c r="K2527">
        <v>2000</v>
      </c>
      <c r="L2527" t="s">
        <v>20</v>
      </c>
      <c r="M2527">
        <v>37900</v>
      </c>
      <c r="N2527">
        <v>691</v>
      </c>
    </row>
    <row r="2528" spans="1:14" x14ac:dyDescent="0.35">
      <c r="A2528" t="s">
        <v>2633</v>
      </c>
      <c r="B2528" t="s">
        <v>15</v>
      </c>
      <c r="C2528" t="s">
        <v>16</v>
      </c>
      <c r="D2528">
        <v>208</v>
      </c>
      <c r="E2528" t="s">
        <v>2624</v>
      </c>
      <c r="F2528">
        <v>5419</v>
      </c>
      <c r="G2528" t="s">
        <v>18</v>
      </c>
      <c r="H2528">
        <v>27</v>
      </c>
      <c r="I2528" t="s">
        <v>19</v>
      </c>
      <c r="J2528">
        <v>2001</v>
      </c>
      <c r="K2528">
        <v>2001</v>
      </c>
      <c r="L2528" t="s">
        <v>20</v>
      </c>
      <c r="M2528">
        <v>26100</v>
      </c>
      <c r="N2528">
        <v>691</v>
      </c>
    </row>
    <row r="2529" spans="1:14" x14ac:dyDescent="0.35">
      <c r="A2529" t="s">
        <v>2634</v>
      </c>
      <c r="B2529" t="s">
        <v>15</v>
      </c>
      <c r="C2529" t="s">
        <v>16</v>
      </c>
      <c r="D2529">
        <v>208</v>
      </c>
      <c r="E2529" t="s">
        <v>2624</v>
      </c>
      <c r="F2529">
        <v>5419</v>
      </c>
      <c r="G2529" t="s">
        <v>18</v>
      </c>
      <c r="H2529">
        <v>27</v>
      </c>
      <c r="I2529" t="s">
        <v>19</v>
      </c>
      <c r="J2529">
        <v>2002</v>
      </c>
      <c r="K2529">
        <v>2002</v>
      </c>
      <c r="L2529" t="s">
        <v>20</v>
      </c>
      <c r="M2529">
        <v>28523</v>
      </c>
      <c r="N2529">
        <v>691</v>
      </c>
    </row>
    <row r="2530" spans="1:14" x14ac:dyDescent="0.35">
      <c r="A2530" t="s">
        <v>2635</v>
      </c>
      <c r="B2530" t="s">
        <v>15</v>
      </c>
      <c r="C2530" t="s">
        <v>16</v>
      </c>
      <c r="D2530">
        <v>208</v>
      </c>
      <c r="E2530" t="s">
        <v>2624</v>
      </c>
      <c r="F2530">
        <v>5419</v>
      </c>
      <c r="G2530" t="s">
        <v>18</v>
      </c>
      <c r="H2530">
        <v>27</v>
      </c>
      <c r="I2530" t="s">
        <v>19</v>
      </c>
      <c r="J2530">
        <v>2004</v>
      </c>
      <c r="K2530">
        <v>2004</v>
      </c>
      <c r="L2530" t="s">
        <v>20</v>
      </c>
      <c r="M2530">
        <v>36408</v>
      </c>
      <c r="N2530">
        <v>691</v>
      </c>
    </row>
    <row r="2531" spans="1:14" x14ac:dyDescent="0.35">
      <c r="A2531" t="s">
        <v>2636</v>
      </c>
      <c r="B2531" t="s">
        <v>15</v>
      </c>
      <c r="C2531" t="s">
        <v>16</v>
      </c>
      <c r="D2531">
        <v>208</v>
      </c>
      <c r="E2531" t="s">
        <v>2624</v>
      </c>
      <c r="F2531">
        <v>5419</v>
      </c>
      <c r="G2531" t="s">
        <v>18</v>
      </c>
      <c r="H2531">
        <v>27</v>
      </c>
      <c r="I2531" t="s">
        <v>19</v>
      </c>
      <c r="J2531">
        <v>2005</v>
      </c>
      <c r="K2531">
        <v>2005</v>
      </c>
      <c r="L2531" t="s">
        <v>20</v>
      </c>
      <c r="M2531">
        <v>32844</v>
      </c>
      <c r="N2531">
        <v>691</v>
      </c>
    </row>
    <row r="2532" spans="1:14" x14ac:dyDescent="0.35">
      <c r="A2532" t="s">
        <v>2637</v>
      </c>
      <c r="B2532" t="s">
        <v>15</v>
      </c>
      <c r="C2532" t="s">
        <v>16</v>
      </c>
      <c r="D2532">
        <v>208</v>
      </c>
      <c r="E2532" t="s">
        <v>2624</v>
      </c>
      <c r="F2532">
        <v>5419</v>
      </c>
      <c r="G2532" t="s">
        <v>18</v>
      </c>
      <c r="H2532">
        <v>27</v>
      </c>
      <c r="I2532" t="s">
        <v>19</v>
      </c>
      <c r="J2532">
        <v>2006</v>
      </c>
      <c r="K2532">
        <v>2006</v>
      </c>
      <c r="L2532" t="s">
        <v>20</v>
      </c>
      <c r="M2532">
        <v>31415</v>
      </c>
      <c r="N2532">
        <v>691</v>
      </c>
    </row>
    <row r="2533" spans="1:14" x14ac:dyDescent="0.35">
      <c r="A2533" t="s">
        <v>2638</v>
      </c>
      <c r="B2533" t="s">
        <v>15</v>
      </c>
      <c r="C2533" t="s">
        <v>16</v>
      </c>
      <c r="D2533">
        <v>208</v>
      </c>
      <c r="E2533" t="s">
        <v>2624</v>
      </c>
      <c r="F2533">
        <v>5419</v>
      </c>
      <c r="G2533" t="s">
        <v>18</v>
      </c>
      <c r="H2533">
        <v>27</v>
      </c>
      <c r="I2533" t="s">
        <v>19</v>
      </c>
      <c r="J2533">
        <v>2007</v>
      </c>
      <c r="K2533">
        <v>2007</v>
      </c>
      <c r="L2533" t="s">
        <v>20</v>
      </c>
      <c r="M2533">
        <v>30707</v>
      </c>
      <c r="N2533">
        <v>691</v>
      </c>
    </row>
    <row r="2534" spans="1:14" x14ac:dyDescent="0.35">
      <c r="A2534" t="s">
        <v>2639</v>
      </c>
      <c r="B2534" t="s">
        <v>15</v>
      </c>
      <c r="C2534" t="s">
        <v>16</v>
      </c>
      <c r="D2534">
        <v>208</v>
      </c>
      <c r="E2534" t="s">
        <v>2624</v>
      </c>
      <c r="F2534">
        <v>5419</v>
      </c>
      <c r="G2534" t="s">
        <v>18</v>
      </c>
      <c r="H2534">
        <v>27</v>
      </c>
      <c r="I2534" t="s">
        <v>19</v>
      </c>
      <c r="J2534">
        <v>2008</v>
      </c>
      <c r="K2534">
        <v>2008</v>
      </c>
      <c r="L2534" t="s">
        <v>20</v>
      </c>
      <c r="M2534">
        <v>52616</v>
      </c>
      <c r="N2534">
        <v>691</v>
      </c>
    </row>
    <row r="2535" spans="1:14" x14ac:dyDescent="0.35">
      <c r="A2535" t="s">
        <v>2640</v>
      </c>
      <c r="B2535" t="s">
        <v>15</v>
      </c>
      <c r="C2535" t="s">
        <v>16</v>
      </c>
      <c r="D2535">
        <v>208</v>
      </c>
      <c r="E2535" t="s">
        <v>2624</v>
      </c>
      <c r="F2535">
        <v>5419</v>
      </c>
      <c r="G2535" t="s">
        <v>18</v>
      </c>
      <c r="H2535">
        <v>27</v>
      </c>
      <c r="I2535" t="s">
        <v>19</v>
      </c>
      <c r="J2535">
        <v>2009</v>
      </c>
      <c r="K2535">
        <v>2009</v>
      </c>
      <c r="L2535" t="s">
        <v>20</v>
      </c>
      <c r="M2535">
        <v>43558</v>
      </c>
      <c r="N2535">
        <v>691</v>
      </c>
    </row>
    <row r="2536" spans="1:14" x14ac:dyDescent="0.35">
      <c r="A2536" t="s">
        <v>2641</v>
      </c>
      <c r="B2536" t="s">
        <v>15</v>
      </c>
      <c r="C2536" t="s">
        <v>16</v>
      </c>
      <c r="D2536">
        <v>208</v>
      </c>
      <c r="E2536" t="s">
        <v>2624</v>
      </c>
      <c r="F2536">
        <v>5419</v>
      </c>
      <c r="G2536" t="s">
        <v>18</v>
      </c>
      <c r="H2536">
        <v>27</v>
      </c>
      <c r="I2536" t="s">
        <v>19</v>
      </c>
      <c r="J2536">
        <v>2010</v>
      </c>
      <c r="K2536">
        <v>2010</v>
      </c>
      <c r="L2536" t="s">
        <v>20</v>
      </c>
      <c r="M2536">
        <v>51740</v>
      </c>
      <c r="N2536">
        <v>691</v>
      </c>
    </row>
    <row r="2537" spans="1:14" x14ac:dyDescent="0.35">
      <c r="A2537" t="s">
        <v>2642</v>
      </c>
      <c r="B2537" t="s">
        <v>15</v>
      </c>
      <c r="C2537" t="s">
        <v>16</v>
      </c>
      <c r="D2537">
        <v>208</v>
      </c>
      <c r="E2537" t="s">
        <v>2624</v>
      </c>
      <c r="F2537">
        <v>5419</v>
      </c>
      <c r="G2537" t="s">
        <v>18</v>
      </c>
      <c r="H2537">
        <v>27</v>
      </c>
      <c r="I2537" t="s">
        <v>19</v>
      </c>
      <c r="J2537">
        <v>2011</v>
      </c>
      <c r="K2537">
        <v>2011</v>
      </c>
      <c r="L2537" t="s">
        <v>20</v>
      </c>
      <c r="M2537">
        <v>58186</v>
      </c>
      <c r="N2537">
        <v>691</v>
      </c>
    </row>
    <row r="2538" spans="1:14" x14ac:dyDescent="0.35">
      <c r="A2538" t="s">
        <v>2643</v>
      </c>
      <c r="B2538" t="s">
        <v>15</v>
      </c>
      <c r="C2538" t="s">
        <v>16</v>
      </c>
      <c r="D2538">
        <v>208</v>
      </c>
      <c r="E2538" t="s">
        <v>2624</v>
      </c>
      <c r="F2538">
        <v>5419</v>
      </c>
      <c r="G2538" t="s">
        <v>18</v>
      </c>
      <c r="H2538">
        <v>27</v>
      </c>
      <c r="I2538" t="s">
        <v>19</v>
      </c>
      <c r="J2538">
        <v>2012</v>
      </c>
      <c r="K2538">
        <v>2012</v>
      </c>
      <c r="L2538" t="s">
        <v>20</v>
      </c>
      <c r="M2538">
        <v>62517</v>
      </c>
      <c r="N2538">
        <v>691</v>
      </c>
    </row>
    <row r="2539" spans="1:14" x14ac:dyDescent="0.35">
      <c r="A2539" t="s">
        <v>2644</v>
      </c>
      <c r="B2539" t="s">
        <v>15</v>
      </c>
      <c r="C2539" t="s">
        <v>16</v>
      </c>
      <c r="D2539">
        <v>208</v>
      </c>
      <c r="E2539" t="s">
        <v>2624</v>
      </c>
      <c r="F2539">
        <v>5419</v>
      </c>
      <c r="G2539" t="s">
        <v>18</v>
      </c>
      <c r="H2539">
        <v>27</v>
      </c>
      <c r="I2539" t="s">
        <v>19</v>
      </c>
      <c r="J2539">
        <v>2013</v>
      </c>
      <c r="K2539">
        <v>2013</v>
      </c>
      <c r="L2539" t="s">
        <v>20</v>
      </c>
      <c r="M2539">
        <v>66592</v>
      </c>
      <c r="N2539">
        <v>691</v>
      </c>
    </row>
    <row r="2540" spans="1:14" x14ac:dyDescent="0.35">
      <c r="A2540" t="s">
        <v>2645</v>
      </c>
      <c r="B2540" t="s">
        <v>15</v>
      </c>
      <c r="C2540" t="s">
        <v>16</v>
      </c>
      <c r="D2540">
        <v>208</v>
      </c>
      <c r="E2540" t="s">
        <v>2624</v>
      </c>
      <c r="F2540">
        <v>5419</v>
      </c>
      <c r="G2540" t="s">
        <v>18</v>
      </c>
      <c r="H2540">
        <v>27</v>
      </c>
      <c r="I2540" t="s">
        <v>19</v>
      </c>
      <c r="J2540">
        <v>2014</v>
      </c>
      <c r="K2540">
        <v>2014</v>
      </c>
      <c r="L2540" t="s">
        <v>20</v>
      </c>
      <c r="M2540">
        <v>71960</v>
      </c>
      <c r="N2540">
        <v>691</v>
      </c>
    </row>
    <row r="2541" spans="1:14" x14ac:dyDescent="0.35">
      <c r="A2541" t="s">
        <v>2646</v>
      </c>
      <c r="B2541" t="s">
        <v>15</v>
      </c>
      <c r="C2541" t="s">
        <v>16</v>
      </c>
      <c r="D2541">
        <v>208</v>
      </c>
      <c r="E2541" t="s">
        <v>2624</v>
      </c>
      <c r="F2541">
        <v>5419</v>
      </c>
      <c r="G2541" t="s">
        <v>18</v>
      </c>
      <c r="H2541">
        <v>27</v>
      </c>
      <c r="I2541" t="s">
        <v>19</v>
      </c>
      <c r="J2541">
        <v>2015</v>
      </c>
      <c r="K2541">
        <v>2015</v>
      </c>
      <c r="L2541" t="s">
        <v>20</v>
      </c>
      <c r="M2541">
        <v>72909</v>
      </c>
      <c r="N2541">
        <v>691</v>
      </c>
    </row>
    <row r="2542" spans="1:14" x14ac:dyDescent="0.35">
      <c r="A2542" t="s">
        <v>2647</v>
      </c>
      <c r="B2542" t="s">
        <v>15</v>
      </c>
      <c r="C2542" t="s">
        <v>16</v>
      </c>
      <c r="D2542">
        <v>208</v>
      </c>
      <c r="E2542" t="s">
        <v>2624</v>
      </c>
      <c r="F2542">
        <v>5419</v>
      </c>
      <c r="G2542" t="s">
        <v>18</v>
      </c>
      <c r="H2542">
        <v>27</v>
      </c>
      <c r="I2542" t="s">
        <v>19</v>
      </c>
      <c r="J2542">
        <v>2016</v>
      </c>
      <c r="K2542">
        <v>2016</v>
      </c>
      <c r="L2542" t="s">
        <v>20</v>
      </c>
      <c r="M2542">
        <v>70534</v>
      </c>
      <c r="N2542">
        <v>691</v>
      </c>
    </row>
    <row r="2543" spans="1:14" x14ac:dyDescent="0.35">
      <c r="A2543" t="s">
        <v>2648</v>
      </c>
      <c r="B2543" t="s">
        <v>15</v>
      </c>
      <c r="C2543" t="s">
        <v>16</v>
      </c>
      <c r="D2543">
        <v>216</v>
      </c>
      <c r="E2543" t="s">
        <v>2649</v>
      </c>
      <c r="F2543">
        <v>5419</v>
      </c>
      <c r="G2543" t="s">
        <v>18</v>
      </c>
      <c r="H2543">
        <v>27</v>
      </c>
      <c r="I2543" t="s">
        <v>19</v>
      </c>
      <c r="J2543">
        <v>1985</v>
      </c>
      <c r="K2543">
        <v>1985</v>
      </c>
      <c r="L2543" t="s">
        <v>20</v>
      </c>
      <c r="M2543">
        <v>20608</v>
      </c>
      <c r="N2543">
        <v>1622</v>
      </c>
    </row>
    <row r="2544" spans="1:14" x14ac:dyDescent="0.35">
      <c r="A2544" t="s">
        <v>2650</v>
      </c>
      <c r="B2544" t="s">
        <v>15</v>
      </c>
      <c r="C2544" t="s">
        <v>16</v>
      </c>
      <c r="D2544">
        <v>216</v>
      </c>
      <c r="E2544" t="s">
        <v>2649</v>
      </c>
      <c r="F2544">
        <v>5419</v>
      </c>
      <c r="G2544" t="s">
        <v>18</v>
      </c>
      <c r="H2544">
        <v>27</v>
      </c>
      <c r="I2544" t="s">
        <v>19</v>
      </c>
      <c r="J2544">
        <v>1986</v>
      </c>
      <c r="K2544">
        <v>1986</v>
      </c>
      <c r="L2544" t="s">
        <v>20</v>
      </c>
      <c r="M2544">
        <v>20522</v>
      </c>
      <c r="N2544">
        <v>1622</v>
      </c>
    </row>
    <row r="2545" spans="1:14" x14ac:dyDescent="0.35">
      <c r="A2545" t="s">
        <v>2651</v>
      </c>
      <c r="B2545" t="s">
        <v>15</v>
      </c>
      <c r="C2545" t="s">
        <v>16</v>
      </c>
      <c r="D2545">
        <v>216</v>
      </c>
      <c r="E2545" t="s">
        <v>2649</v>
      </c>
      <c r="F2545">
        <v>5419</v>
      </c>
      <c r="G2545" t="s">
        <v>18</v>
      </c>
      <c r="H2545">
        <v>27</v>
      </c>
      <c r="I2545" t="s">
        <v>19</v>
      </c>
      <c r="J2545">
        <v>1987</v>
      </c>
      <c r="K2545">
        <v>1987</v>
      </c>
      <c r="L2545" t="s">
        <v>20</v>
      </c>
      <c r="M2545">
        <v>20147</v>
      </c>
      <c r="N2545">
        <v>1622</v>
      </c>
    </row>
    <row r="2546" spans="1:14" x14ac:dyDescent="0.35">
      <c r="A2546" t="s">
        <v>2652</v>
      </c>
      <c r="B2546" t="s">
        <v>15</v>
      </c>
      <c r="C2546" t="s">
        <v>16</v>
      </c>
      <c r="D2546">
        <v>216</v>
      </c>
      <c r="E2546" t="s">
        <v>2649</v>
      </c>
      <c r="F2546">
        <v>5419</v>
      </c>
      <c r="G2546" t="s">
        <v>18</v>
      </c>
      <c r="H2546">
        <v>27</v>
      </c>
      <c r="I2546" t="s">
        <v>19</v>
      </c>
      <c r="J2546">
        <v>1989</v>
      </c>
      <c r="K2546">
        <v>1989</v>
      </c>
      <c r="L2546" t="s">
        <v>20</v>
      </c>
      <c r="M2546">
        <v>20853</v>
      </c>
      <c r="N2546">
        <v>1622</v>
      </c>
    </row>
    <row r="2547" spans="1:14" x14ac:dyDescent="0.35">
      <c r="A2547" t="s">
        <v>2653</v>
      </c>
      <c r="B2547" t="s">
        <v>15</v>
      </c>
      <c r="C2547" t="s">
        <v>16</v>
      </c>
      <c r="D2547">
        <v>216</v>
      </c>
      <c r="E2547" t="s">
        <v>2649</v>
      </c>
      <c r="F2547">
        <v>5419</v>
      </c>
      <c r="G2547" t="s">
        <v>18</v>
      </c>
      <c r="H2547">
        <v>27</v>
      </c>
      <c r="I2547" t="s">
        <v>19</v>
      </c>
      <c r="J2547">
        <v>1990</v>
      </c>
      <c r="K2547">
        <v>1990</v>
      </c>
      <c r="L2547" t="s">
        <v>20</v>
      </c>
      <c r="M2547">
        <v>19556</v>
      </c>
      <c r="N2547">
        <v>1622</v>
      </c>
    </row>
    <row r="2548" spans="1:14" x14ac:dyDescent="0.35">
      <c r="A2548" t="s">
        <v>2654</v>
      </c>
      <c r="B2548" t="s">
        <v>15</v>
      </c>
      <c r="C2548" t="s">
        <v>16</v>
      </c>
      <c r="D2548">
        <v>216</v>
      </c>
      <c r="E2548" t="s">
        <v>2649</v>
      </c>
      <c r="F2548">
        <v>5419</v>
      </c>
      <c r="G2548" t="s">
        <v>18</v>
      </c>
      <c r="H2548">
        <v>27</v>
      </c>
      <c r="I2548" t="s">
        <v>19</v>
      </c>
      <c r="J2548">
        <v>1991</v>
      </c>
      <c r="K2548">
        <v>1991</v>
      </c>
      <c r="L2548" t="s">
        <v>20</v>
      </c>
      <c r="M2548">
        <v>22534</v>
      </c>
      <c r="N2548">
        <v>1622</v>
      </c>
    </row>
    <row r="2549" spans="1:14" x14ac:dyDescent="0.35">
      <c r="A2549" t="s">
        <v>2655</v>
      </c>
      <c r="B2549" t="s">
        <v>15</v>
      </c>
      <c r="C2549" t="s">
        <v>16</v>
      </c>
      <c r="D2549">
        <v>216</v>
      </c>
      <c r="E2549" t="s">
        <v>2649</v>
      </c>
      <c r="F2549">
        <v>5419</v>
      </c>
      <c r="G2549" t="s">
        <v>18</v>
      </c>
      <c r="H2549">
        <v>27</v>
      </c>
      <c r="I2549" t="s">
        <v>19</v>
      </c>
      <c r="J2549">
        <v>1992</v>
      </c>
      <c r="K2549">
        <v>1992</v>
      </c>
      <c r="L2549" t="s">
        <v>20</v>
      </c>
      <c r="M2549">
        <v>21745</v>
      </c>
      <c r="N2549">
        <v>1622</v>
      </c>
    </row>
    <row r="2550" spans="1:14" x14ac:dyDescent="0.35">
      <c r="A2550" t="s">
        <v>2656</v>
      </c>
      <c r="B2550" t="s">
        <v>15</v>
      </c>
      <c r="C2550" t="s">
        <v>16</v>
      </c>
      <c r="D2550">
        <v>216</v>
      </c>
      <c r="E2550" t="s">
        <v>2649</v>
      </c>
      <c r="F2550">
        <v>5419</v>
      </c>
      <c r="G2550" t="s">
        <v>18</v>
      </c>
      <c r="H2550">
        <v>27</v>
      </c>
      <c r="I2550" t="s">
        <v>19</v>
      </c>
      <c r="J2550">
        <v>1993</v>
      </c>
      <c r="K2550">
        <v>1993</v>
      </c>
      <c r="L2550" t="s">
        <v>20</v>
      </c>
      <c r="M2550">
        <v>20497</v>
      </c>
      <c r="N2550">
        <v>1622</v>
      </c>
    </row>
    <row r="2551" spans="1:14" x14ac:dyDescent="0.35">
      <c r="A2551" t="s">
        <v>2657</v>
      </c>
      <c r="B2551" t="s">
        <v>15</v>
      </c>
      <c r="C2551" t="s">
        <v>16</v>
      </c>
      <c r="D2551">
        <v>216</v>
      </c>
      <c r="E2551" t="s">
        <v>2649</v>
      </c>
      <c r="F2551">
        <v>5419</v>
      </c>
      <c r="G2551" t="s">
        <v>18</v>
      </c>
      <c r="H2551">
        <v>27</v>
      </c>
      <c r="I2551" t="s">
        <v>19</v>
      </c>
      <c r="J2551">
        <v>1994</v>
      </c>
      <c r="K2551">
        <v>1994</v>
      </c>
      <c r="L2551" t="s">
        <v>20</v>
      </c>
      <c r="M2551">
        <v>23521</v>
      </c>
      <c r="N2551">
        <v>1622</v>
      </c>
    </row>
    <row r="2552" spans="1:14" x14ac:dyDescent="0.35">
      <c r="A2552" t="s">
        <v>2658</v>
      </c>
      <c r="B2552" t="s">
        <v>15</v>
      </c>
      <c r="C2552" t="s">
        <v>16</v>
      </c>
      <c r="D2552">
        <v>216</v>
      </c>
      <c r="E2552" t="s">
        <v>2649</v>
      </c>
      <c r="F2552">
        <v>5419</v>
      </c>
      <c r="G2552" t="s">
        <v>18</v>
      </c>
      <c r="H2552">
        <v>27</v>
      </c>
      <c r="I2552" t="s">
        <v>19</v>
      </c>
      <c r="J2552">
        <v>1995</v>
      </c>
      <c r="K2552">
        <v>1995</v>
      </c>
      <c r="L2552" t="s">
        <v>20</v>
      </c>
      <c r="M2552">
        <v>24158</v>
      </c>
      <c r="N2552">
        <v>1622</v>
      </c>
    </row>
    <row r="2553" spans="1:14" x14ac:dyDescent="0.35">
      <c r="A2553" t="s">
        <v>2659</v>
      </c>
      <c r="B2553" t="s">
        <v>15</v>
      </c>
      <c r="C2553" t="s">
        <v>16</v>
      </c>
      <c r="D2553">
        <v>216</v>
      </c>
      <c r="E2553" t="s">
        <v>2649</v>
      </c>
      <c r="F2553">
        <v>5419</v>
      </c>
      <c r="G2553" t="s">
        <v>18</v>
      </c>
      <c r="H2553">
        <v>27</v>
      </c>
      <c r="I2553" t="s">
        <v>19</v>
      </c>
      <c r="J2553">
        <v>1996</v>
      </c>
      <c r="K2553">
        <v>1996</v>
      </c>
      <c r="L2553" t="s">
        <v>20</v>
      </c>
      <c r="M2553">
        <v>24098</v>
      </c>
      <c r="N2553">
        <v>1622</v>
      </c>
    </row>
    <row r="2554" spans="1:14" x14ac:dyDescent="0.35">
      <c r="A2554" t="s">
        <v>2660</v>
      </c>
      <c r="B2554" t="s">
        <v>15</v>
      </c>
      <c r="C2554" t="s">
        <v>16</v>
      </c>
      <c r="D2554">
        <v>216</v>
      </c>
      <c r="E2554" t="s">
        <v>2649</v>
      </c>
      <c r="F2554">
        <v>5419</v>
      </c>
      <c r="G2554" t="s">
        <v>18</v>
      </c>
      <c r="H2554">
        <v>27</v>
      </c>
      <c r="I2554" t="s">
        <v>19</v>
      </c>
      <c r="J2554">
        <v>1997</v>
      </c>
      <c r="K2554">
        <v>1997</v>
      </c>
      <c r="L2554" t="s">
        <v>20</v>
      </c>
      <c r="M2554">
        <v>23788</v>
      </c>
      <c r="N2554">
        <v>1622</v>
      </c>
    </row>
    <row r="2555" spans="1:14" x14ac:dyDescent="0.35">
      <c r="A2555" t="s">
        <v>2661</v>
      </c>
      <c r="B2555" t="s">
        <v>15</v>
      </c>
      <c r="C2555" t="s">
        <v>16</v>
      </c>
      <c r="D2555">
        <v>216</v>
      </c>
      <c r="E2555" t="s">
        <v>2649</v>
      </c>
      <c r="F2555">
        <v>5419</v>
      </c>
      <c r="G2555" t="s">
        <v>18</v>
      </c>
      <c r="H2555">
        <v>27</v>
      </c>
      <c r="I2555" t="s">
        <v>19</v>
      </c>
      <c r="J2555">
        <v>1998</v>
      </c>
      <c r="K2555">
        <v>1998</v>
      </c>
      <c r="L2555" t="s">
        <v>20</v>
      </c>
      <c r="M2555">
        <v>24180</v>
      </c>
      <c r="N2555">
        <v>1622</v>
      </c>
    </row>
    <row r="2556" spans="1:14" x14ac:dyDescent="0.35">
      <c r="A2556" t="s">
        <v>2662</v>
      </c>
      <c r="B2556" t="s">
        <v>15</v>
      </c>
      <c r="C2556" t="s">
        <v>16</v>
      </c>
      <c r="D2556">
        <v>216</v>
      </c>
      <c r="E2556" t="s">
        <v>2649</v>
      </c>
      <c r="F2556">
        <v>5419</v>
      </c>
      <c r="G2556" t="s">
        <v>18</v>
      </c>
      <c r="H2556">
        <v>27</v>
      </c>
      <c r="I2556" t="s">
        <v>19</v>
      </c>
      <c r="J2556">
        <v>1999</v>
      </c>
      <c r="K2556">
        <v>1999</v>
      </c>
      <c r="L2556" t="s">
        <v>20</v>
      </c>
      <c r="M2556">
        <v>24244</v>
      </c>
      <c r="N2556">
        <v>1622</v>
      </c>
    </row>
    <row r="2557" spans="1:14" x14ac:dyDescent="0.35">
      <c r="A2557" t="s">
        <v>2663</v>
      </c>
      <c r="B2557" t="s">
        <v>15</v>
      </c>
      <c r="C2557" t="s">
        <v>16</v>
      </c>
      <c r="D2557">
        <v>216</v>
      </c>
      <c r="E2557" t="s">
        <v>2649</v>
      </c>
      <c r="F2557">
        <v>5419</v>
      </c>
      <c r="G2557" t="s">
        <v>18</v>
      </c>
      <c r="H2557">
        <v>27</v>
      </c>
      <c r="I2557" t="s">
        <v>19</v>
      </c>
      <c r="J2557">
        <v>2000</v>
      </c>
      <c r="K2557">
        <v>2000</v>
      </c>
      <c r="L2557" t="s">
        <v>20</v>
      </c>
      <c r="M2557">
        <v>26128</v>
      </c>
      <c r="N2557">
        <v>1622</v>
      </c>
    </row>
    <row r="2558" spans="1:14" x14ac:dyDescent="0.35">
      <c r="A2558" t="s">
        <v>2664</v>
      </c>
      <c r="B2558" t="s">
        <v>15</v>
      </c>
      <c r="C2558" t="s">
        <v>16</v>
      </c>
      <c r="D2558">
        <v>216</v>
      </c>
      <c r="E2558" t="s">
        <v>2649</v>
      </c>
      <c r="F2558">
        <v>5419</v>
      </c>
      <c r="G2558" t="s">
        <v>18</v>
      </c>
      <c r="H2558">
        <v>27</v>
      </c>
      <c r="I2558" t="s">
        <v>19</v>
      </c>
      <c r="J2558">
        <v>2001</v>
      </c>
      <c r="K2558">
        <v>2001</v>
      </c>
      <c r="L2558" t="s">
        <v>20</v>
      </c>
      <c r="M2558">
        <v>28739</v>
      </c>
      <c r="N2558">
        <v>1622</v>
      </c>
    </row>
    <row r="2559" spans="1:14" x14ac:dyDescent="0.35">
      <c r="A2559" t="s">
        <v>2665</v>
      </c>
      <c r="B2559" t="s">
        <v>15</v>
      </c>
      <c r="C2559" t="s">
        <v>16</v>
      </c>
      <c r="D2559">
        <v>216</v>
      </c>
      <c r="E2559" t="s">
        <v>2649</v>
      </c>
      <c r="F2559">
        <v>5419</v>
      </c>
      <c r="G2559" t="s">
        <v>18</v>
      </c>
      <c r="H2559">
        <v>27</v>
      </c>
      <c r="I2559" t="s">
        <v>19</v>
      </c>
      <c r="J2559">
        <v>2002</v>
      </c>
      <c r="K2559">
        <v>2002</v>
      </c>
      <c r="L2559" t="s">
        <v>20</v>
      </c>
      <c r="M2559">
        <v>29338</v>
      </c>
      <c r="N2559">
        <v>1622</v>
      </c>
    </row>
    <row r="2560" spans="1:14" x14ac:dyDescent="0.35">
      <c r="A2560" t="s">
        <v>2666</v>
      </c>
      <c r="B2560" t="s">
        <v>15</v>
      </c>
      <c r="C2560" t="s">
        <v>16</v>
      </c>
      <c r="D2560">
        <v>216</v>
      </c>
      <c r="E2560" t="s">
        <v>2649</v>
      </c>
      <c r="F2560">
        <v>5419</v>
      </c>
      <c r="G2560" t="s">
        <v>18</v>
      </c>
      <c r="H2560">
        <v>27</v>
      </c>
      <c r="I2560" t="s">
        <v>19</v>
      </c>
      <c r="J2560">
        <v>2004</v>
      </c>
      <c r="K2560">
        <v>2004</v>
      </c>
      <c r="L2560" t="s">
        <v>20</v>
      </c>
      <c r="M2560">
        <v>28895</v>
      </c>
      <c r="N2560">
        <v>1622</v>
      </c>
    </row>
    <row r="2561" spans="1:14" x14ac:dyDescent="0.35">
      <c r="A2561" t="s">
        <v>2667</v>
      </c>
      <c r="B2561" t="s">
        <v>15</v>
      </c>
      <c r="C2561" t="s">
        <v>16</v>
      </c>
      <c r="D2561">
        <v>216</v>
      </c>
      <c r="E2561" t="s">
        <v>2649</v>
      </c>
      <c r="F2561">
        <v>5419</v>
      </c>
      <c r="G2561" t="s">
        <v>18</v>
      </c>
      <c r="H2561">
        <v>27</v>
      </c>
      <c r="I2561" t="s">
        <v>19</v>
      </c>
      <c r="J2561">
        <v>2005</v>
      </c>
      <c r="K2561">
        <v>2005</v>
      </c>
      <c r="L2561" t="s">
        <v>20</v>
      </c>
      <c r="M2561">
        <v>29974</v>
      </c>
      <c r="N2561">
        <v>1622</v>
      </c>
    </row>
    <row r="2562" spans="1:14" x14ac:dyDescent="0.35">
      <c r="A2562" t="s">
        <v>2668</v>
      </c>
      <c r="B2562" t="s">
        <v>15</v>
      </c>
      <c r="C2562" t="s">
        <v>16</v>
      </c>
      <c r="D2562">
        <v>216</v>
      </c>
      <c r="E2562" t="s">
        <v>2649</v>
      </c>
      <c r="F2562">
        <v>5419</v>
      </c>
      <c r="G2562" t="s">
        <v>18</v>
      </c>
      <c r="H2562">
        <v>27</v>
      </c>
      <c r="I2562" t="s">
        <v>19</v>
      </c>
      <c r="J2562">
        <v>2006</v>
      </c>
      <c r="K2562">
        <v>2006</v>
      </c>
      <c r="L2562" t="s">
        <v>20</v>
      </c>
      <c r="M2562">
        <v>29503</v>
      </c>
      <c r="N2562">
        <v>1622</v>
      </c>
    </row>
    <row r="2563" spans="1:14" x14ac:dyDescent="0.35">
      <c r="A2563" t="s">
        <v>2669</v>
      </c>
      <c r="B2563" t="s">
        <v>15</v>
      </c>
      <c r="C2563" t="s">
        <v>16</v>
      </c>
      <c r="D2563">
        <v>216</v>
      </c>
      <c r="E2563" t="s">
        <v>2649</v>
      </c>
      <c r="F2563">
        <v>5419</v>
      </c>
      <c r="G2563" t="s">
        <v>18</v>
      </c>
      <c r="H2563">
        <v>27</v>
      </c>
      <c r="I2563" t="s">
        <v>19</v>
      </c>
      <c r="J2563">
        <v>2007</v>
      </c>
      <c r="K2563">
        <v>2007</v>
      </c>
      <c r="L2563" t="s">
        <v>20</v>
      </c>
      <c r="M2563">
        <v>30441</v>
      </c>
      <c r="N2563">
        <v>1622</v>
      </c>
    </row>
    <row r="2564" spans="1:14" x14ac:dyDescent="0.35">
      <c r="A2564" t="s">
        <v>2670</v>
      </c>
      <c r="B2564" t="s">
        <v>15</v>
      </c>
      <c r="C2564" t="s">
        <v>16</v>
      </c>
      <c r="D2564">
        <v>216</v>
      </c>
      <c r="E2564" t="s">
        <v>2649</v>
      </c>
      <c r="F2564">
        <v>5419</v>
      </c>
      <c r="G2564" t="s">
        <v>18</v>
      </c>
      <c r="H2564">
        <v>27</v>
      </c>
      <c r="I2564" t="s">
        <v>19</v>
      </c>
      <c r="J2564">
        <v>2008</v>
      </c>
      <c r="K2564">
        <v>2008</v>
      </c>
      <c r="L2564" t="s">
        <v>20</v>
      </c>
      <c r="M2564">
        <v>29974</v>
      </c>
      <c r="N2564">
        <v>1622</v>
      </c>
    </row>
    <row r="2565" spans="1:14" x14ac:dyDescent="0.35">
      <c r="A2565" t="s">
        <v>2671</v>
      </c>
      <c r="B2565" t="s">
        <v>15</v>
      </c>
      <c r="C2565" t="s">
        <v>16</v>
      </c>
      <c r="D2565">
        <v>216</v>
      </c>
      <c r="E2565" t="s">
        <v>2649</v>
      </c>
      <c r="F2565">
        <v>5419</v>
      </c>
      <c r="G2565" t="s">
        <v>18</v>
      </c>
      <c r="H2565">
        <v>27</v>
      </c>
      <c r="I2565" t="s">
        <v>19</v>
      </c>
      <c r="J2565">
        <v>2009</v>
      </c>
      <c r="K2565">
        <v>2009</v>
      </c>
      <c r="L2565" t="s">
        <v>20</v>
      </c>
      <c r="M2565">
        <v>29079</v>
      </c>
      <c r="N2565">
        <v>1622</v>
      </c>
    </row>
    <row r="2566" spans="1:14" x14ac:dyDescent="0.35">
      <c r="A2566" t="s">
        <v>2672</v>
      </c>
      <c r="B2566" t="s">
        <v>15</v>
      </c>
      <c r="C2566" t="s">
        <v>16</v>
      </c>
      <c r="D2566">
        <v>216</v>
      </c>
      <c r="E2566" t="s">
        <v>2649</v>
      </c>
      <c r="F2566">
        <v>5419</v>
      </c>
      <c r="G2566" t="s">
        <v>18</v>
      </c>
      <c r="H2566">
        <v>27</v>
      </c>
      <c r="I2566" t="s">
        <v>19</v>
      </c>
      <c r="J2566">
        <v>2010</v>
      </c>
      <c r="K2566">
        <v>2010</v>
      </c>
      <c r="L2566" t="s">
        <v>20</v>
      </c>
      <c r="M2566">
        <v>29921</v>
      </c>
      <c r="N2566">
        <v>1622</v>
      </c>
    </row>
    <row r="2567" spans="1:14" x14ac:dyDescent="0.35">
      <c r="A2567" t="s">
        <v>2673</v>
      </c>
      <c r="B2567" t="s">
        <v>15</v>
      </c>
      <c r="C2567" t="s">
        <v>16</v>
      </c>
      <c r="D2567">
        <v>216</v>
      </c>
      <c r="E2567" t="s">
        <v>2649</v>
      </c>
      <c r="F2567">
        <v>5419</v>
      </c>
      <c r="G2567" t="s">
        <v>18</v>
      </c>
      <c r="H2567">
        <v>27</v>
      </c>
      <c r="I2567" t="s">
        <v>19</v>
      </c>
      <c r="J2567">
        <v>2011</v>
      </c>
      <c r="K2567">
        <v>2011</v>
      </c>
      <c r="L2567" t="s">
        <v>20</v>
      </c>
      <c r="M2567">
        <v>31867</v>
      </c>
      <c r="N2567">
        <v>1622</v>
      </c>
    </row>
    <row r="2568" spans="1:14" x14ac:dyDescent="0.35">
      <c r="A2568" t="s">
        <v>2674</v>
      </c>
      <c r="B2568" t="s">
        <v>15</v>
      </c>
      <c r="C2568" t="s">
        <v>16</v>
      </c>
      <c r="D2568">
        <v>216</v>
      </c>
      <c r="E2568" t="s">
        <v>2649</v>
      </c>
      <c r="F2568">
        <v>5419</v>
      </c>
      <c r="G2568" t="s">
        <v>18</v>
      </c>
      <c r="H2568">
        <v>27</v>
      </c>
      <c r="I2568" t="s">
        <v>19</v>
      </c>
      <c r="J2568">
        <v>2012</v>
      </c>
      <c r="K2568">
        <v>2012</v>
      </c>
      <c r="L2568" t="s">
        <v>20</v>
      </c>
      <c r="M2568">
        <v>31865</v>
      </c>
      <c r="N2568">
        <v>1622</v>
      </c>
    </row>
    <row r="2569" spans="1:14" x14ac:dyDescent="0.35">
      <c r="A2569" t="s">
        <v>2675</v>
      </c>
      <c r="B2569" t="s">
        <v>15</v>
      </c>
      <c r="C2569" t="s">
        <v>16</v>
      </c>
      <c r="D2569">
        <v>216</v>
      </c>
      <c r="E2569" t="s">
        <v>2649</v>
      </c>
      <c r="F2569">
        <v>5419</v>
      </c>
      <c r="G2569" t="s">
        <v>18</v>
      </c>
      <c r="H2569">
        <v>27</v>
      </c>
      <c r="I2569" t="s">
        <v>19</v>
      </c>
      <c r="J2569">
        <v>2013</v>
      </c>
      <c r="K2569">
        <v>2013</v>
      </c>
      <c r="L2569" t="s">
        <v>20</v>
      </c>
      <c r="M2569">
        <v>31463</v>
      </c>
      <c r="N2569">
        <v>1622</v>
      </c>
    </row>
    <row r="2570" spans="1:14" x14ac:dyDescent="0.35">
      <c r="A2570" t="s">
        <v>2676</v>
      </c>
      <c r="B2570" t="s">
        <v>15</v>
      </c>
      <c r="C2570" t="s">
        <v>16</v>
      </c>
      <c r="D2570">
        <v>216</v>
      </c>
      <c r="E2570" t="s">
        <v>2649</v>
      </c>
      <c r="F2570">
        <v>5419</v>
      </c>
      <c r="G2570" t="s">
        <v>18</v>
      </c>
      <c r="H2570">
        <v>27</v>
      </c>
      <c r="I2570" t="s">
        <v>19</v>
      </c>
      <c r="J2570">
        <v>2014</v>
      </c>
      <c r="K2570">
        <v>2014</v>
      </c>
      <c r="L2570" t="s">
        <v>20</v>
      </c>
      <c r="M2570">
        <v>30586</v>
      </c>
      <c r="N2570">
        <v>1622</v>
      </c>
    </row>
    <row r="2571" spans="1:14" x14ac:dyDescent="0.35">
      <c r="A2571" t="s">
        <v>2677</v>
      </c>
      <c r="B2571" t="s">
        <v>15</v>
      </c>
      <c r="C2571" t="s">
        <v>16</v>
      </c>
      <c r="D2571">
        <v>216</v>
      </c>
      <c r="E2571" t="s">
        <v>2649</v>
      </c>
      <c r="F2571">
        <v>5419</v>
      </c>
      <c r="G2571" t="s">
        <v>18</v>
      </c>
      <c r="H2571">
        <v>27</v>
      </c>
      <c r="I2571" t="s">
        <v>19</v>
      </c>
      <c r="J2571">
        <v>2015</v>
      </c>
      <c r="K2571">
        <v>2015</v>
      </c>
      <c r="L2571" t="s">
        <v>20</v>
      </c>
      <c r="M2571">
        <v>28506</v>
      </c>
      <c r="N2571">
        <v>1622</v>
      </c>
    </row>
    <row r="2572" spans="1:14" x14ac:dyDescent="0.35">
      <c r="A2572" t="s">
        <v>2678</v>
      </c>
      <c r="B2572" t="s">
        <v>15</v>
      </c>
      <c r="C2572" t="s">
        <v>16</v>
      </c>
      <c r="D2572">
        <v>216</v>
      </c>
      <c r="E2572" t="s">
        <v>2649</v>
      </c>
      <c r="F2572">
        <v>5419</v>
      </c>
      <c r="G2572" t="s">
        <v>18</v>
      </c>
      <c r="H2572">
        <v>27</v>
      </c>
      <c r="I2572" t="s">
        <v>19</v>
      </c>
      <c r="J2572">
        <v>2016</v>
      </c>
      <c r="K2572">
        <v>2016</v>
      </c>
      <c r="L2572" t="s">
        <v>20</v>
      </c>
      <c r="M2572">
        <v>29118</v>
      </c>
      <c r="N2572">
        <v>1622</v>
      </c>
    </row>
    <row r="2573" spans="1:14" x14ac:dyDescent="0.35">
      <c r="A2573" t="s">
        <v>2679</v>
      </c>
      <c r="B2573" t="s">
        <v>15</v>
      </c>
      <c r="C2573" t="s">
        <v>16</v>
      </c>
      <c r="D2573">
        <v>176</v>
      </c>
      <c r="E2573" t="s">
        <v>2680</v>
      </c>
      <c r="F2573">
        <v>5419</v>
      </c>
      <c r="G2573" t="s">
        <v>18</v>
      </c>
      <c r="H2573">
        <v>27</v>
      </c>
      <c r="I2573" t="s">
        <v>19</v>
      </c>
      <c r="J2573">
        <v>1985</v>
      </c>
      <c r="K2573">
        <v>1985</v>
      </c>
      <c r="L2573" t="s">
        <v>20</v>
      </c>
      <c r="M2573">
        <v>20000</v>
      </c>
      <c r="N2573">
        <v>1500</v>
      </c>
    </row>
    <row r="2574" spans="1:14" x14ac:dyDescent="0.35">
      <c r="A2574" t="s">
        <v>2681</v>
      </c>
      <c r="B2574" t="s">
        <v>15</v>
      </c>
      <c r="C2574" t="s">
        <v>16</v>
      </c>
      <c r="D2574">
        <v>176</v>
      </c>
      <c r="E2574" t="s">
        <v>2680</v>
      </c>
      <c r="F2574">
        <v>5419</v>
      </c>
      <c r="G2574" t="s">
        <v>18</v>
      </c>
      <c r="H2574">
        <v>27</v>
      </c>
      <c r="I2574" t="s">
        <v>19</v>
      </c>
      <c r="J2574">
        <v>1986</v>
      </c>
      <c r="K2574">
        <v>1986</v>
      </c>
      <c r="L2574" t="s">
        <v>20</v>
      </c>
      <c r="M2574">
        <v>20000</v>
      </c>
      <c r="N2574">
        <v>1500</v>
      </c>
    </row>
    <row r="2575" spans="1:14" x14ac:dyDescent="0.35">
      <c r="A2575" t="s">
        <v>2682</v>
      </c>
      <c r="B2575" t="s">
        <v>15</v>
      </c>
      <c r="C2575" t="s">
        <v>16</v>
      </c>
      <c r="D2575">
        <v>176</v>
      </c>
      <c r="E2575" t="s">
        <v>2680</v>
      </c>
      <c r="F2575">
        <v>5419</v>
      </c>
      <c r="G2575" t="s">
        <v>18</v>
      </c>
      <c r="H2575">
        <v>27</v>
      </c>
      <c r="I2575" t="s">
        <v>19</v>
      </c>
      <c r="J2575">
        <v>1987</v>
      </c>
      <c r="K2575">
        <v>1987</v>
      </c>
      <c r="L2575" t="s">
        <v>20</v>
      </c>
      <c r="M2575">
        <v>21305</v>
      </c>
      <c r="N2575">
        <v>1500</v>
      </c>
    </row>
    <row r="2576" spans="1:14" x14ac:dyDescent="0.35">
      <c r="A2576" t="s">
        <v>2683</v>
      </c>
      <c r="B2576" t="s">
        <v>15</v>
      </c>
      <c r="C2576" t="s">
        <v>16</v>
      </c>
      <c r="D2576">
        <v>176</v>
      </c>
      <c r="E2576" t="s">
        <v>2680</v>
      </c>
      <c r="F2576">
        <v>5419</v>
      </c>
      <c r="G2576" t="s">
        <v>18</v>
      </c>
      <c r="H2576">
        <v>27</v>
      </c>
      <c r="I2576" t="s">
        <v>19</v>
      </c>
      <c r="J2576">
        <v>1989</v>
      </c>
      <c r="K2576">
        <v>1989</v>
      </c>
      <c r="L2576" t="s">
        <v>20</v>
      </c>
      <c r="M2576">
        <v>25873</v>
      </c>
      <c r="N2576">
        <v>1500</v>
      </c>
    </row>
    <row r="2577" spans="1:14" x14ac:dyDescent="0.35">
      <c r="A2577" t="s">
        <v>2684</v>
      </c>
      <c r="B2577" t="s">
        <v>15</v>
      </c>
      <c r="C2577" t="s">
        <v>16</v>
      </c>
      <c r="D2577">
        <v>176</v>
      </c>
      <c r="E2577" t="s">
        <v>2680</v>
      </c>
      <c r="F2577">
        <v>5419</v>
      </c>
      <c r="G2577" t="s">
        <v>18</v>
      </c>
      <c r="H2577">
        <v>27</v>
      </c>
      <c r="I2577" t="s">
        <v>19</v>
      </c>
      <c r="J2577">
        <v>1990</v>
      </c>
      <c r="K2577">
        <v>1990</v>
      </c>
      <c r="L2577" t="s">
        <v>20</v>
      </c>
      <c r="M2577">
        <v>26361</v>
      </c>
      <c r="N2577">
        <v>1500</v>
      </c>
    </row>
    <row r="2578" spans="1:14" x14ac:dyDescent="0.35">
      <c r="A2578" t="s">
        <v>2685</v>
      </c>
      <c r="B2578" t="s">
        <v>15</v>
      </c>
      <c r="C2578" t="s">
        <v>16</v>
      </c>
      <c r="D2578">
        <v>176</v>
      </c>
      <c r="E2578" t="s">
        <v>2680</v>
      </c>
      <c r="F2578">
        <v>5419</v>
      </c>
      <c r="G2578" t="s">
        <v>18</v>
      </c>
      <c r="H2578">
        <v>27</v>
      </c>
      <c r="I2578" t="s">
        <v>19</v>
      </c>
      <c r="J2578">
        <v>1991</v>
      </c>
      <c r="K2578">
        <v>1991</v>
      </c>
      <c r="L2578" t="s">
        <v>20</v>
      </c>
      <c r="M2578">
        <v>26237</v>
      </c>
      <c r="N2578">
        <v>1500</v>
      </c>
    </row>
    <row r="2579" spans="1:14" x14ac:dyDescent="0.35">
      <c r="A2579" t="s">
        <v>2686</v>
      </c>
      <c r="B2579" t="s">
        <v>15</v>
      </c>
      <c r="C2579" t="s">
        <v>16</v>
      </c>
      <c r="D2579">
        <v>176</v>
      </c>
      <c r="E2579" t="s">
        <v>2680</v>
      </c>
      <c r="F2579">
        <v>5419</v>
      </c>
      <c r="G2579" t="s">
        <v>18</v>
      </c>
      <c r="H2579">
        <v>27</v>
      </c>
      <c r="I2579" t="s">
        <v>19</v>
      </c>
      <c r="J2579">
        <v>1992</v>
      </c>
      <c r="K2579">
        <v>1992</v>
      </c>
      <c r="L2579" t="s">
        <v>20</v>
      </c>
      <c r="M2579">
        <v>27169</v>
      </c>
      <c r="N2579">
        <v>1500</v>
      </c>
    </row>
    <row r="2580" spans="1:14" x14ac:dyDescent="0.35">
      <c r="A2580" t="s">
        <v>2687</v>
      </c>
      <c r="B2580" t="s">
        <v>15</v>
      </c>
      <c r="C2580" t="s">
        <v>16</v>
      </c>
      <c r="D2580">
        <v>176</v>
      </c>
      <c r="E2580" t="s">
        <v>2680</v>
      </c>
      <c r="F2580">
        <v>5419</v>
      </c>
      <c r="G2580" t="s">
        <v>18</v>
      </c>
      <c r="H2580">
        <v>27</v>
      </c>
      <c r="I2580" t="s">
        <v>19</v>
      </c>
      <c r="J2580">
        <v>1993</v>
      </c>
      <c r="K2580">
        <v>1993</v>
      </c>
      <c r="L2580" t="s">
        <v>20</v>
      </c>
      <c r="M2580">
        <v>27453</v>
      </c>
      <c r="N2580">
        <v>1500</v>
      </c>
    </row>
    <row r="2581" spans="1:14" x14ac:dyDescent="0.35">
      <c r="A2581" t="s">
        <v>2688</v>
      </c>
      <c r="B2581" t="s">
        <v>15</v>
      </c>
      <c r="C2581" t="s">
        <v>16</v>
      </c>
      <c r="D2581">
        <v>176</v>
      </c>
      <c r="E2581" t="s">
        <v>2680</v>
      </c>
      <c r="F2581">
        <v>5419</v>
      </c>
      <c r="G2581" t="s">
        <v>18</v>
      </c>
      <c r="H2581">
        <v>27</v>
      </c>
      <c r="I2581" t="s">
        <v>19</v>
      </c>
      <c r="J2581">
        <v>1994</v>
      </c>
      <c r="K2581">
        <v>1994</v>
      </c>
      <c r="L2581" t="s">
        <v>20</v>
      </c>
      <c r="M2581">
        <v>25759</v>
      </c>
      <c r="N2581">
        <v>1500</v>
      </c>
    </row>
    <row r="2582" spans="1:14" x14ac:dyDescent="0.35">
      <c r="A2582" t="s">
        <v>2689</v>
      </c>
      <c r="B2582" t="s">
        <v>15</v>
      </c>
      <c r="C2582" t="s">
        <v>16</v>
      </c>
      <c r="D2582">
        <v>176</v>
      </c>
      <c r="E2582" t="s">
        <v>2680</v>
      </c>
      <c r="F2582">
        <v>5419</v>
      </c>
      <c r="G2582" t="s">
        <v>18</v>
      </c>
      <c r="H2582">
        <v>27</v>
      </c>
      <c r="I2582" t="s">
        <v>19</v>
      </c>
      <c r="J2582">
        <v>1995</v>
      </c>
      <c r="K2582">
        <v>1995</v>
      </c>
      <c r="L2582" t="s">
        <v>20</v>
      </c>
      <c r="M2582">
        <v>25822</v>
      </c>
      <c r="N2582">
        <v>1500</v>
      </c>
    </row>
    <row r="2583" spans="1:14" x14ac:dyDescent="0.35">
      <c r="A2583" t="s">
        <v>2690</v>
      </c>
      <c r="B2583" t="s">
        <v>15</v>
      </c>
      <c r="C2583" t="s">
        <v>16</v>
      </c>
      <c r="D2583">
        <v>176</v>
      </c>
      <c r="E2583" t="s">
        <v>2680</v>
      </c>
      <c r="F2583">
        <v>5419</v>
      </c>
      <c r="G2583" t="s">
        <v>18</v>
      </c>
      <c r="H2583">
        <v>27</v>
      </c>
      <c r="I2583" t="s">
        <v>19</v>
      </c>
      <c r="J2583">
        <v>1996</v>
      </c>
      <c r="K2583">
        <v>1996</v>
      </c>
      <c r="L2583" t="s">
        <v>20</v>
      </c>
      <c r="M2583">
        <v>26726</v>
      </c>
      <c r="N2583">
        <v>1500</v>
      </c>
    </row>
    <row r="2584" spans="1:14" x14ac:dyDescent="0.35">
      <c r="A2584" t="s">
        <v>2691</v>
      </c>
      <c r="B2584" t="s">
        <v>15</v>
      </c>
      <c r="C2584" t="s">
        <v>16</v>
      </c>
      <c r="D2584">
        <v>176</v>
      </c>
      <c r="E2584" t="s">
        <v>2680</v>
      </c>
      <c r="F2584">
        <v>5419</v>
      </c>
      <c r="G2584" t="s">
        <v>18</v>
      </c>
      <c r="H2584">
        <v>27</v>
      </c>
      <c r="I2584" t="s">
        <v>19</v>
      </c>
      <c r="J2584">
        <v>1997</v>
      </c>
      <c r="K2584">
        <v>1997</v>
      </c>
      <c r="L2584" t="s">
        <v>20</v>
      </c>
      <c r="M2584">
        <v>26742</v>
      </c>
      <c r="N2584">
        <v>1500</v>
      </c>
    </row>
    <row r="2585" spans="1:14" x14ac:dyDescent="0.35">
      <c r="A2585" t="s">
        <v>2692</v>
      </c>
      <c r="B2585" t="s">
        <v>15</v>
      </c>
      <c r="C2585" t="s">
        <v>16</v>
      </c>
      <c r="D2585">
        <v>176</v>
      </c>
      <c r="E2585" t="s">
        <v>2680</v>
      </c>
      <c r="F2585">
        <v>5419</v>
      </c>
      <c r="G2585" t="s">
        <v>18</v>
      </c>
      <c r="H2585">
        <v>27</v>
      </c>
      <c r="I2585" t="s">
        <v>19</v>
      </c>
      <c r="J2585">
        <v>1998</v>
      </c>
      <c r="K2585">
        <v>1998</v>
      </c>
      <c r="L2585" t="s">
        <v>20</v>
      </c>
      <c r="M2585">
        <v>26651</v>
      </c>
      <c r="N2585">
        <v>1500</v>
      </c>
    </row>
    <row r="2586" spans="1:14" x14ac:dyDescent="0.35">
      <c r="A2586" t="s">
        <v>2693</v>
      </c>
      <c r="B2586" t="s">
        <v>15</v>
      </c>
      <c r="C2586" t="s">
        <v>16</v>
      </c>
      <c r="D2586">
        <v>176</v>
      </c>
      <c r="E2586" t="s">
        <v>2680</v>
      </c>
      <c r="F2586">
        <v>5419</v>
      </c>
      <c r="G2586" t="s">
        <v>18</v>
      </c>
      <c r="H2586">
        <v>27</v>
      </c>
      <c r="I2586" t="s">
        <v>19</v>
      </c>
      <c r="J2586">
        <v>1999</v>
      </c>
      <c r="K2586">
        <v>1999</v>
      </c>
      <c r="L2586" t="s">
        <v>20</v>
      </c>
      <c r="M2586">
        <v>26489</v>
      </c>
      <c r="N2586">
        <v>1500</v>
      </c>
    </row>
    <row r="2587" spans="1:14" x14ac:dyDescent="0.35">
      <c r="A2587" t="s">
        <v>2694</v>
      </c>
      <c r="B2587" t="s">
        <v>15</v>
      </c>
      <c r="C2587" t="s">
        <v>16</v>
      </c>
      <c r="D2587">
        <v>176</v>
      </c>
      <c r="E2587" t="s">
        <v>2680</v>
      </c>
      <c r="F2587">
        <v>5419</v>
      </c>
      <c r="G2587" t="s">
        <v>18</v>
      </c>
      <c r="H2587">
        <v>27</v>
      </c>
      <c r="I2587" t="s">
        <v>19</v>
      </c>
      <c r="J2587">
        <v>2000</v>
      </c>
      <c r="K2587">
        <v>2000</v>
      </c>
      <c r="L2587" t="s">
        <v>20</v>
      </c>
      <c r="M2587">
        <v>30000</v>
      </c>
      <c r="N2587">
        <v>1500</v>
      </c>
    </row>
    <row r="2588" spans="1:14" x14ac:dyDescent="0.35">
      <c r="A2588" t="s">
        <v>2695</v>
      </c>
      <c r="B2588" t="s">
        <v>15</v>
      </c>
      <c r="C2588" t="s">
        <v>16</v>
      </c>
      <c r="D2588">
        <v>176</v>
      </c>
      <c r="E2588" t="s">
        <v>2680</v>
      </c>
      <c r="F2588">
        <v>5419</v>
      </c>
      <c r="G2588" t="s">
        <v>18</v>
      </c>
      <c r="H2588">
        <v>27</v>
      </c>
      <c r="I2588" t="s">
        <v>19</v>
      </c>
      <c r="J2588">
        <v>2001</v>
      </c>
      <c r="K2588">
        <v>2001</v>
      </c>
      <c r="L2588" t="s">
        <v>20</v>
      </c>
      <c r="M2588">
        <v>15384</v>
      </c>
      <c r="N2588">
        <v>1500</v>
      </c>
    </row>
    <row r="2589" spans="1:14" x14ac:dyDescent="0.35">
      <c r="A2589" t="s">
        <v>2696</v>
      </c>
      <c r="B2589" t="s">
        <v>15</v>
      </c>
      <c r="C2589" t="s">
        <v>16</v>
      </c>
      <c r="D2589">
        <v>176</v>
      </c>
      <c r="E2589" t="s">
        <v>2680</v>
      </c>
      <c r="F2589">
        <v>5419</v>
      </c>
      <c r="G2589" t="s">
        <v>18</v>
      </c>
      <c r="H2589">
        <v>27</v>
      </c>
      <c r="I2589" t="s">
        <v>19</v>
      </c>
      <c r="J2589">
        <v>2002</v>
      </c>
      <c r="K2589">
        <v>2002</v>
      </c>
      <c r="L2589" t="s">
        <v>20</v>
      </c>
      <c r="M2589">
        <v>15330</v>
      </c>
      <c r="N2589">
        <v>1500</v>
      </c>
    </row>
    <row r="2590" spans="1:14" x14ac:dyDescent="0.35">
      <c r="A2590" t="s">
        <v>2697</v>
      </c>
      <c r="B2590" t="s">
        <v>15</v>
      </c>
      <c r="C2590" t="s">
        <v>16</v>
      </c>
      <c r="D2590">
        <v>176</v>
      </c>
      <c r="E2590" t="s">
        <v>2680</v>
      </c>
      <c r="F2590">
        <v>5419</v>
      </c>
      <c r="G2590" t="s">
        <v>18</v>
      </c>
      <c r="H2590">
        <v>27</v>
      </c>
      <c r="I2590" t="s">
        <v>19</v>
      </c>
      <c r="J2590">
        <v>2004</v>
      </c>
      <c r="K2590">
        <v>2004</v>
      </c>
      <c r="L2590" t="s">
        <v>20</v>
      </c>
      <c r="M2590">
        <v>15215</v>
      </c>
      <c r="N2590">
        <v>1500</v>
      </c>
    </row>
    <row r="2591" spans="1:14" x14ac:dyDescent="0.35">
      <c r="A2591" t="s">
        <v>2698</v>
      </c>
      <c r="B2591" t="s">
        <v>15</v>
      </c>
      <c r="C2591" t="s">
        <v>16</v>
      </c>
      <c r="D2591">
        <v>176</v>
      </c>
      <c r="E2591" t="s">
        <v>2680</v>
      </c>
      <c r="F2591">
        <v>5419</v>
      </c>
      <c r="G2591" t="s">
        <v>18</v>
      </c>
      <c r="H2591">
        <v>27</v>
      </c>
      <c r="I2591" t="s">
        <v>19</v>
      </c>
      <c r="J2591">
        <v>2005</v>
      </c>
      <c r="K2591">
        <v>2005</v>
      </c>
      <c r="L2591" t="s">
        <v>20</v>
      </c>
      <c r="M2591">
        <v>14722</v>
      </c>
      <c r="N2591">
        <v>1500</v>
      </c>
    </row>
    <row r="2592" spans="1:14" x14ac:dyDescent="0.35">
      <c r="A2592" t="s">
        <v>2699</v>
      </c>
      <c r="B2592" t="s">
        <v>15</v>
      </c>
      <c r="C2592" t="s">
        <v>16</v>
      </c>
      <c r="D2592">
        <v>176</v>
      </c>
      <c r="E2592" t="s">
        <v>2680</v>
      </c>
      <c r="F2592">
        <v>5419</v>
      </c>
      <c r="G2592" t="s">
        <v>18</v>
      </c>
      <c r="H2592">
        <v>27</v>
      </c>
      <c r="I2592" t="s">
        <v>19</v>
      </c>
      <c r="J2592">
        <v>2006</v>
      </c>
      <c r="K2592">
        <v>2006</v>
      </c>
      <c r="L2592" t="s">
        <v>20</v>
      </c>
      <c r="M2592">
        <v>12313</v>
      </c>
      <c r="N2592">
        <v>1500</v>
      </c>
    </row>
    <row r="2593" spans="1:14" x14ac:dyDescent="0.35">
      <c r="A2593" t="s">
        <v>2700</v>
      </c>
      <c r="B2593" t="s">
        <v>15</v>
      </c>
      <c r="C2593" t="s">
        <v>16</v>
      </c>
      <c r="D2593">
        <v>176</v>
      </c>
      <c r="E2593" t="s">
        <v>2680</v>
      </c>
      <c r="F2593">
        <v>5419</v>
      </c>
      <c r="G2593" t="s">
        <v>18</v>
      </c>
      <c r="H2593">
        <v>27</v>
      </c>
      <c r="I2593" t="s">
        <v>19</v>
      </c>
      <c r="J2593">
        <v>2007</v>
      </c>
      <c r="K2593">
        <v>2007</v>
      </c>
      <c r="L2593" t="s">
        <v>20</v>
      </c>
      <c r="M2593">
        <v>15105</v>
      </c>
      <c r="N2593">
        <v>1500</v>
      </c>
    </row>
    <row r="2594" spans="1:14" x14ac:dyDescent="0.35">
      <c r="A2594" t="s">
        <v>2701</v>
      </c>
      <c r="B2594" t="s">
        <v>15</v>
      </c>
      <c r="C2594" t="s">
        <v>16</v>
      </c>
      <c r="D2594">
        <v>176</v>
      </c>
      <c r="E2594" t="s">
        <v>2680</v>
      </c>
      <c r="F2594">
        <v>5419</v>
      </c>
      <c r="G2594" t="s">
        <v>18</v>
      </c>
      <c r="H2594">
        <v>27</v>
      </c>
      <c r="I2594" t="s">
        <v>19</v>
      </c>
      <c r="J2594">
        <v>2008</v>
      </c>
      <c r="K2594">
        <v>2008</v>
      </c>
      <c r="L2594" t="s">
        <v>20</v>
      </c>
      <c r="M2594">
        <v>17587</v>
      </c>
      <c r="N2594">
        <v>1500</v>
      </c>
    </row>
    <row r="2595" spans="1:14" x14ac:dyDescent="0.35">
      <c r="A2595" t="s">
        <v>2702</v>
      </c>
      <c r="B2595" t="s">
        <v>15</v>
      </c>
      <c r="C2595" t="s">
        <v>16</v>
      </c>
      <c r="D2595">
        <v>176</v>
      </c>
      <c r="E2595" t="s">
        <v>2680</v>
      </c>
      <c r="F2595">
        <v>5419</v>
      </c>
      <c r="G2595" t="s">
        <v>18</v>
      </c>
      <c r="H2595">
        <v>27</v>
      </c>
      <c r="I2595" t="s">
        <v>19</v>
      </c>
      <c r="J2595">
        <v>2009</v>
      </c>
      <c r="K2595">
        <v>2009</v>
      </c>
      <c r="L2595" t="s">
        <v>20</v>
      </c>
      <c r="M2595">
        <v>30970</v>
      </c>
      <c r="N2595">
        <v>1500</v>
      </c>
    </row>
    <row r="2596" spans="1:14" x14ac:dyDescent="0.35">
      <c r="A2596" t="s">
        <v>2703</v>
      </c>
      <c r="B2596" t="s">
        <v>15</v>
      </c>
      <c r="C2596" t="s">
        <v>16</v>
      </c>
      <c r="D2596">
        <v>176</v>
      </c>
      <c r="E2596" t="s">
        <v>2680</v>
      </c>
      <c r="F2596">
        <v>5419</v>
      </c>
      <c r="G2596" t="s">
        <v>18</v>
      </c>
      <c r="H2596">
        <v>27</v>
      </c>
      <c r="I2596" t="s">
        <v>19</v>
      </c>
      <c r="J2596">
        <v>2010</v>
      </c>
      <c r="K2596">
        <v>2010</v>
      </c>
      <c r="L2596" t="s">
        <v>20</v>
      </c>
      <c r="M2596">
        <v>30898</v>
      </c>
      <c r="N2596">
        <v>1500</v>
      </c>
    </row>
    <row r="2597" spans="1:14" x14ac:dyDescent="0.35">
      <c r="A2597" t="s">
        <v>2704</v>
      </c>
      <c r="B2597" t="s">
        <v>15</v>
      </c>
      <c r="C2597" t="s">
        <v>16</v>
      </c>
      <c r="D2597">
        <v>176</v>
      </c>
      <c r="E2597" t="s">
        <v>2680</v>
      </c>
      <c r="F2597">
        <v>5419</v>
      </c>
      <c r="G2597" t="s">
        <v>18</v>
      </c>
      <c r="H2597">
        <v>27</v>
      </c>
      <c r="I2597" t="s">
        <v>19</v>
      </c>
      <c r="J2597">
        <v>2011</v>
      </c>
      <c r="K2597">
        <v>2011</v>
      </c>
      <c r="L2597" t="s">
        <v>20</v>
      </c>
      <c r="M2597">
        <v>27642</v>
      </c>
      <c r="N2597">
        <v>1500</v>
      </c>
    </row>
    <row r="2598" spans="1:14" x14ac:dyDescent="0.35">
      <c r="A2598" t="s">
        <v>2705</v>
      </c>
      <c r="B2598" t="s">
        <v>15</v>
      </c>
      <c r="C2598" t="s">
        <v>16</v>
      </c>
      <c r="D2598">
        <v>176</v>
      </c>
      <c r="E2598" t="s">
        <v>2680</v>
      </c>
      <c r="F2598">
        <v>5419</v>
      </c>
      <c r="G2598" t="s">
        <v>18</v>
      </c>
      <c r="H2598">
        <v>27</v>
      </c>
      <c r="I2598" t="s">
        <v>19</v>
      </c>
      <c r="J2598">
        <v>2012</v>
      </c>
      <c r="K2598">
        <v>2012</v>
      </c>
      <c r="L2598" t="s">
        <v>20</v>
      </c>
      <c r="M2598">
        <v>28451</v>
      </c>
      <c r="N2598">
        <v>1500</v>
      </c>
    </row>
    <row r="2599" spans="1:14" x14ac:dyDescent="0.35">
      <c r="A2599" t="s">
        <v>2706</v>
      </c>
      <c r="B2599" t="s">
        <v>15</v>
      </c>
      <c r="C2599" t="s">
        <v>16</v>
      </c>
      <c r="D2599">
        <v>176</v>
      </c>
      <c r="E2599" t="s">
        <v>2680</v>
      </c>
      <c r="F2599">
        <v>5419</v>
      </c>
      <c r="G2599" t="s">
        <v>18</v>
      </c>
      <c r="H2599">
        <v>27</v>
      </c>
      <c r="I2599" t="s">
        <v>19</v>
      </c>
      <c r="J2599">
        <v>2013</v>
      </c>
      <c r="K2599">
        <v>2013</v>
      </c>
      <c r="L2599" t="s">
        <v>20</v>
      </c>
      <c r="M2599">
        <v>31192</v>
      </c>
      <c r="N2599">
        <v>1500</v>
      </c>
    </row>
    <row r="2600" spans="1:14" x14ac:dyDescent="0.35">
      <c r="A2600" t="s">
        <v>2707</v>
      </c>
      <c r="B2600" t="s">
        <v>15</v>
      </c>
      <c r="C2600" t="s">
        <v>16</v>
      </c>
      <c r="D2600">
        <v>176</v>
      </c>
      <c r="E2600" t="s">
        <v>2680</v>
      </c>
      <c r="F2600">
        <v>5419</v>
      </c>
      <c r="G2600" t="s">
        <v>18</v>
      </c>
      <c r="H2600">
        <v>27</v>
      </c>
      <c r="I2600" t="s">
        <v>19</v>
      </c>
      <c r="J2600">
        <v>2014</v>
      </c>
      <c r="K2600">
        <v>2014</v>
      </c>
      <c r="L2600" t="s">
        <v>20</v>
      </c>
      <c r="M2600">
        <v>31186</v>
      </c>
      <c r="N2600">
        <v>1500</v>
      </c>
    </row>
    <row r="2601" spans="1:14" x14ac:dyDescent="0.35">
      <c r="A2601" t="s">
        <v>2708</v>
      </c>
      <c r="B2601" t="s">
        <v>15</v>
      </c>
      <c r="C2601" t="s">
        <v>16</v>
      </c>
      <c r="D2601">
        <v>176</v>
      </c>
      <c r="E2601" t="s">
        <v>2680</v>
      </c>
      <c r="F2601">
        <v>5419</v>
      </c>
      <c r="G2601" t="s">
        <v>18</v>
      </c>
      <c r="H2601">
        <v>27</v>
      </c>
      <c r="I2601" t="s">
        <v>19</v>
      </c>
      <c r="J2601">
        <v>2015</v>
      </c>
      <c r="K2601">
        <v>2015</v>
      </c>
      <c r="L2601" t="s">
        <v>20</v>
      </c>
      <c r="M2601">
        <v>31160</v>
      </c>
      <c r="N2601">
        <v>1500</v>
      </c>
    </row>
    <row r="2602" spans="1:14" x14ac:dyDescent="0.35">
      <c r="A2602" t="s">
        <v>2709</v>
      </c>
      <c r="B2602" t="s">
        <v>15</v>
      </c>
      <c r="C2602" t="s">
        <v>16</v>
      </c>
      <c r="D2602">
        <v>176</v>
      </c>
      <c r="E2602" t="s">
        <v>2680</v>
      </c>
      <c r="F2602">
        <v>5419</v>
      </c>
      <c r="G2602" t="s">
        <v>18</v>
      </c>
      <c r="H2602">
        <v>27</v>
      </c>
      <c r="I2602" t="s">
        <v>19</v>
      </c>
      <c r="J2602">
        <v>2016</v>
      </c>
      <c r="K2602">
        <v>2016</v>
      </c>
      <c r="L2602" t="s">
        <v>20</v>
      </c>
      <c r="M2602">
        <v>30340</v>
      </c>
      <c r="N2602">
        <v>1500</v>
      </c>
    </row>
    <row r="2603" spans="1:14" x14ac:dyDescent="0.35">
      <c r="A2603" t="s">
        <v>2710</v>
      </c>
      <c r="B2603" t="s">
        <v>15</v>
      </c>
      <c r="C2603" t="s">
        <v>16</v>
      </c>
      <c r="D2603">
        <v>217</v>
      </c>
      <c r="E2603" t="s">
        <v>2711</v>
      </c>
      <c r="F2603">
        <v>5419</v>
      </c>
      <c r="G2603" t="s">
        <v>18</v>
      </c>
      <c r="H2603">
        <v>27</v>
      </c>
      <c r="I2603" t="s">
        <v>19</v>
      </c>
      <c r="J2603">
        <v>1985</v>
      </c>
      <c r="K2603">
        <v>1985</v>
      </c>
      <c r="L2603" t="s">
        <v>20</v>
      </c>
      <c r="M2603">
        <v>6998</v>
      </c>
      <c r="N2603">
        <v>1168</v>
      </c>
    </row>
    <row r="2604" spans="1:14" x14ac:dyDescent="0.35">
      <c r="A2604" t="s">
        <v>2712</v>
      </c>
      <c r="B2604" t="s">
        <v>15</v>
      </c>
      <c r="C2604" t="s">
        <v>16</v>
      </c>
      <c r="D2604">
        <v>217</v>
      </c>
      <c r="E2604" t="s">
        <v>2711</v>
      </c>
      <c r="F2604">
        <v>5419</v>
      </c>
      <c r="G2604" t="s">
        <v>18</v>
      </c>
      <c r="H2604">
        <v>27</v>
      </c>
      <c r="I2604" t="s">
        <v>19</v>
      </c>
      <c r="J2604">
        <v>1986</v>
      </c>
      <c r="K2604">
        <v>1986</v>
      </c>
      <c r="L2604" t="s">
        <v>20</v>
      </c>
      <c r="M2604">
        <v>11508</v>
      </c>
      <c r="N2604">
        <v>1168</v>
      </c>
    </row>
    <row r="2605" spans="1:14" x14ac:dyDescent="0.35">
      <c r="A2605" t="s">
        <v>2713</v>
      </c>
      <c r="B2605" t="s">
        <v>15</v>
      </c>
      <c r="C2605" t="s">
        <v>16</v>
      </c>
      <c r="D2605">
        <v>217</v>
      </c>
      <c r="E2605" t="s">
        <v>2711</v>
      </c>
      <c r="F2605">
        <v>5419</v>
      </c>
      <c r="G2605" t="s">
        <v>18</v>
      </c>
      <c r="H2605">
        <v>27</v>
      </c>
      <c r="I2605" t="s">
        <v>19</v>
      </c>
      <c r="J2605">
        <v>1987</v>
      </c>
      <c r="K2605">
        <v>1987</v>
      </c>
      <c r="L2605" t="s">
        <v>20</v>
      </c>
      <c r="M2605">
        <v>14963</v>
      </c>
      <c r="N2605">
        <v>1168</v>
      </c>
    </row>
    <row r="2606" spans="1:14" x14ac:dyDescent="0.35">
      <c r="A2606" t="s">
        <v>2714</v>
      </c>
      <c r="B2606" t="s">
        <v>15</v>
      </c>
      <c r="C2606" t="s">
        <v>16</v>
      </c>
      <c r="D2606">
        <v>217</v>
      </c>
      <c r="E2606" t="s">
        <v>2711</v>
      </c>
      <c r="F2606">
        <v>5419</v>
      </c>
      <c r="G2606" t="s">
        <v>18</v>
      </c>
      <c r="H2606">
        <v>27</v>
      </c>
      <c r="I2606" t="s">
        <v>19</v>
      </c>
      <c r="J2606">
        <v>1989</v>
      </c>
      <c r="K2606">
        <v>1989</v>
      </c>
      <c r="L2606" t="s">
        <v>20</v>
      </c>
      <c r="M2606">
        <v>13931</v>
      </c>
      <c r="N2606">
        <v>1168</v>
      </c>
    </row>
    <row r="2607" spans="1:14" x14ac:dyDescent="0.35">
      <c r="A2607" t="s">
        <v>2715</v>
      </c>
      <c r="B2607" t="s">
        <v>15</v>
      </c>
      <c r="C2607" t="s">
        <v>16</v>
      </c>
      <c r="D2607">
        <v>217</v>
      </c>
      <c r="E2607" t="s">
        <v>2711</v>
      </c>
      <c r="F2607">
        <v>5419</v>
      </c>
      <c r="G2607" t="s">
        <v>18</v>
      </c>
      <c r="H2607">
        <v>27</v>
      </c>
      <c r="I2607" t="s">
        <v>19</v>
      </c>
      <c r="J2607">
        <v>1990</v>
      </c>
      <c r="K2607">
        <v>1990</v>
      </c>
      <c r="L2607" t="s">
        <v>20</v>
      </c>
      <c r="M2607">
        <v>13098</v>
      </c>
      <c r="N2607">
        <v>1168</v>
      </c>
    </row>
    <row r="2608" spans="1:14" x14ac:dyDescent="0.35">
      <c r="A2608" t="s">
        <v>2716</v>
      </c>
      <c r="B2608" t="s">
        <v>15</v>
      </c>
      <c r="C2608" t="s">
        <v>16</v>
      </c>
      <c r="D2608">
        <v>217</v>
      </c>
      <c r="E2608" t="s">
        <v>2711</v>
      </c>
      <c r="F2608">
        <v>5419</v>
      </c>
      <c r="G2608" t="s">
        <v>18</v>
      </c>
      <c r="H2608">
        <v>27</v>
      </c>
      <c r="I2608" t="s">
        <v>19</v>
      </c>
      <c r="J2608">
        <v>1991</v>
      </c>
      <c r="K2608">
        <v>1991</v>
      </c>
      <c r="L2608" t="s">
        <v>20</v>
      </c>
      <c r="M2608">
        <v>15665</v>
      </c>
      <c r="N2608">
        <v>1168</v>
      </c>
    </row>
    <row r="2609" spans="1:14" x14ac:dyDescent="0.35">
      <c r="A2609" t="s">
        <v>2717</v>
      </c>
      <c r="B2609" t="s">
        <v>15</v>
      </c>
      <c r="C2609" t="s">
        <v>16</v>
      </c>
      <c r="D2609">
        <v>217</v>
      </c>
      <c r="E2609" t="s">
        <v>2711</v>
      </c>
      <c r="F2609">
        <v>5419</v>
      </c>
      <c r="G2609" t="s">
        <v>18</v>
      </c>
      <c r="H2609">
        <v>27</v>
      </c>
      <c r="I2609" t="s">
        <v>19</v>
      </c>
      <c r="J2609">
        <v>1992</v>
      </c>
      <c r="K2609">
        <v>1992</v>
      </c>
      <c r="L2609" t="s">
        <v>20</v>
      </c>
      <c r="M2609">
        <v>18509</v>
      </c>
      <c r="N2609">
        <v>1168</v>
      </c>
    </row>
    <row r="2610" spans="1:14" x14ac:dyDescent="0.35">
      <c r="A2610" t="s">
        <v>2718</v>
      </c>
      <c r="B2610" t="s">
        <v>15</v>
      </c>
      <c r="C2610" t="s">
        <v>16</v>
      </c>
      <c r="D2610">
        <v>217</v>
      </c>
      <c r="E2610" t="s">
        <v>2711</v>
      </c>
      <c r="F2610">
        <v>5419</v>
      </c>
      <c r="G2610" t="s">
        <v>18</v>
      </c>
      <c r="H2610">
        <v>27</v>
      </c>
      <c r="I2610" t="s">
        <v>19</v>
      </c>
      <c r="J2610">
        <v>1993</v>
      </c>
      <c r="K2610">
        <v>1993</v>
      </c>
      <c r="L2610" t="s">
        <v>20</v>
      </c>
      <c r="M2610">
        <v>11975</v>
      </c>
      <c r="N2610">
        <v>1168</v>
      </c>
    </row>
    <row r="2611" spans="1:14" x14ac:dyDescent="0.35">
      <c r="A2611" t="s">
        <v>2719</v>
      </c>
      <c r="B2611" t="s">
        <v>15</v>
      </c>
      <c r="C2611" t="s">
        <v>16</v>
      </c>
      <c r="D2611">
        <v>217</v>
      </c>
      <c r="E2611" t="s">
        <v>2711</v>
      </c>
      <c r="F2611">
        <v>5419</v>
      </c>
      <c r="G2611" t="s">
        <v>18</v>
      </c>
      <c r="H2611">
        <v>27</v>
      </c>
      <c r="I2611" t="s">
        <v>19</v>
      </c>
      <c r="J2611">
        <v>1994</v>
      </c>
      <c r="K2611">
        <v>1994</v>
      </c>
      <c r="L2611" t="s">
        <v>20</v>
      </c>
      <c r="M2611">
        <v>9498</v>
      </c>
      <c r="N2611">
        <v>1168</v>
      </c>
    </row>
    <row r="2612" spans="1:14" x14ac:dyDescent="0.35">
      <c r="A2612" t="s">
        <v>2720</v>
      </c>
      <c r="B2612" t="s">
        <v>15</v>
      </c>
      <c r="C2612" t="s">
        <v>16</v>
      </c>
      <c r="D2612">
        <v>217</v>
      </c>
      <c r="E2612" t="s">
        <v>2711</v>
      </c>
      <c r="F2612">
        <v>5419</v>
      </c>
      <c r="G2612" t="s">
        <v>18</v>
      </c>
      <c r="H2612">
        <v>27</v>
      </c>
      <c r="I2612" t="s">
        <v>19</v>
      </c>
      <c r="J2612">
        <v>1995</v>
      </c>
      <c r="K2612">
        <v>1995</v>
      </c>
      <c r="L2612" t="s">
        <v>20</v>
      </c>
      <c r="M2612">
        <v>12221</v>
      </c>
      <c r="N2612">
        <v>1168</v>
      </c>
    </row>
    <row r="2613" spans="1:14" x14ac:dyDescent="0.35">
      <c r="A2613" t="s">
        <v>2721</v>
      </c>
      <c r="B2613" t="s">
        <v>15</v>
      </c>
      <c r="C2613" t="s">
        <v>16</v>
      </c>
      <c r="D2613">
        <v>217</v>
      </c>
      <c r="E2613" t="s">
        <v>2711</v>
      </c>
      <c r="F2613">
        <v>5419</v>
      </c>
      <c r="G2613" t="s">
        <v>18</v>
      </c>
      <c r="H2613">
        <v>27</v>
      </c>
      <c r="I2613" t="s">
        <v>19</v>
      </c>
      <c r="J2613">
        <v>1996</v>
      </c>
      <c r="K2613">
        <v>1996</v>
      </c>
      <c r="L2613" t="s">
        <v>20</v>
      </c>
      <c r="M2613">
        <v>13320</v>
      </c>
      <c r="N2613">
        <v>1168</v>
      </c>
    </row>
    <row r="2614" spans="1:14" x14ac:dyDescent="0.35">
      <c r="A2614" t="s">
        <v>2722</v>
      </c>
      <c r="B2614" t="s">
        <v>15</v>
      </c>
      <c r="C2614" t="s">
        <v>16</v>
      </c>
      <c r="D2614">
        <v>217</v>
      </c>
      <c r="E2614" t="s">
        <v>2711</v>
      </c>
      <c r="F2614">
        <v>5419</v>
      </c>
      <c r="G2614" t="s">
        <v>18</v>
      </c>
      <c r="H2614">
        <v>27</v>
      </c>
      <c r="I2614" t="s">
        <v>19</v>
      </c>
      <c r="J2614">
        <v>1997</v>
      </c>
      <c r="K2614">
        <v>1997</v>
      </c>
      <c r="L2614" t="s">
        <v>20</v>
      </c>
      <c r="M2614">
        <v>26977</v>
      </c>
      <c r="N2614">
        <v>1168</v>
      </c>
    </row>
    <row r="2615" spans="1:14" x14ac:dyDescent="0.35">
      <c r="A2615" t="s">
        <v>2723</v>
      </c>
      <c r="B2615" t="s">
        <v>15</v>
      </c>
      <c r="C2615" t="s">
        <v>16</v>
      </c>
      <c r="D2615">
        <v>217</v>
      </c>
      <c r="E2615" t="s">
        <v>2711</v>
      </c>
      <c r="F2615">
        <v>5419</v>
      </c>
      <c r="G2615" t="s">
        <v>18</v>
      </c>
      <c r="H2615">
        <v>27</v>
      </c>
      <c r="I2615" t="s">
        <v>19</v>
      </c>
      <c r="J2615">
        <v>1998</v>
      </c>
      <c r="K2615">
        <v>1998</v>
      </c>
      <c r="L2615" t="s">
        <v>20</v>
      </c>
      <c r="M2615">
        <v>20441</v>
      </c>
      <c r="N2615">
        <v>1168</v>
      </c>
    </row>
    <row r="2616" spans="1:14" x14ac:dyDescent="0.35">
      <c r="A2616" t="s">
        <v>2724</v>
      </c>
      <c r="B2616" t="s">
        <v>15</v>
      </c>
      <c r="C2616" t="s">
        <v>16</v>
      </c>
      <c r="D2616">
        <v>217</v>
      </c>
      <c r="E2616" t="s">
        <v>2711</v>
      </c>
      <c r="F2616">
        <v>5419</v>
      </c>
      <c r="G2616" t="s">
        <v>18</v>
      </c>
      <c r="H2616">
        <v>27</v>
      </c>
      <c r="I2616" t="s">
        <v>19</v>
      </c>
      <c r="J2616">
        <v>1999</v>
      </c>
      <c r="K2616">
        <v>1999</v>
      </c>
      <c r="L2616" t="s">
        <v>20</v>
      </c>
      <c r="M2616">
        <v>21254</v>
      </c>
      <c r="N2616">
        <v>1168</v>
      </c>
    </row>
    <row r="2617" spans="1:14" x14ac:dyDescent="0.35">
      <c r="A2617" t="s">
        <v>2725</v>
      </c>
      <c r="B2617" t="s">
        <v>15</v>
      </c>
      <c r="C2617" t="s">
        <v>16</v>
      </c>
      <c r="D2617">
        <v>217</v>
      </c>
      <c r="E2617" t="s">
        <v>2711</v>
      </c>
      <c r="F2617">
        <v>5419</v>
      </c>
      <c r="G2617" t="s">
        <v>18</v>
      </c>
      <c r="H2617">
        <v>27</v>
      </c>
      <c r="I2617" t="s">
        <v>19</v>
      </c>
      <c r="J2617">
        <v>2000</v>
      </c>
      <c r="K2617">
        <v>2000</v>
      </c>
      <c r="L2617" t="s">
        <v>20</v>
      </c>
      <c r="M2617">
        <v>19223</v>
      </c>
      <c r="N2617">
        <v>1168</v>
      </c>
    </row>
    <row r="2618" spans="1:14" x14ac:dyDescent="0.35">
      <c r="A2618" t="s">
        <v>2726</v>
      </c>
      <c r="B2618" t="s">
        <v>15</v>
      </c>
      <c r="C2618" t="s">
        <v>16</v>
      </c>
      <c r="D2618">
        <v>217</v>
      </c>
      <c r="E2618" t="s">
        <v>2711</v>
      </c>
      <c r="F2618">
        <v>5419</v>
      </c>
      <c r="G2618" t="s">
        <v>18</v>
      </c>
      <c r="H2618">
        <v>27</v>
      </c>
      <c r="I2618" t="s">
        <v>19</v>
      </c>
      <c r="J2618">
        <v>2001</v>
      </c>
      <c r="K2618">
        <v>2001</v>
      </c>
      <c r="L2618" t="s">
        <v>20</v>
      </c>
      <c r="M2618">
        <v>19324</v>
      </c>
      <c r="N2618">
        <v>1168</v>
      </c>
    </row>
    <row r="2619" spans="1:14" x14ac:dyDescent="0.35">
      <c r="A2619" t="s">
        <v>2727</v>
      </c>
      <c r="B2619" t="s">
        <v>15</v>
      </c>
      <c r="C2619" t="s">
        <v>16</v>
      </c>
      <c r="D2619">
        <v>217</v>
      </c>
      <c r="E2619" t="s">
        <v>2711</v>
      </c>
      <c r="F2619">
        <v>5419</v>
      </c>
      <c r="G2619" t="s">
        <v>18</v>
      </c>
      <c r="H2619">
        <v>27</v>
      </c>
      <c r="I2619" t="s">
        <v>19</v>
      </c>
      <c r="J2619">
        <v>2002</v>
      </c>
      <c r="K2619">
        <v>2002</v>
      </c>
      <c r="L2619" t="s">
        <v>20</v>
      </c>
      <c r="M2619">
        <v>21627</v>
      </c>
      <c r="N2619">
        <v>1168</v>
      </c>
    </row>
    <row r="2620" spans="1:14" x14ac:dyDescent="0.35">
      <c r="A2620" t="s">
        <v>2728</v>
      </c>
      <c r="B2620" t="s">
        <v>15</v>
      </c>
      <c r="C2620" t="s">
        <v>16</v>
      </c>
      <c r="D2620">
        <v>217</v>
      </c>
      <c r="E2620" t="s">
        <v>2711</v>
      </c>
      <c r="F2620">
        <v>5419</v>
      </c>
      <c r="G2620" t="s">
        <v>18</v>
      </c>
      <c r="H2620">
        <v>27</v>
      </c>
      <c r="I2620" t="s">
        <v>19</v>
      </c>
      <c r="J2620">
        <v>2004</v>
      </c>
      <c r="K2620">
        <v>2004</v>
      </c>
      <c r="L2620" t="s">
        <v>20</v>
      </c>
      <c r="M2620">
        <v>21228</v>
      </c>
      <c r="N2620">
        <v>1168</v>
      </c>
    </row>
    <row r="2621" spans="1:14" x14ac:dyDescent="0.35">
      <c r="A2621" t="s">
        <v>2729</v>
      </c>
      <c r="B2621" t="s">
        <v>15</v>
      </c>
      <c r="C2621" t="s">
        <v>16</v>
      </c>
      <c r="D2621">
        <v>217</v>
      </c>
      <c r="E2621" t="s">
        <v>2711</v>
      </c>
      <c r="F2621">
        <v>5419</v>
      </c>
      <c r="G2621" t="s">
        <v>18</v>
      </c>
      <c r="H2621">
        <v>27</v>
      </c>
      <c r="I2621" t="s">
        <v>19</v>
      </c>
      <c r="J2621">
        <v>2005</v>
      </c>
      <c r="K2621">
        <v>2005</v>
      </c>
      <c r="L2621" t="s">
        <v>20</v>
      </c>
      <c r="M2621">
        <v>22090</v>
      </c>
      <c r="N2621">
        <v>1168</v>
      </c>
    </row>
    <row r="2622" spans="1:14" x14ac:dyDescent="0.35">
      <c r="A2622" t="s">
        <v>2730</v>
      </c>
      <c r="B2622" t="s">
        <v>15</v>
      </c>
      <c r="C2622" t="s">
        <v>16</v>
      </c>
      <c r="D2622">
        <v>217</v>
      </c>
      <c r="E2622" t="s">
        <v>2711</v>
      </c>
      <c r="F2622">
        <v>5419</v>
      </c>
      <c r="G2622" t="s">
        <v>18</v>
      </c>
      <c r="H2622">
        <v>27</v>
      </c>
      <c r="I2622" t="s">
        <v>19</v>
      </c>
      <c r="J2622">
        <v>2006</v>
      </c>
      <c r="K2622">
        <v>2006</v>
      </c>
      <c r="L2622" t="s">
        <v>20</v>
      </c>
      <c r="M2622">
        <v>24830</v>
      </c>
      <c r="N2622">
        <v>1168</v>
      </c>
    </row>
    <row r="2623" spans="1:14" x14ac:dyDescent="0.35">
      <c r="A2623" t="s">
        <v>2731</v>
      </c>
      <c r="B2623" t="s">
        <v>15</v>
      </c>
      <c r="C2623" t="s">
        <v>16</v>
      </c>
      <c r="D2623">
        <v>217</v>
      </c>
      <c r="E2623" t="s">
        <v>2711</v>
      </c>
      <c r="F2623">
        <v>5419</v>
      </c>
      <c r="G2623" t="s">
        <v>18</v>
      </c>
      <c r="H2623">
        <v>27</v>
      </c>
      <c r="I2623" t="s">
        <v>19</v>
      </c>
      <c r="J2623">
        <v>2007</v>
      </c>
      <c r="K2623">
        <v>2007</v>
      </c>
      <c r="L2623" t="s">
        <v>20</v>
      </c>
      <c r="M2623">
        <v>22836</v>
      </c>
      <c r="N2623">
        <v>1168</v>
      </c>
    </row>
    <row r="2624" spans="1:14" x14ac:dyDescent="0.35">
      <c r="A2624" t="s">
        <v>2732</v>
      </c>
      <c r="B2624" t="s">
        <v>15</v>
      </c>
      <c r="C2624" t="s">
        <v>16</v>
      </c>
      <c r="D2624">
        <v>217</v>
      </c>
      <c r="E2624" t="s">
        <v>2711</v>
      </c>
      <c r="F2624">
        <v>5419</v>
      </c>
      <c r="G2624" t="s">
        <v>18</v>
      </c>
      <c r="H2624">
        <v>27</v>
      </c>
      <c r="I2624" t="s">
        <v>19</v>
      </c>
      <c r="J2624">
        <v>2008</v>
      </c>
      <c r="K2624">
        <v>2008</v>
      </c>
      <c r="L2624" t="s">
        <v>20</v>
      </c>
      <c r="M2624">
        <v>23441</v>
      </c>
      <c r="N2624">
        <v>1168</v>
      </c>
    </row>
    <row r="2625" spans="1:14" x14ac:dyDescent="0.35">
      <c r="A2625" t="s">
        <v>2733</v>
      </c>
      <c r="B2625" t="s">
        <v>15</v>
      </c>
      <c r="C2625" t="s">
        <v>16</v>
      </c>
      <c r="D2625">
        <v>217</v>
      </c>
      <c r="E2625" t="s">
        <v>2711</v>
      </c>
      <c r="F2625">
        <v>5419</v>
      </c>
      <c r="G2625" t="s">
        <v>18</v>
      </c>
      <c r="H2625">
        <v>27</v>
      </c>
      <c r="I2625" t="s">
        <v>19</v>
      </c>
      <c r="J2625">
        <v>2009</v>
      </c>
      <c r="K2625">
        <v>2009</v>
      </c>
      <c r="L2625" t="s">
        <v>20</v>
      </c>
      <c r="M2625">
        <v>26540</v>
      </c>
      <c r="N2625">
        <v>1168</v>
      </c>
    </row>
    <row r="2626" spans="1:14" x14ac:dyDescent="0.35">
      <c r="A2626" t="s">
        <v>2734</v>
      </c>
      <c r="B2626" t="s">
        <v>15</v>
      </c>
      <c r="C2626" t="s">
        <v>16</v>
      </c>
      <c r="D2626">
        <v>217</v>
      </c>
      <c r="E2626" t="s">
        <v>2711</v>
      </c>
      <c r="F2626">
        <v>5419</v>
      </c>
      <c r="G2626" t="s">
        <v>18</v>
      </c>
      <c r="H2626">
        <v>27</v>
      </c>
      <c r="I2626" t="s">
        <v>19</v>
      </c>
      <c r="J2626">
        <v>2010</v>
      </c>
      <c r="K2626">
        <v>2010</v>
      </c>
      <c r="L2626" t="s">
        <v>20</v>
      </c>
      <c r="M2626">
        <v>23228</v>
      </c>
      <c r="N2626">
        <v>1168</v>
      </c>
    </row>
    <row r="2627" spans="1:14" x14ac:dyDescent="0.35">
      <c r="A2627" t="s">
        <v>2735</v>
      </c>
      <c r="B2627" t="s">
        <v>15</v>
      </c>
      <c r="C2627" t="s">
        <v>16</v>
      </c>
      <c r="D2627">
        <v>217</v>
      </c>
      <c r="E2627" t="s">
        <v>2711</v>
      </c>
      <c r="F2627">
        <v>5419</v>
      </c>
      <c r="G2627" t="s">
        <v>18</v>
      </c>
      <c r="H2627">
        <v>27</v>
      </c>
      <c r="I2627" t="s">
        <v>19</v>
      </c>
      <c r="J2627">
        <v>2011</v>
      </c>
      <c r="K2627">
        <v>2011</v>
      </c>
      <c r="L2627" t="s">
        <v>20</v>
      </c>
      <c r="M2627">
        <v>25101</v>
      </c>
      <c r="N2627">
        <v>1168</v>
      </c>
    </row>
    <row r="2628" spans="1:14" x14ac:dyDescent="0.35">
      <c r="A2628" t="s">
        <v>2736</v>
      </c>
      <c r="B2628" t="s">
        <v>15</v>
      </c>
      <c r="C2628" t="s">
        <v>16</v>
      </c>
      <c r="D2628">
        <v>217</v>
      </c>
      <c r="E2628" t="s">
        <v>2711</v>
      </c>
      <c r="F2628">
        <v>5419</v>
      </c>
      <c r="G2628" t="s">
        <v>18</v>
      </c>
      <c r="H2628">
        <v>27</v>
      </c>
      <c r="I2628" t="s">
        <v>19</v>
      </c>
      <c r="J2628">
        <v>2012</v>
      </c>
      <c r="K2628">
        <v>2012</v>
      </c>
      <c r="L2628" t="s">
        <v>20</v>
      </c>
      <c r="M2628">
        <v>16724</v>
      </c>
      <c r="N2628">
        <v>1168</v>
      </c>
    </row>
    <row r="2629" spans="1:14" x14ac:dyDescent="0.35">
      <c r="A2629" t="s">
        <v>2737</v>
      </c>
      <c r="B2629" t="s">
        <v>15</v>
      </c>
      <c r="C2629" t="s">
        <v>16</v>
      </c>
      <c r="D2629">
        <v>217</v>
      </c>
      <c r="E2629" t="s">
        <v>2711</v>
      </c>
      <c r="F2629">
        <v>5419</v>
      </c>
      <c r="G2629" t="s">
        <v>18</v>
      </c>
      <c r="H2629">
        <v>27</v>
      </c>
      <c r="I2629" t="s">
        <v>19</v>
      </c>
      <c r="J2629">
        <v>2013</v>
      </c>
      <c r="K2629">
        <v>2013</v>
      </c>
      <c r="L2629" t="s">
        <v>20</v>
      </c>
      <c r="M2629">
        <v>28233</v>
      </c>
      <c r="N2629">
        <v>1168</v>
      </c>
    </row>
    <row r="2630" spans="1:14" x14ac:dyDescent="0.35">
      <c r="A2630" t="s">
        <v>2738</v>
      </c>
      <c r="B2630" t="s">
        <v>15</v>
      </c>
      <c r="C2630" t="s">
        <v>16</v>
      </c>
      <c r="D2630">
        <v>217</v>
      </c>
      <c r="E2630" t="s">
        <v>2711</v>
      </c>
      <c r="F2630">
        <v>5419</v>
      </c>
      <c r="G2630" t="s">
        <v>18</v>
      </c>
      <c r="H2630">
        <v>27</v>
      </c>
      <c r="I2630" t="s">
        <v>19</v>
      </c>
      <c r="J2630">
        <v>2014</v>
      </c>
      <c r="K2630">
        <v>2014</v>
      </c>
      <c r="L2630" t="s">
        <v>20</v>
      </c>
      <c r="M2630">
        <v>17633</v>
      </c>
      <c r="N2630">
        <v>1168</v>
      </c>
    </row>
    <row r="2631" spans="1:14" x14ac:dyDescent="0.35">
      <c r="A2631" t="s">
        <v>2739</v>
      </c>
      <c r="B2631" t="s">
        <v>15</v>
      </c>
      <c r="C2631" t="s">
        <v>16</v>
      </c>
      <c r="D2631">
        <v>217</v>
      </c>
      <c r="E2631" t="s">
        <v>2711</v>
      </c>
      <c r="F2631">
        <v>5419</v>
      </c>
      <c r="G2631" t="s">
        <v>18</v>
      </c>
      <c r="H2631">
        <v>27</v>
      </c>
      <c r="I2631" t="s">
        <v>19</v>
      </c>
      <c r="J2631">
        <v>2015</v>
      </c>
      <c r="K2631">
        <v>2015</v>
      </c>
      <c r="L2631" t="s">
        <v>20</v>
      </c>
      <c r="M2631">
        <v>17273</v>
      </c>
      <c r="N2631">
        <v>1168</v>
      </c>
    </row>
    <row r="2632" spans="1:14" x14ac:dyDescent="0.35">
      <c r="A2632" t="s">
        <v>2740</v>
      </c>
      <c r="B2632" t="s">
        <v>15</v>
      </c>
      <c r="C2632" t="s">
        <v>16</v>
      </c>
      <c r="D2632">
        <v>217</v>
      </c>
      <c r="E2632" t="s">
        <v>2711</v>
      </c>
      <c r="F2632">
        <v>5419</v>
      </c>
      <c r="G2632" t="s">
        <v>18</v>
      </c>
      <c r="H2632">
        <v>27</v>
      </c>
      <c r="I2632" t="s">
        <v>19</v>
      </c>
      <c r="J2632">
        <v>2016</v>
      </c>
      <c r="K2632">
        <v>2016</v>
      </c>
      <c r="L2632" t="s">
        <v>20</v>
      </c>
      <c r="M2632">
        <v>16536</v>
      </c>
      <c r="N2632">
        <v>1168</v>
      </c>
    </row>
    <row r="2633" spans="1:14" x14ac:dyDescent="0.35">
      <c r="A2633" t="s">
        <v>2741</v>
      </c>
      <c r="B2633" t="s">
        <v>15</v>
      </c>
      <c r="C2633" t="s">
        <v>16</v>
      </c>
      <c r="D2633">
        <v>220</v>
      </c>
      <c r="E2633" t="s">
        <v>2742</v>
      </c>
      <c r="F2633">
        <v>5419</v>
      </c>
      <c r="G2633" t="s">
        <v>18</v>
      </c>
      <c r="H2633">
        <v>27</v>
      </c>
      <c r="I2633" t="s">
        <v>19</v>
      </c>
      <c r="J2633">
        <v>1985</v>
      </c>
      <c r="K2633">
        <v>1985</v>
      </c>
      <c r="L2633" t="s">
        <v>20</v>
      </c>
      <c r="M2633">
        <v>20831</v>
      </c>
      <c r="N2633">
        <v>2200</v>
      </c>
    </row>
    <row r="2634" spans="1:14" x14ac:dyDescent="0.35">
      <c r="A2634" t="s">
        <v>2743</v>
      </c>
      <c r="B2634" t="s">
        <v>15</v>
      </c>
      <c r="C2634" t="s">
        <v>16</v>
      </c>
      <c r="D2634">
        <v>220</v>
      </c>
      <c r="E2634" t="s">
        <v>2742</v>
      </c>
      <c r="F2634">
        <v>5419</v>
      </c>
      <c r="G2634" t="s">
        <v>18</v>
      </c>
      <c r="H2634">
        <v>27</v>
      </c>
      <c r="I2634" t="s">
        <v>19</v>
      </c>
      <c r="J2634">
        <v>1986</v>
      </c>
      <c r="K2634">
        <v>1986</v>
      </c>
      <c r="L2634" t="s">
        <v>20</v>
      </c>
      <c r="M2634">
        <v>21768</v>
      </c>
      <c r="N2634">
        <v>2200</v>
      </c>
    </row>
    <row r="2635" spans="1:14" x14ac:dyDescent="0.35">
      <c r="A2635" t="s">
        <v>2744</v>
      </c>
      <c r="B2635" t="s">
        <v>15</v>
      </c>
      <c r="C2635" t="s">
        <v>16</v>
      </c>
      <c r="D2635">
        <v>220</v>
      </c>
      <c r="E2635" t="s">
        <v>2742</v>
      </c>
      <c r="F2635">
        <v>5419</v>
      </c>
      <c r="G2635" t="s">
        <v>18</v>
      </c>
      <c r="H2635">
        <v>27</v>
      </c>
      <c r="I2635" t="s">
        <v>19</v>
      </c>
      <c r="J2635">
        <v>1987</v>
      </c>
      <c r="K2635">
        <v>1987</v>
      </c>
      <c r="L2635" t="s">
        <v>20</v>
      </c>
      <c r="M2635">
        <v>24478</v>
      </c>
      <c r="N2635">
        <v>2200</v>
      </c>
    </row>
    <row r="2636" spans="1:14" x14ac:dyDescent="0.35">
      <c r="A2636" t="s">
        <v>2745</v>
      </c>
      <c r="B2636" t="s">
        <v>15</v>
      </c>
      <c r="C2636" t="s">
        <v>16</v>
      </c>
      <c r="D2636">
        <v>220</v>
      </c>
      <c r="E2636" t="s">
        <v>2742</v>
      </c>
      <c r="F2636">
        <v>5419</v>
      </c>
      <c r="G2636" t="s">
        <v>18</v>
      </c>
      <c r="H2636">
        <v>27</v>
      </c>
      <c r="I2636" t="s">
        <v>19</v>
      </c>
      <c r="J2636">
        <v>1989</v>
      </c>
      <c r="K2636">
        <v>1989</v>
      </c>
      <c r="L2636" t="s">
        <v>20</v>
      </c>
      <c r="M2636">
        <v>25017</v>
      </c>
      <c r="N2636">
        <v>2200</v>
      </c>
    </row>
    <row r="2637" spans="1:14" x14ac:dyDescent="0.35">
      <c r="A2637" t="s">
        <v>2746</v>
      </c>
      <c r="B2637" t="s">
        <v>15</v>
      </c>
      <c r="C2637" t="s">
        <v>16</v>
      </c>
      <c r="D2637">
        <v>220</v>
      </c>
      <c r="E2637" t="s">
        <v>2742</v>
      </c>
      <c r="F2637">
        <v>5419</v>
      </c>
      <c r="G2637" t="s">
        <v>18</v>
      </c>
      <c r="H2637">
        <v>27</v>
      </c>
      <c r="I2637" t="s">
        <v>19</v>
      </c>
      <c r="J2637">
        <v>1990</v>
      </c>
      <c r="K2637">
        <v>1990</v>
      </c>
      <c r="L2637" t="s">
        <v>20</v>
      </c>
      <c r="M2637">
        <v>31397</v>
      </c>
      <c r="N2637">
        <v>2200</v>
      </c>
    </row>
    <row r="2638" spans="1:14" x14ac:dyDescent="0.35">
      <c r="A2638" t="s">
        <v>2747</v>
      </c>
      <c r="B2638" t="s">
        <v>15</v>
      </c>
      <c r="C2638" t="s">
        <v>16</v>
      </c>
      <c r="D2638">
        <v>220</v>
      </c>
      <c r="E2638" t="s">
        <v>2742</v>
      </c>
      <c r="F2638">
        <v>5419</v>
      </c>
      <c r="G2638" t="s">
        <v>18</v>
      </c>
      <c r="H2638">
        <v>27</v>
      </c>
      <c r="I2638" t="s">
        <v>19</v>
      </c>
      <c r="J2638">
        <v>1991</v>
      </c>
      <c r="K2638">
        <v>1991</v>
      </c>
      <c r="L2638" t="s">
        <v>20</v>
      </c>
      <c r="M2638">
        <v>30769</v>
      </c>
      <c r="N2638">
        <v>2200</v>
      </c>
    </row>
    <row r="2639" spans="1:14" x14ac:dyDescent="0.35">
      <c r="A2639" t="s">
        <v>2748</v>
      </c>
      <c r="B2639" t="s">
        <v>15</v>
      </c>
      <c r="C2639" t="s">
        <v>16</v>
      </c>
      <c r="D2639">
        <v>220</v>
      </c>
      <c r="E2639" t="s">
        <v>2742</v>
      </c>
      <c r="F2639">
        <v>5419</v>
      </c>
      <c r="G2639" t="s">
        <v>18</v>
      </c>
      <c r="H2639">
        <v>27</v>
      </c>
      <c r="I2639" t="s">
        <v>19</v>
      </c>
      <c r="J2639">
        <v>1992</v>
      </c>
      <c r="K2639">
        <v>1992</v>
      </c>
      <c r="L2639" t="s">
        <v>20</v>
      </c>
      <c r="M2639">
        <v>36703</v>
      </c>
      <c r="N2639">
        <v>2200</v>
      </c>
    </row>
    <row r="2640" spans="1:14" x14ac:dyDescent="0.35">
      <c r="A2640" t="s">
        <v>2749</v>
      </c>
      <c r="B2640" t="s">
        <v>15</v>
      </c>
      <c r="C2640" t="s">
        <v>16</v>
      </c>
      <c r="D2640">
        <v>220</v>
      </c>
      <c r="E2640" t="s">
        <v>2742</v>
      </c>
      <c r="F2640">
        <v>5419</v>
      </c>
      <c r="G2640" t="s">
        <v>18</v>
      </c>
      <c r="H2640">
        <v>27</v>
      </c>
      <c r="I2640" t="s">
        <v>19</v>
      </c>
      <c r="J2640">
        <v>1993</v>
      </c>
      <c r="K2640">
        <v>1993</v>
      </c>
      <c r="L2640" t="s">
        <v>20</v>
      </c>
      <c r="M2640">
        <v>32408</v>
      </c>
      <c r="N2640">
        <v>2200</v>
      </c>
    </row>
    <row r="2641" spans="1:14" x14ac:dyDescent="0.35">
      <c r="A2641" t="s">
        <v>2750</v>
      </c>
      <c r="B2641" t="s">
        <v>15</v>
      </c>
      <c r="C2641" t="s">
        <v>16</v>
      </c>
      <c r="D2641">
        <v>220</v>
      </c>
      <c r="E2641" t="s">
        <v>2742</v>
      </c>
      <c r="F2641">
        <v>5419</v>
      </c>
      <c r="G2641" t="s">
        <v>18</v>
      </c>
      <c r="H2641">
        <v>27</v>
      </c>
      <c r="I2641" t="s">
        <v>19</v>
      </c>
      <c r="J2641">
        <v>1994</v>
      </c>
      <c r="K2641">
        <v>1994</v>
      </c>
      <c r="L2641" t="s">
        <v>20</v>
      </c>
      <c r="M2641">
        <v>37264</v>
      </c>
      <c r="N2641">
        <v>2200</v>
      </c>
    </row>
    <row r="2642" spans="1:14" x14ac:dyDescent="0.35">
      <c r="A2642" t="s">
        <v>2751</v>
      </c>
      <c r="B2642" t="s">
        <v>15</v>
      </c>
      <c r="C2642" t="s">
        <v>16</v>
      </c>
      <c r="D2642">
        <v>220</v>
      </c>
      <c r="E2642" t="s">
        <v>2742</v>
      </c>
      <c r="F2642">
        <v>5419</v>
      </c>
      <c r="G2642" t="s">
        <v>18</v>
      </c>
      <c r="H2642">
        <v>27</v>
      </c>
      <c r="I2642" t="s">
        <v>19</v>
      </c>
      <c r="J2642">
        <v>1995</v>
      </c>
      <c r="K2642">
        <v>1995</v>
      </c>
      <c r="L2642" t="s">
        <v>20</v>
      </c>
      <c r="M2642">
        <v>39204</v>
      </c>
      <c r="N2642">
        <v>2200</v>
      </c>
    </row>
    <row r="2643" spans="1:14" x14ac:dyDescent="0.35">
      <c r="A2643" t="s">
        <v>2752</v>
      </c>
      <c r="B2643" t="s">
        <v>15</v>
      </c>
      <c r="C2643" t="s">
        <v>16</v>
      </c>
      <c r="D2643">
        <v>220</v>
      </c>
      <c r="E2643" t="s">
        <v>2742</v>
      </c>
      <c r="F2643">
        <v>5419</v>
      </c>
      <c r="G2643" t="s">
        <v>18</v>
      </c>
      <c r="H2643">
        <v>27</v>
      </c>
      <c r="I2643" t="s">
        <v>19</v>
      </c>
      <c r="J2643">
        <v>1996</v>
      </c>
      <c r="K2643">
        <v>1996</v>
      </c>
      <c r="L2643" t="s">
        <v>20</v>
      </c>
      <c r="M2643">
        <v>35716</v>
      </c>
      <c r="N2643">
        <v>2200</v>
      </c>
    </row>
    <row r="2644" spans="1:14" x14ac:dyDescent="0.35">
      <c r="A2644" t="s">
        <v>2753</v>
      </c>
      <c r="B2644" t="s">
        <v>15</v>
      </c>
      <c r="C2644" t="s">
        <v>16</v>
      </c>
      <c r="D2644">
        <v>220</v>
      </c>
      <c r="E2644" t="s">
        <v>2742</v>
      </c>
      <c r="F2644">
        <v>5419</v>
      </c>
      <c r="G2644" t="s">
        <v>18</v>
      </c>
      <c r="H2644">
        <v>27</v>
      </c>
      <c r="I2644" t="s">
        <v>19</v>
      </c>
      <c r="J2644">
        <v>1997</v>
      </c>
      <c r="K2644">
        <v>1997</v>
      </c>
      <c r="L2644" t="s">
        <v>20</v>
      </c>
      <c r="M2644">
        <v>22653</v>
      </c>
      <c r="N2644">
        <v>2200</v>
      </c>
    </row>
    <row r="2645" spans="1:14" x14ac:dyDescent="0.35">
      <c r="A2645" t="s">
        <v>2754</v>
      </c>
      <c r="B2645" t="s">
        <v>15</v>
      </c>
      <c r="C2645" t="s">
        <v>16</v>
      </c>
      <c r="D2645">
        <v>220</v>
      </c>
      <c r="E2645" t="s">
        <v>2742</v>
      </c>
      <c r="F2645">
        <v>5419</v>
      </c>
      <c r="G2645" t="s">
        <v>18</v>
      </c>
      <c r="H2645">
        <v>27</v>
      </c>
      <c r="I2645" t="s">
        <v>19</v>
      </c>
      <c r="J2645">
        <v>1998</v>
      </c>
      <c r="K2645">
        <v>1998</v>
      </c>
      <c r="L2645" t="s">
        <v>20</v>
      </c>
      <c r="M2645">
        <v>23457</v>
      </c>
      <c r="N2645">
        <v>2200</v>
      </c>
    </row>
    <row r="2646" spans="1:14" x14ac:dyDescent="0.35">
      <c r="A2646" t="s">
        <v>2755</v>
      </c>
      <c r="B2646" t="s">
        <v>15</v>
      </c>
      <c r="C2646" t="s">
        <v>16</v>
      </c>
      <c r="D2646">
        <v>220</v>
      </c>
      <c r="E2646" t="s">
        <v>2742</v>
      </c>
      <c r="F2646">
        <v>5419</v>
      </c>
      <c r="G2646" t="s">
        <v>18</v>
      </c>
      <c r="H2646">
        <v>27</v>
      </c>
      <c r="I2646" t="s">
        <v>19</v>
      </c>
      <c r="J2646">
        <v>1999</v>
      </c>
      <c r="K2646">
        <v>1999</v>
      </c>
      <c r="L2646" t="s">
        <v>20</v>
      </c>
      <c r="M2646">
        <v>15549</v>
      </c>
      <c r="N2646">
        <v>2200</v>
      </c>
    </row>
    <row r="2647" spans="1:14" x14ac:dyDescent="0.35">
      <c r="A2647" t="s">
        <v>2756</v>
      </c>
      <c r="B2647" t="s">
        <v>15</v>
      </c>
      <c r="C2647" t="s">
        <v>16</v>
      </c>
      <c r="D2647">
        <v>220</v>
      </c>
      <c r="E2647" t="s">
        <v>2742</v>
      </c>
      <c r="F2647">
        <v>5419</v>
      </c>
      <c r="G2647" t="s">
        <v>18</v>
      </c>
      <c r="H2647">
        <v>27</v>
      </c>
      <c r="I2647" t="s">
        <v>19</v>
      </c>
      <c r="J2647">
        <v>2000</v>
      </c>
      <c r="K2647">
        <v>2000</v>
      </c>
      <c r="L2647" t="s">
        <v>20</v>
      </c>
      <c r="M2647">
        <v>22343</v>
      </c>
      <c r="N2647">
        <v>2200</v>
      </c>
    </row>
    <row r="2648" spans="1:14" x14ac:dyDescent="0.35">
      <c r="A2648" t="s">
        <v>2757</v>
      </c>
      <c r="B2648" t="s">
        <v>15</v>
      </c>
      <c r="C2648" t="s">
        <v>16</v>
      </c>
      <c r="D2648">
        <v>220</v>
      </c>
      <c r="E2648" t="s">
        <v>2742</v>
      </c>
      <c r="F2648">
        <v>5419</v>
      </c>
      <c r="G2648" t="s">
        <v>18</v>
      </c>
      <c r="H2648">
        <v>27</v>
      </c>
      <c r="I2648" t="s">
        <v>19</v>
      </c>
      <c r="J2648">
        <v>2001</v>
      </c>
      <c r="K2648">
        <v>2001</v>
      </c>
      <c r="L2648" t="s">
        <v>20</v>
      </c>
      <c r="M2648">
        <v>11650</v>
      </c>
      <c r="N2648">
        <v>2200</v>
      </c>
    </row>
    <row r="2649" spans="1:14" x14ac:dyDescent="0.35">
      <c r="A2649" t="s">
        <v>2758</v>
      </c>
      <c r="B2649" t="s">
        <v>15</v>
      </c>
      <c r="C2649" t="s">
        <v>16</v>
      </c>
      <c r="D2649">
        <v>220</v>
      </c>
      <c r="E2649" t="s">
        <v>2742</v>
      </c>
      <c r="F2649">
        <v>5419</v>
      </c>
      <c r="G2649" t="s">
        <v>18</v>
      </c>
      <c r="H2649">
        <v>27</v>
      </c>
      <c r="I2649" t="s">
        <v>19</v>
      </c>
      <c r="J2649">
        <v>2002</v>
      </c>
      <c r="K2649">
        <v>2002</v>
      </c>
      <c r="L2649" t="s">
        <v>20</v>
      </c>
      <c r="M2649">
        <v>12940</v>
      </c>
      <c r="N2649">
        <v>2200</v>
      </c>
    </row>
    <row r="2650" spans="1:14" x14ac:dyDescent="0.35">
      <c r="A2650" t="s">
        <v>2759</v>
      </c>
      <c r="B2650" t="s">
        <v>15</v>
      </c>
      <c r="C2650" t="s">
        <v>16</v>
      </c>
      <c r="D2650">
        <v>220</v>
      </c>
      <c r="E2650" t="s">
        <v>2742</v>
      </c>
      <c r="F2650">
        <v>5419</v>
      </c>
      <c r="G2650" t="s">
        <v>18</v>
      </c>
      <c r="H2650">
        <v>27</v>
      </c>
      <c r="I2650" t="s">
        <v>19</v>
      </c>
      <c r="J2650">
        <v>2004</v>
      </c>
      <c r="K2650">
        <v>2004</v>
      </c>
      <c r="L2650" t="s">
        <v>20</v>
      </c>
      <c r="M2650">
        <v>9556</v>
      </c>
      <c r="N2650">
        <v>2200</v>
      </c>
    </row>
    <row r="2651" spans="1:14" x14ac:dyDescent="0.35">
      <c r="A2651" t="s">
        <v>2760</v>
      </c>
      <c r="B2651" t="s">
        <v>15</v>
      </c>
      <c r="C2651" t="s">
        <v>16</v>
      </c>
      <c r="D2651">
        <v>220</v>
      </c>
      <c r="E2651" t="s">
        <v>2742</v>
      </c>
      <c r="F2651">
        <v>5419</v>
      </c>
      <c r="G2651" t="s">
        <v>18</v>
      </c>
      <c r="H2651">
        <v>27</v>
      </c>
      <c r="I2651" t="s">
        <v>19</v>
      </c>
      <c r="J2651">
        <v>2005</v>
      </c>
      <c r="K2651">
        <v>2005</v>
      </c>
      <c r="L2651" t="s">
        <v>20</v>
      </c>
      <c r="M2651">
        <v>10410</v>
      </c>
      <c r="N2651">
        <v>2200</v>
      </c>
    </row>
    <row r="2652" spans="1:14" x14ac:dyDescent="0.35">
      <c r="A2652" t="s">
        <v>2761</v>
      </c>
      <c r="B2652" t="s">
        <v>15</v>
      </c>
      <c r="C2652" t="s">
        <v>16</v>
      </c>
      <c r="D2652">
        <v>220</v>
      </c>
      <c r="E2652" t="s">
        <v>2742</v>
      </c>
      <c r="F2652">
        <v>5419</v>
      </c>
      <c r="G2652" t="s">
        <v>18</v>
      </c>
      <c r="H2652">
        <v>27</v>
      </c>
      <c r="I2652" t="s">
        <v>19</v>
      </c>
      <c r="J2652">
        <v>2006</v>
      </c>
      <c r="K2652">
        <v>2006</v>
      </c>
      <c r="L2652" t="s">
        <v>20</v>
      </c>
      <c r="M2652">
        <v>8267</v>
      </c>
      <c r="N2652">
        <v>2200</v>
      </c>
    </row>
    <row r="2653" spans="1:14" x14ac:dyDescent="0.35">
      <c r="A2653" t="s">
        <v>2762</v>
      </c>
      <c r="B2653" t="s">
        <v>15</v>
      </c>
      <c r="C2653" t="s">
        <v>16</v>
      </c>
      <c r="D2653">
        <v>220</v>
      </c>
      <c r="E2653" t="s">
        <v>2742</v>
      </c>
      <c r="F2653">
        <v>5419</v>
      </c>
      <c r="G2653" t="s">
        <v>18</v>
      </c>
      <c r="H2653">
        <v>27</v>
      </c>
      <c r="I2653" t="s">
        <v>19</v>
      </c>
      <c r="J2653">
        <v>2007</v>
      </c>
      <c r="K2653">
        <v>2007</v>
      </c>
      <c r="L2653" t="s">
        <v>20</v>
      </c>
      <c r="M2653">
        <v>11059</v>
      </c>
      <c r="N2653">
        <v>2200</v>
      </c>
    </row>
    <row r="2654" spans="1:14" x14ac:dyDescent="0.35">
      <c r="A2654" t="s">
        <v>2763</v>
      </c>
      <c r="B2654" t="s">
        <v>15</v>
      </c>
      <c r="C2654" t="s">
        <v>16</v>
      </c>
      <c r="D2654">
        <v>220</v>
      </c>
      <c r="E2654" t="s">
        <v>2742</v>
      </c>
      <c r="F2654">
        <v>5419</v>
      </c>
      <c r="G2654" t="s">
        <v>18</v>
      </c>
      <c r="H2654">
        <v>27</v>
      </c>
      <c r="I2654" t="s">
        <v>19</v>
      </c>
      <c r="J2654">
        <v>2008</v>
      </c>
      <c r="K2654">
        <v>2008</v>
      </c>
      <c r="L2654" t="s">
        <v>20</v>
      </c>
      <c r="M2654">
        <v>12269</v>
      </c>
      <c r="N2654">
        <v>2200</v>
      </c>
    </row>
    <row r="2655" spans="1:14" x14ac:dyDescent="0.35">
      <c r="A2655" t="s">
        <v>2764</v>
      </c>
      <c r="B2655" t="s">
        <v>15</v>
      </c>
      <c r="C2655" t="s">
        <v>16</v>
      </c>
      <c r="D2655">
        <v>220</v>
      </c>
      <c r="E2655" t="s">
        <v>2742</v>
      </c>
      <c r="F2655">
        <v>5419</v>
      </c>
      <c r="G2655" t="s">
        <v>18</v>
      </c>
      <c r="H2655">
        <v>27</v>
      </c>
      <c r="I2655" t="s">
        <v>19</v>
      </c>
      <c r="J2655">
        <v>2009</v>
      </c>
      <c r="K2655">
        <v>2009</v>
      </c>
      <c r="L2655" t="s">
        <v>20</v>
      </c>
      <c r="M2655">
        <v>11398</v>
      </c>
      <c r="N2655">
        <v>2200</v>
      </c>
    </row>
    <row r="2656" spans="1:14" x14ac:dyDescent="0.35">
      <c r="A2656" t="s">
        <v>2765</v>
      </c>
      <c r="B2656" t="s">
        <v>15</v>
      </c>
      <c r="C2656" t="s">
        <v>16</v>
      </c>
      <c r="D2656">
        <v>220</v>
      </c>
      <c r="E2656" t="s">
        <v>2742</v>
      </c>
      <c r="F2656">
        <v>5419</v>
      </c>
      <c r="G2656" t="s">
        <v>18</v>
      </c>
      <c r="H2656">
        <v>27</v>
      </c>
      <c r="I2656" t="s">
        <v>19</v>
      </c>
      <c r="J2656">
        <v>2010</v>
      </c>
      <c r="K2656">
        <v>2010</v>
      </c>
      <c r="L2656" t="s">
        <v>20</v>
      </c>
      <c r="M2656">
        <v>11398</v>
      </c>
      <c r="N2656">
        <v>2200</v>
      </c>
    </row>
    <row r="2657" spans="1:14" x14ac:dyDescent="0.35">
      <c r="A2657" t="s">
        <v>2766</v>
      </c>
      <c r="B2657" t="s">
        <v>15</v>
      </c>
      <c r="C2657" t="s">
        <v>16</v>
      </c>
      <c r="D2657">
        <v>220</v>
      </c>
      <c r="E2657" t="s">
        <v>2742</v>
      </c>
      <c r="F2657">
        <v>5419</v>
      </c>
      <c r="G2657" t="s">
        <v>18</v>
      </c>
      <c r="H2657">
        <v>27</v>
      </c>
      <c r="I2657" t="s">
        <v>19</v>
      </c>
      <c r="J2657">
        <v>2011</v>
      </c>
      <c r="K2657">
        <v>2011</v>
      </c>
      <c r="L2657" t="s">
        <v>20</v>
      </c>
      <c r="M2657">
        <v>11404</v>
      </c>
      <c r="N2657">
        <v>2200</v>
      </c>
    </row>
    <row r="2658" spans="1:14" x14ac:dyDescent="0.35">
      <c r="A2658" t="s">
        <v>2767</v>
      </c>
      <c r="B2658" t="s">
        <v>15</v>
      </c>
      <c r="C2658" t="s">
        <v>16</v>
      </c>
      <c r="D2658">
        <v>220</v>
      </c>
      <c r="E2658" t="s">
        <v>2742</v>
      </c>
      <c r="F2658">
        <v>5419</v>
      </c>
      <c r="G2658" t="s">
        <v>18</v>
      </c>
      <c r="H2658">
        <v>27</v>
      </c>
      <c r="I2658" t="s">
        <v>19</v>
      </c>
      <c r="J2658">
        <v>2012</v>
      </c>
      <c r="K2658">
        <v>2012</v>
      </c>
      <c r="L2658" t="s">
        <v>20</v>
      </c>
      <c r="M2658">
        <v>8768</v>
      </c>
      <c r="N2658">
        <v>2200</v>
      </c>
    </row>
    <row r="2659" spans="1:14" x14ac:dyDescent="0.35">
      <c r="A2659" t="s">
        <v>2768</v>
      </c>
      <c r="B2659" t="s">
        <v>15</v>
      </c>
      <c r="C2659" t="s">
        <v>16</v>
      </c>
      <c r="D2659">
        <v>220</v>
      </c>
      <c r="E2659" t="s">
        <v>2742</v>
      </c>
      <c r="F2659">
        <v>5419</v>
      </c>
      <c r="G2659" t="s">
        <v>18</v>
      </c>
      <c r="H2659">
        <v>27</v>
      </c>
      <c r="I2659" t="s">
        <v>19</v>
      </c>
      <c r="J2659">
        <v>2013</v>
      </c>
      <c r="K2659">
        <v>2013</v>
      </c>
      <c r="L2659" t="s">
        <v>20</v>
      </c>
      <c r="M2659">
        <v>11404</v>
      </c>
      <c r="N2659">
        <v>2200</v>
      </c>
    </row>
    <row r="2660" spans="1:14" x14ac:dyDescent="0.35">
      <c r="A2660" t="s">
        <v>2769</v>
      </c>
      <c r="B2660" t="s">
        <v>15</v>
      </c>
      <c r="C2660" t="s">
        <v>16</v>
      </c>
      <c r="D2660">
        <v>220</v>
      </c>
      <c r="E2660" t="s">
        <v>2742</v>
      </c>
      <c r="F2660">
        <v>5419</v>
      </c>
      <c r="G2660" t="s">
        <v>18</v>
      </c>
      <c r="H2660">
        <v>27</v>
      </c>
      <c r="I2660" t="s">
        <v>19</v>
      </c>
      <c r="J2660">
        <v>2014</v>
      </c>
      <c r="K2660">
        <v>2014</v>
      </c>
      <c r="L2660" t="s">
        <v>20</v>
      </c>
      <c r="M2660">
        <v>8771</v>
      </c>
      <c r="N2660">
        <v>2200</v>
      </c>
    </row>
    <row r="2661" spans="1:14" x14ac:dyDescent="0.35">
      <c r="A2661" t="s">
        <v>2770</v>
      </c>
      <c r="B2661" t="s">
        <v>15</v>
      </c>
      <c r="C2661" t="s">
        <v>16</v>
      </c>
      <c r="D2661">
        <v>220</v>
      </c>
      <c r="E2661" t="s">
        <v>2742</v>
      </c>
      <c r="F2661">
        <v>5419</v>
      </c>
      <c r="G2661" t="s">
        <v>18</v>
      </c>
      <c r="H2661">
        <v>27</v>
      </c>
      <c r="I2661" t="s">
        <v>19</v>
      </c>
      <c r="J2661">
        <v>2015</v>
      </c>
      <c r="K2661">
        <v>2015</v>
      </c>
      <c r="L2661" t="s">
        <v>20</v>
      </c>
      <c r="M2661">
        <v>5721</v>
      </c>
      <c r="N2661">
        <v>2200</v>
      </c>
    </row>
    <row r="2662" spans="1:14" x14ac:dyDescent="0.35">
      <c r="A2662" t="s">
        <v>2771</v>
      </c>
      <c r="B2662" t="s">
        <v>15</v>
      </c>
      <c r="C2662" t="s">
        <v>16</v>
      </c>
      <c r="D2662">
        <v>220</v>
      </c>
      <c r="E2662" t="s">
        <v>2742</v>
      </c>
      <c r="F2662">
        <v>5419</v>
      </c>
      <c r="G2662" t="s">
        <v>18</v>
      </c>
      <c r="H2662">
        <v>27</v>
      </c>
      <c r="I2662" t="s">
        <v>19</v>
      </c>
      <c r="J2662">
        <v>2016</v>
      </c>
      <c r="K2662">
        <v>2016</v>
      </c>
      <c r="L2662" t="s">
        <v>20</v>
      </c>
      <c r="M2662">
        <v>8769</v>
      </c>
      <c r="N2662">
        <v>2200</v>
      </c>
    </row>
    <row r="2663" spans="1:14" x14ac:dyDescent="0.35">
      <c r="A2663" t="s">
        <v>2772</v>
      </c>
      <c r="B2663" t="s">
        <v>15</v>
      </c>
      <c r="C2663" t="s">
        <v>16</v>
      </c>
      <c r="D2663">
        <v>223</v>
      </c>
      <c r="E2663" t="s">
        <v>2773</v>
      </c>
      <c r="F2663">
        <v>5419</v>
      </c>
      <c r="G2663" t="s">
        <v>18</v>
      </c>
      <c r="H2663">
        <v>27</v>
      </c>
      <c r="I2663" t="s">
        <v>19</v>
      </c>
      <c r="J2663">
        <v>1985</v>
      </c>
      <c r="K2663">
        <v>1985</v>
      </c>
      <c r="L2663" t="s">
        <v>20</v>
      </c>
      <c r="M2663">
        <v>45166</v>
      </c>
      <c r="N2663">
        <v>593</v>
      </c>
    </row>
    <row r="2664" spans="1:14" x14ac:dyDescent="0.35">
      <c r="A2664" t="s">
        <v>2774</v>
      </c>
      <c r="B2664" t="s">
        <v>15</v>
      </c>
      <c r="C2664" t="s">
        <v>16</v>
      </c>
      <c r="D2664">
        <v>223</v>
      </c>
      <c r="E2664" t="s">
        <v>2773</v>
      </c>
      <c r="F2664">
        <v>5419</v>
      </c>
      <c r="G2664" t="s">
        <v>18</v>
      </c>
      <c r="H2664">
        <v>27</v>
      </c>
      <c r="I2664" t="s">
        <v>19</v>
      </c>
      <c r="J2664">
        <v>1986</v>
      </c>
      <c r="K2664">
        <v>1986</v>
      </c>
      <c r="L2664" t="s">
        <v>20</v>
      </c>
      <c r="M2664">
        <v>50000</v>
      </c>
      <c r="N2664">
        <v>593</v>
      </c>
    </row>
    <row r="2665" spans="1:14" x14ac:dyDescent="0.35">
      <c r="A2665" t="s">
        <v>2775</v>
      </c>
      <c r="B2665" t="s">
        <v>15</v>
      </c>
      <c r="C2665" t="s">
        <v>16</v>
      </c>
      <c r="D2665">
        <v>223</v>
      </c>
      <c r="E2665" t="s">
        <v>2773</v>
      </c>
      <c r="F2665">
        <v>5419</v>
      </c>
      <c r="G2665" t="s">
        <v>18</v>
      </c>
      <c r="H2665">
        <v>27</v>
      </c>
      <c r="I2665" t="s">
        <v>19</v>
      </c>
      <c r="J2665">
        <v>1987</v>
      </c>
      <c r="K2665">
        <v>1987</v>
      </c>
      <c r="L2665" t="s">
        <v>20</v>
      </c>
      <c r="M2665">
        <v>51887</v>
      </c>
      <c r="N2665">
        <v>593</v>
      </c>
    </row>
    <row r="2666" spans="1:14" x14ac:dyDescent="0.35">
      <c r="A2666" t="s">
        <v>2776</v>
      </c>
      <c r="B2666" t="s">
        <v>15</v>
      </c>
      <c r="C2666" t="s">
        <v>16</v>
      </c>
      <c r="D2666">
        <v>223</v>
      </c>
      <c r="E2666" t="s">
        <v>2773</v>
      </c>
      <c r="F2666">
        <v>5419</v>
      </c>
      <c r="G2666" t="s">
        <v>18</v>
      </c>
      <c r="H2666">
        <v>27</v>
      </c>
      <c r="I2666" t="s">
        <v>19</v>
      </c>
      <c r="J2666">
        <v>1989</v>
      </c>
      <c r="K2666">
        <v>1989</v>
      </c>
      <c r="L2666" t="s">
        <v>20</v>
      </c>
      <c r="M2666">
        <v>50000</v>
      </c>
      <c r="N2666">
        <v>593</v>
      </c>
    </row>
    <row r="2667" spans="1:14" x14ac:dyDescent="0.35">
      <c r="A2667" t="s">
        <v>2777</v>
      </c>
      <c r="B2667" t="s">
        <v>15</v>
      </c>
      <c r="C2667" t="s">
        <v>16</v>
      </c>
      <c r="D2667">
        <v>223</v>
      </c>
      <c r="E2667" t="s">
        <v>2773</v>
      </c>
      <c r="F2667">
        <v>5419</v>
      </c>
      <c r="G2667" t="s">
        <v>18</v>
      </c>
      <c r="H2667">
        <v>27</v>
      </c>
      <c r="I2667" t="s">
        <v>19</v>
      </c>
      <c r="J2667">
        <v>1990</v>
      </c>
      <c r="K2667">
        <v>1990</v>
      </c>
      <c r="L2667" t="s">
        <v>20</v>
      </c>
      <c r="M2667">
        <v>49625</v>
      </c>
      <c r="N2667">
        <v>593</v>
      </c>
    </row>
    <row r="2668" spans="1:14" x14ac:dyDescent="0.35">
      <c r="A2668" t="s">
        <v>2778</v>
      </c>
      <c r="B2668" t="s">
        <v>15</v>
      </c>
      <c r="C2668" t="s">
        <v>16</v>
      </c>
      <c r="D2668">
        <v>223</v>
      </c>
      <c r="E2668" t="s">
        <v>2773</v>
      </c>
      <c r="F2668">
        <v>5419</v>
      </c>
      <c r="G2668" t="s">
        <v>18</v>
      </c>
      <c r="H2668">
        <v>27</v>
      </c>
      <c r="I2668" t="s">
        <v>19</v>
      </c>
      <c r="J2668">
        <v>1991</v>
      </c>
      <c r="K2668">
        <v>1991</v>
      </c>
      <c r="L2668" t="s">
        <v>20</v>
      </c>
      <c r="M2668">
        <v>49505</v>
      </c>
      <c r="N2668">
        <v>593</v>
      </c>
    </row>
    <row r="2669" spans="1:14" x14ac:dyDescent="0.35">
      <c r="A2669" t="s">
        <v>2779</v>
      </c>
      <c r="B2669" t="s">
        <v>15</v>
      </c>
      <c r="C2669" t="s">
        <v>16</v>
      </c>
      <c r="D2669">
        <v>223</v>
      </c>
      <c r="E2669" t="s">
        <v>2773</v>
      </c>
      <c r="F2669">
        <v>5419</v>
      </c>
      <c r="G2669" t="s">
        <v>18</v>
      </c>
      <c r="H2669">
        <v>27</v>
      </c>
      <c r="I2669" t="s">
        <v>19</v>
      </c>
      <c r="J2669">
        <v>1992</v>
      </c>
      <c r="K2669">
        <v>1992</v>
      </c>
      <c r="L2669" t="s">
        <v>20</v>
      </c>
      <c r="M2669">
        <v>50026</v>
      </c>
      <c r="N2669">
        <v>593</v>
      </c>
    </row>
    <row r="2670" spans="1:14" x14ac:dyDescent="0.35">
      <c r="A2670" t="s">
        <v>2780</v>
      </c>
      <c r="B2670" t="s">
        <v>15</v>
      </c>
      <c r="C2670" t="s">
        <v>16</v>
      </c>
      <c r="D2670">
        <v>223</v>
      </c>
      <c r="E2670" t="s">
        <v>2773</v>
      </c>
      <c r="F2670">
        <v>5419</v>
      </c>
      <c r="G2670" t="s">
        <v>18</v>
      </c>
      <c r="H2670">
        <v>27</v>
      </c>
      <c r="I2670" t="s">
        <v>19</v>
      </c>
      <c r="J2670">
        <v>1993</v>
      </c>
      <c r="K2670">
        <v>1993</v>
      </c>
      <c r="L2670" t="s">
        <v>20</v>
      </c>
      <c r="M2670">
        <v>50176</v>
      </c>
      <c r="N2670">
        <v>593</v>
      </c>
    </row>
    <row r="2671" spans="1:14" x14ac:dyDescent="0.35">
      <c r="A2671" t="s">
        <v>2781</v>
      </c>
      <c r="B2671" t="s">
        <v>15</v>
      </c>
      <c r="C2671" t="s">
        <v>16</v>
      </c>
      <c r="D2671">
        <v>223</v>
      </c>
      <c r="E2671" t="s">
        <v>2773</v>
      </c>
      <c r="F2671">
        <v>5419</v>
      </c>
      <c r="G2671" t="s">
        <v>18</v>
      </c>
      <c r="H2671">
        <v>27</v>
      </c>
      <c r="I2671" t="s">
        <v>19</v>
      </c>
      <c r="J2671">
        <v>1994</v>
      </c>
      <c r="K2671">
        <v>1994</v>
      </c>
      <c r="L2671" t="s">
        <v>20</v>
      </c>
      <c r="M2671">
        <v>50554</v>
      </c>
      <c r="N2671">
        <v>593</v>
      </c>
    </row>
    <row r="2672" spans="1:14" x14ac:dyDescent="0.35">
      <c r="A2672" t="s">
        <v>2782</v>
      </c>
      <c r="B2672" t="s">
        <v>15</v>
      </c>
      <c r="C2672" t="s">
        <v>16</v>
      </c>
      <c r="D2672">
        <v>223</v>
      </c>
      <c r="E2672" t="s">
        <v>2773</v>
      </c>
      <c r="F2672">
        <v>5419</v>
      </c>
      <c r="G2672" t="s">
        <v>18</v>
      </c>
      <c r="H2672">
        <v>27</v>
      </c>
      <c r="I2672" t="s">
        <v>19</v>
      </c>
      <c r="J2672">
        <v>1995</v>
      </c>
      <c r="K2672">
        <v>1995</v>
      </c>
      <c r="L2672" t="s">
        <v>20</v>
      </c>
      <c r="M2672">
        <v>50045</v>
      </c>
      <c r="N2672">
        <v>593</v>
      </c>
    </row>
    <row r="2673" spans="1:14" x14ac:dyDescent="0.35">
      <c r="A2673" t="s">
        <v>2783</v>
      </c>
      <c r="B2673" t="s">
        <v>15</v>
      </c>
      <c r="C2673" t="s">
        <v>16</v>
      </c>
      <c r="D2673">
        <v>223</v>
      </c>
      <c r="E2673" t="s">
        <v>2773</v>
      </c>
      <c r="F2673">
        <v>5419</v>
      </c>
      <c r="G2673" t="s">
        <v>18</v>
      </c>
      <c r="H2673">
        <v>27</v>
      </c>
      <c r="I2673" t="s">
        <v>19</v>
      </c>
      <c r="J2673">
        <v>1996</v>
      </c>
      <c r="K2673">
        <v>1996</v>
      </c>
      <c r="L2673" t="s">
        <v>20</v>
      </c>
      <c r="M2673">
        <v>51114</v>
      </c>
      <c r="N2673">
        <v>593</v>
      </c>
    </row>
    <row r="2674" spans="1:14" x14ac:dyDescent="0.35">
      <c r="A2674" t="s">
        <v>2784</v>
      </c>
      <c r="B2674" t="s">
        <v>15</v>
      </c>
      <c r="C2674" t="s">
        <v>16</v>
      </c>
      <c r="D2674">
        <v>223</v>
      </c>
      <c r="E2674" t="s">
        <v>2773</v>
      </c>
      <c r="F2674">
        <v>5419</v>
      </c>
      <c r="G2674" t="s">
        <v>18</v>
      </c>
      <c r="H2674">
        <v>27</v>
      </c>
      <c r="I2674" t="s">
        <v>19</v>
      </c>
      <c r="J2674">
        <v>1997</v>
      </c>
      <c r="K2674">
        <v>1997</v>
      </c>
      <c r="L2674" t="s">
        <v>20</v>
      </c>
      <c r="M2674">
        <v>50005</v>
      </c>
      <c r="N2674">
        <v>593</v>
      </c>
    </row>
    <row r="2675" spans="1:14" x14ac:dyDescent="0.35">
      <c r="A2675" t="s">
        <v>2785</v>
      </c>
      <c r="B2675" t="s">
        <v>15</v>
      </c>
      <c r="C2675" t="s">
        <v>16</v>
      </c>
      <c r="D2675">
        <v>223</v>
      </c>
      <c r="E2675" t="s">
        <v>2773</v>
      </c>
      <c r="F2675">
        <v>5419</v>
      </c>
      <c r="G2675" t="s">
        <v>18</v>
      </c>
      <c r="H2675">
        <v>27</v>
      </c>
      <c r="I2675" t="s">
        <v>19</v>
      </c>
      <c r="J2675">
        <v>1998</v>
      </c>
      <c r="K2675">
        <v>1998</v>
      </c>
      <c r="L2675" t="s">
        <v>20</v>
      </c>
      <c r="M2675">
        <v>52601</v>
      </c>
      <c r="N2675">
        <v>593</v>
      </c>
    </row>
    <row r="2676" spans="1:14" x14ac:dyDescent="0.35">
      <c r="A2676" t="s">
        <v>2786</v>
      </c>
      <c r="B2676" t="s">
        <v>15</v>
      </c>
      <c r="C2676" t="s">
        <v>16</v>
      </c>
      <c r="D2676">
        <v>223</v>
      </c>
      <c r="E2676" t="s">
        <v>2773</v>
      </c>
      <c r="F2676">
        <v>5419</v>
      </c>
      <c r="G2676" t="s">
        <v>18</v>
      </c>
      <c r="H2676">
        <v>27</v>
      </c>
      <c r="I2676" t="s">
        <v>19</v>
      </c>
      <c r="J2676">
        <v>1999</v>
      </c>
      <c r="K2676">
        <v>1999</v>
      </c>
      <c r="L2676" t="s">
        <v>20</v>
      </c>
      <c r="M2676">
        <v>52321</v>
      </c>
      <c r="N2676">
        <v>593</v>
      </c>
    </row>
    <row r="2677" spans="1:14" x14ac:dyDescent="0.35">
      <c r="A2677" t="s">
        <v>2787</v>
      </c>
      <c r="B2677" t="s">
        <v>15</v>
      </c>
      <c r="C2677" t="s">
        <v>16</v>
      </c>
      <c r="D2677">
        <v>223</v>
      </c>
      <c r="E2677" t="s">
        <v>2773</v>
      </c>
      <c r="F2677">
        <v>5419</v>
      </c>
      <c r="G2677" t="s">
        <v>18</v>
      </c>
      <c r="H2677">
        <v>27</v>
      </c>
      <c r="I2677" t="s">
        <v>19</v>
      </c>
      <c r="J2677">
        <v>2000</v>
      </c>
      <c r="K2677">
        <v>2000</v>
      </c>
      <c r="L2677" t="s">
        <v>20</v>
      </c>
      <c r="M2677">
        <v>60492</v>
      </c>
      <c r="N2677">
        <v>593</v>
      </c>
    </row>
    <row r="2678" spans="1:14" x14ac:dyDescent="0.35">
      <c r="A2678" t="s">
        <v>2788</v>
      </c>
      <c r="B2678" t="s">
        <v>15</v>
      </c>
      <c r="C2678" t="s">
        <v>16</v>
      </c>
      <c r="D2678">
        <v>223</v>
      </c>
      <c r="E2678" t="s">
        <v>2773</v>
      </c>
      <c r="F2678">
        <v>5419</v>
      </c>
      <c r="G2678" t="s">
        <v>18</v>
      </c>
      <c r="H2678">
        <v>27</v>
      </c>
      <c r="I2678" t="s">
        <v>19</v>
      </c>
      <c r="J2678">
        <v>2001</v>
      </c>
      <c r="K2678">
        <v>2001</v>
      </c>
      <c r="L2678" t="s">
        <v>20</v>
      </c>
      <c r="M2678">
        <v>61017</v>
      </c>
      <c r="N2678">
        <v>593</v>
      </c>
    </row>
    <row r="2679" spans="1:14" x14ac:dyDescent="0.35">
      <c r="A2679" t="s">
        <v>2789</v>
      </c>
      <c r="B2679" t="s">
        <v>15</v>
      </c>
      <c r="C2679" t="s">
        <v>16</v>
      </c>
      <c r="D2679">
        <v>223</v>
      </c>
      <c r="E2679" t="s">
        <v>2773</v>
      </c>
      <c r="F2679">
        <v>5419</v>
      </c>
      <c r="G2679" t="s">
        <v>18</v>
      </c>
      <c r="H2679">
        <v>27</v>
      </c>
      <c r="I2679" t="s">
        <v>19</v>
      </c>
      <c r="J2679">
        <v>2002</v>
      </c>
      <c r="K2679">
        <v>2002</v>
      </c>
      <c r="L2679" t="s">
        <v>20</v>
      </c>
      <c r="M2679">
        <v>60192</v>
      </c>
      <c r="N2679">
        <v>593</v>
      </c>
    </row>
    <row r="2680" spans="1:14" x14ac:dyDescent="0.35">
      <c r="A2680" t="s">
        <v>2790</v>
      </c>
      <c r="B2680" t="s">
        <v>15</v>
      </c>
      <c r="C2680" t="s">
        <v>16</v>
      </c>
      <c r="D2680">
        <v>223</v>
      </c>
      <c r="E2680" t="s">
        <v>2773</v>
      </c>
      <c r="F2680">
        <v>5419</v>
      </c>
      <c r="G2680" t="s">
        <v>18</v>
      </c>
      <c r="H2680">
        <v>27</v>
      </c>
      <c r="I2680" t="s">
        <v>19</v>
      </c>
      <c r="J2680">
        <v>2004</v>
      </c>
      <c r="K2680">
        <v>2004</v>
      </c>
      <c r="L2680" t="s">
        <v>20</v>
      </c>
      <c r="M2680">
        <v>70010</v>
      </c>
      <c r="N2680">
        <v>593</v>
      </c>
    </row>
    <row r="2681" spans="1:14" x14ac:dyDescent="0.35">
      <c r="A2681" t="s">
        <v>2791</v>
      </c>
      <c r="B2681" t="s">
        <v>15</v>
      </c>
      <c r="C2681" t="s">
        <v>16</v>
      </c>
      <c r="D2681">
        <v>223</v>
      </c>
      <c r="E2681" t="s">
        <v>2773</v>
      </c>
      <c r="F2681">
        <v>5419</v>
      </c>
      <c r="G2681" t="s">
        <v>18</v>
      </c>
      <c r="H2681">
        <v>27</v>
      </c>
      <c r="I2681" t="s">
        <v>19</v>
      </c>
      <c r="J2681">
        <v>2005</v>
      </c>
      <c r="K2681">
        <v>2005</v>
      </c>
      <c r="L2681" t="s">
        <v>20</v>
      </c>
      <c r="M2681">
        <v>70664</v>
      </c>
      <c r="N2681">
        <v>593</v>
      </c>
    </row>
    <row r="2682" spans="1:14" x14ac:dyDescent="0.35">
      <c r="A2682" t="s">
        <v>2792</v>
      </c>
      <c r="B2682" t="s">
        <v>15</v>
      </c>
      <c r="C2682" t="s">
        <v>16</v>
      </c>
      <c r="D2682">
        <v>223</v>
      </c>
      <c r="E2682" t="s">
        <v>2773</v>
      </c>
      <c r="F2682">
        <v>5419</v>
      </c>
      <c r="G2682" t="s">
        <v>18</v>
      </c>
      <c r="H2682">
        <v>27</v>
      </c>
      <c r="I2682" t="s">
        <v>19</v>
      </c>
      <c r="J2682">
        <v>2006</v>
      </c>
      <c r="K2682">
        <v>2006</v>
      </c>
      <c r="L2682" t="s">
        <v>20</v>
      </c>
      <c r="M2682">
        <v>70273</v>
      </c>
      <c r="N2682">
        <v>593</v>
      </c>
    </row>
    <row r="2683" spans="1:14" x14ac:dyDescent="0.35">
      <c r="A2683" t="s">
        <v>2793</v>
      </c>
      <c r="B2683" t="s">
        <v>15</v>
      </c>
      <c r="C2683" t="s">
        <v>16</v>
      </c>
      <c r="D2683">
        <v>223</v>
      </c>
      <c r="E2683" t="s">
        <v>2773</v>
      </c>
      <c r="F2683">
        <v>5419</v>
      </c>
      <c r="G2683" t="s">
        <v>18</v>
      </c>
      <c r="H2683">
        <v>27</v>
      </c>
      <c r="I2683" t="s">
        <v>19</v>
      </c>
      <c r="J2683">
        <v>2007</v>
      </c>
      <c r="K2683">
        <v>2007</v>
      </c>
      <c r="L2683" t="s">
        <v>20</v>
      </c>
      <c r="M2683">
        <v>69084</v>
      </c>
      <c r="N2683">
        <v>593</v>
      </c>
    </row>
    <row r="2684" spans="1:14" x14ac:dyDescent="0.35">
      <c r="A2684" t="s">
        <v>2794</v>
      </c>
      <c r="B2684" t="s">
        <v>15</v>
      </c>
      <c r="C2684" t="s">
        <v>16</v>
      </c>
      <c r="D2684">
        <v>223</v>
      </c>
      <c r="E2684" t="s">
        <v>2773</v>
      </c>
      <c r="F2684">
        <v>5419</v>
      </c>
      <c r="G2684" t="s">
        <v>18</v>
      </c>
      <c r="H2684">
        <v>27</v>
      </c>
      <c r="I2684" t="s">
        <v>19</v>
      </c>
      <c r="J2684">
        <v>2008</v>
      </c>
      <c r="K2684">
        <v>2008</v>
      </c>
      <c r="L2684" t="s">
        <v>20</v>
      </c>
      <c r="M2684">
        <v>75716</v>
      </c>
      <c r="N2684">
        <v>593</v>
      </c>
    </row>
    <row r="2685" spans="1:14" x14ac:dyDescent="0.35">
      <c r="A2685" t="s">
        <v>2795</v>
      </c>
      <c r="B2685" t="s">
        <v>15</v>
      </c>
      <c r="C2685" t="s">
        <v>16</v>
      </c>
      <c r="D2685">
        <v>223</v>
      </c>
      <c r="E2685" t="s">
        <v>2773</v>
      </c>
      <c r="F2685">
        <v>5419</v>
      </c>
      <c r="G2685" t="s">
        <v>18</v>
      </c>
      <c r="H2685">
        <v>27</v>
      </c>
      <c r="I2685" t="s">
        <v>19</v>
      </c>
      <c r="J2685">
        <v>2009</v>
      </c>
      <c r="K2685">
        <v>2009</v>
      </c>
      <c r="L2685" t="s">
        <v>20</v>
      </c>
      <c r="M2685">
        <v>77765</v>
      </c>
      <c r="N2685">
        <v>593</v>
      </c>
    </row>
    <row r="2686" spans="1:14" x14ac:dyDescent="0.35">
      <c r="A2686" t="s">
        <v>2796</v>
      </c>
      <c r="B2686" t="s">
        <v>15</v>
      </c>
      <c r="C2686" t="s">
        <v>16</v>
      </c>
      <c r="D2686">
        <v>223</v>
      </c>
      <c r="E2686" t="s">
        <v>2773</v>
      </c>
      <c r="F2686">
        <v>5419</v>
      </c>
      <c r="G2686" t="s">
        <v>18</v>
      </c>
      <c r="H2686">
        <v>27</v>
      </c>
      <c r="I2686" t="s">
        <v>19</v>
      </c>
      <c r="J2686">
        <v>2010</v>
      </c>
      <c r="K2686">
        <v>2010</v>
      </c>
      <c r="L2686" t="s">
        <v>20</v>
      </c>
      <c r="M2686">
        <v>86899</v>
      </c>
      <c r="N2686">
        <v>593</v>
      </c>
    </row>
    <row r="2687" spans="1:14" x14ac:dyDescent="0.35">
      <c r="A2687" t="s">
        <v>2797</v>
      </c>
      <c r="B2687" t="s">
        <v>15</v>
      </c>
      <c r="C2687" t="s">
        <v>16</v>
      </c>
      <c r="D2687">
        <v>223</v>
      </c>
      <c r="E2687" t="s">
        <v>2773</v>
      </c>
      <c r="F2687">
        <v>5419</v>
      </c>
      <c r="G2687" t="s">
        <v>18</v>
      </c>
      <c r="H2687">
        <v>27</v>
      </c>
      <c r="I2687" t="s">
        <v>19</v>
      </c>
      <c r="J2687">
        <v>2011</v>
      </c>
      <c r="K2687">
        <v>2011</v>
      </c>
      <c r="L2687" t="s">
        <v>20</v>
      </c>
      <c r="M2687">
        <v>90559</v>
      </c>
      <c r="N2687">
        <v>593</v>
      </c>
    </row>
    <row r="2688" spans="1:14" x14ac:dyDescent="0.35">
      <c r="A2688" t="s">
        <v>2798</v>
      </c>
      <c r="B2688" t="s">
        <v>15</v>
      </c>
      <c r="C2688" t="s">
        <v>16</v>
      </c>
      <c r="D2688">
        <v>223</v>
      </c>
      <c r="E2688" t="s">
        <v>2773</v>
      </c>
      <c r="F2688">
        <v>5419</v>
      </c>
      <c r="G2688" t="s">
        <v>18</v>
      </c>
      <c r="H2688">
        <v>27</v>
      </c>
      <c r="I2688" t="s">
        <v>19</v>
      </c>
      <c r="J2688">
        <v>2012</v>
      </c>
      <c r="K2688">
        <v>2012</v>
      </c>
      <c r="L2688" t="s">
        <v>20</v>
      </c>
      <c r="M2688">
        <v>73539</v>
      </c>
      <c r="N2688">
        <v>593</v>
      </c>
    </row>
    <row r="2689" spans="1:14" x14ac:dyDescent="0.35">
      <c r="A2689" t="s">
        <v>2799</v>
      </c>
      <c r="B2689" t="s">
        <v>15</v>
      </c>
      <c r="C2689" t="s">
        <v>16</v>
      </c>
      <c r="D2689">
        <v>223</v>
      </c>
      <c r="E2689" t="s">
        <v>2773</v>
      </c>
      <c r="F2689">
        <v>5419</v>
      </c>
      <c r="G2689" t="s">
        <v>18</v>
      </c>
      <c r="H2689">
        <v>27</v>
      </c>
      <c r="I2689" t="s">
        <v>19</v>
      </c>
      <c r="J2689">
        <v>2013</v>
      </c>
      <c r="K2689">
        <v>2013</v>
      </c>
      <c r="L2689" t="s">
        <v>20</v>
      </c>
      <c r="M2689">
        <v>81380</v>
      </c>
      <c r="N2689">
        <v>593</v>
      </c>
    </row>
    <row r="2690" spans="1:14" x14ac:dyDescent="0.35">
      <c r="A2690" t="s">
        <v>2800</v>
      </c>
      <c r="B2690" t="s">
        <v>15</v>
      </c>
      <c r="C2690" t="s">
        <v>16</v>
      </c>
      <c r="D2690">
        <v>223</v>
      </c>
      <c r="E2690" t="s">
        <v>2773</v>
      </c>
      <c r="F2690">
        <v>5419</v>
      </c>
      <c r="G2690" t="s">
        <v>18</v>
      </c>
      <c r="H2690">
        <v>27</v>
      </c>
      <c r="I2690" t="s">
        <v>19</v>
      </c>
      <c r="J2690">
        <v>2014</v>
      </c>
      <c r="K2690">
        <v>2014</v>
      </c>
      <c r="L2690" t="s">
        <v>20</v>
      </c>
      <c r="M2690">
        <v>74856</v>
      </c>
      <c r="N2690">
        <v>593</v>
      </c>
    </row>
    <row r="2691" spans="1:14" x14ac:dyDescent="0.35">
      <c r="A2691" t="s">
        <v>2801</v>
      </c>
      <c r="B2691" t="s">
        <v>15</v>
      </c>
      <c r="C2691" t="s">
        <v>16</v>
      </c>
      <c r="D2691">
        <v>223</v>
      </c>
      <c r="E2691" t="s">
        <v>2773</v>
      </c>
      <c r="F2691">
        <v>5419</v>
      </c>
      <c r="G2691" t="s">
        <v>18</v>
      </c>
      <c r="H2691">
        <v>27</v>
      </c>
      <c r="I2691" t="s">
        <v>19</v>
      </c>
      <c r="J2691">
        <v>2015</v>
      </c>
      <c r="K2691">
        <v>2015</v>
      </c>
      <c r="L2691" t="s">
        <v>20</v>
      </c>
      <c r="M2691">
        <v>79409</v>
      </c>
      <c r="N2691">
        <v>593</v>
      </c>
    </row>
    <row r="2692" spans="1:14" x14ac:dyDescent="0.35">
      <c r="A2692" t="s">
        <v>2802</v>
      </c>
      <c r="B2692" t="s">
        <v>15</v>
      </c>
      <c r="C2692" t="s">
        <v>16</v>
      </c>
      <c r="D2692">
        <v>223</v>
      </c>
      <c r="E2692" t="s">
        <v>2773</v>
      </c>
      <c r="F2692">
        <v>5419</v>
      </c>
      <c r="G2692" t="s">
        <v>18</v>
      </c>
      <c r="H2692">
        <v>27</v>
      </c>
      <c r="I2692" t="s">
        <v>19</v>
      </c>
      <c r="J2692">
        <v>2016</v>
      </c>
      <c r="K2692">
        <v>2016</v>
      </c>
      <c r="L2692" t="s">
        <v>20</v>
      </c>
      <c r="M2692">
        <v>79272</v>
      </c>
      <c r="N2692">
        <v>593</v>
      </c>
    </row>
    <row r="2693" spans="1:14" x14ac:dyDescent="0.35">
      <c r="A2693" t="s">
        <v>2803</v>
      </c>
      <c r="B2693" t="s">
        <v>15</v>
      </c>
      <c r="C2693" t="s">
        <v>16</v>
      </c>
      <c r="D2693">
        <v>213</v>
      </c>
      <c r="E2693" t="s">
        <v>2804</v>
      </c>
      <c r="F2693">
        <v>5419</v>
      </c>
      <c r="G2693" t="s">
        <v>18</v>
      </c>
      <c r="H2693">
        <v>27</v>
      </c>
      <c r="I2693" t="s">
        <v>19</v>
      </c>
      <c r="J2693">
        <v>1992</v>
      </c>
      <c r="K2693">
        <v>1992</v>
      </c>
      <c r="L2693" t="s">
        <v>20</v>
      </c>
      <c r="M2693">
        <v>22794</v>
      </c>
      <c r="N2693">
        <v>161</v>
      </c>
    </row>
    <row r="2694" spans="1:14" x14ac:dyDescent="0.35">
      <c r="A2694" t="s">
        <v>2805</v>
      </c>
      <c r="B2694" t="s">
        <v>15</v>
      </c>
      <c r="C2694" t="s">
        <v>16</v>
      </c>
      <c r="D2694">
        <v>213</v>
      </c>
      <c r="E2694" t="s">
        <v>2804</v>
      </c>
      <c r="F2694">
        <v>5419</v>
      </c>
      <c r="G2694" t="s">
        <v>18</v>
      </c>
      <c r="H2694">
        <v>27</v>
      </c>
      <c r="I2694" t="s">
        <v>19</v>
      </c>
      <c r="J2694">
        <v>1993</v>
      </c>
      <c r="K2694">
        <v>1993</v>
      </c>
      <c r="L2694" t="s">
        <v>20</v>
      </c>
      <c r="M2694">
        <v>22746</v>
      </c>
      <c r="N2694">
        <v>161</v>
      </c>
    </row>
    <row r="2695" spans="1:14" x14ac:dyDescent="0.35">
      <c r="A2695" t="s">
        <v>2806</v>
      </c>
      <c r="B2695" t="s">
        <v>15</v>
      </c>
      <c r="C2695" t="s">
        <v>16</v>
      </c>
      <c r="D2695">
        <v>213</v>
      </c>
      <c r="E2695" t="s">
        <v>2804</v>
      </c>
      <c r="F2695">
        <v>5419</v>
      </c>
      <c r="G2695" t="s">
        <v>18</v>
      </c>
      <c r="H2695">
        <v>27</v>
      </c>
      <c r="I2695" t="s">
        <v>19</v>
      </c>
      <c r="J2695">
        <v>1994</v>
      </c>
      <c r="K2695">
        <v>1994</v>
      </c>
      <c r="L2695" t="s">
        <v>20</v>
      </c>
      <c r="M2695">
        <v>24865</v>
      </c>
      <c r="N2695">
        <v>161</v>
      </c>
    </row>
    <row r="2696" spans="1:14" x14ac:dyDescent="0.35">
      <c r="A2696" t="s">
        <v>2807</v>
      </c>
      <c r="B2696" t="s">
        <v>15</v>
      </c>
      <c r="C2696" t="s">
        <v>16</v>
      </c>
      <c r="D2696">
        <v>213</v>
      </c>
      <c r="E2696" t="s">
        <v>2804</v>
      </c>
      <c r="F2696">
        <v>5419</v>
      </c>
      <c r="G2696" t="s">
        <v>18</v>
      </c>
      <c r="H2696">
        <v>27</v>
      </c>
      <c r="I2696" t="s">
        <v>19</v>
      </c>
      <c r="J2696">
        <v>1995</v>
      </c>
      <c r="K2696">
        <v>1995</v>
      </c>
      <c r="L2696" t="s">
        <v>20</v>
      </c>
      <c r="M2696">
        <v>27103</v>
      </c>
      <c r="N2696">
        <v>161</v>
      </c>
    </row>
    <row r="2697" spans="1:14" x14ac:dyDescent="0.35">
      <c r="A2697" t="s">
        <v>2808</v>
      </c>
      <c r="B2697" t="s">
        <v>15</v>
      </c>
      <c r="C2697" t="s">
        <v>16</v>
      </c>
      <c r="D2697">
        <v>213</v>
      </c>
      <c r="E2697" t="s">
        <v>2804</v>
      </c>
      <c r="F2697">
        <v>5419</v>
      </c>
      <c r="G2697" t="s">
        <v>18</v>
      </c>
      <c r="H2697">
        <v>27</v>
      </c>
      <c r="I2697" t="s">
        <v>19</v>
      </c>
      <c r="J2697">
        <v>1996</v>
      </c>
      <c r="K2697">
        <v>1996</v>
      </c>
      <c r="L2697" t="s">
        <v>20</v>
      </c>
      <c r="M2697">
        <v>12750</v>
      </c>
      <c r="N2697">
        <v>161</v>
      </c>
    </row>
    <row r="2698" spans="1:14" x14ac:dyDescent="0.35">
      <c r="A2698" t="s">
        <v>2809</v>
      </c>
      <c r="B2698" t="s">
        <v>15</v>
      </c>
      <c r="C2698" t="s">
        <v>16</v>
      </c>
      <c r="D2698">
        <v>213</v>
      </c>
      <c r="E2698" t="s">
        <v>2804</v>
      </c>
      <c r="F2698">
        <v>5419</v>
      </c>
      <c r="G2698" t="s">
        <v>18</v>
      </c>
      <c r="H2698">
        <v>27</v>
      </c>
      <c r="I2698" t="s">
        <v>19</v>
      </c>
      <c r="J2698">
        <v>1997</v>
      </c>
      <c r="K2698">
        <v>1997</v>
      </c>
      <c r="L2698" t="s">
        <v>20</v>
      </c>
      <c r="M2698">
        <v>8406</v>
      </c>
      <c r="N2698">
        <v>161</v>
      </c>
    </row>
    <row r="2699" spans="1:14" x14ac:dyDescent="0.35">
      <c r="A2699" t="s">
        <v>2810</v>
      </c>
      <c r="B2699" t="s">
        <v>15</v>
      </c>
      <c r="C2699" t="s">
        <v>16</v>
      </c>
      <c r="D2699">
        <v>213</v>
      </c>
      <c r="E2699" t="s">
        <v>2804</v>
      </c>
      <c r="F2699">
        <v>5419</v>
      </c>
      <c r="G2699" t="s">
        <v>18</v>
      </c>
      <c r="H2699">
        <v>27</v>
      </c>
      <c r="I2699" t="s">
        <v>19</v>
      </c>
      <c r="J2699">
        <v>1998</v>
      </c>
      <c r="K2699">
        <v>1998</v>
      </c>
      <c r="L2699" t="s">
        <v>20</v>
      </c>
      <c r="M2699">
        <v>6850</v>
      </c>
      <c r="N2699">
        <v>161</v>
      </c>
    </row>
    <row r="2700" spans="1:14" x14ac:dyDescent="0.35">
      <c r="A2700" t="s">
        <v>2811</v>
      </c>
      <c r="B2700" t="s">
        <v>15</v>
      </c>
      <c r="C2700" t="s">
        <v>16</v>
      </c>
      <c r="D2700">
        <v>213</v>
      </c>
      <c r="E2700" t="s">
        <v>2804</v>
      </c>
      <c r="F2700">
        <v>5419</v>
      </c>
      <c r="G2700" t="s">
        <v>18</v>
      </c>
      <c r="H2700">
        <v>27</v>
      </c>
      <c r="I2700" t="s">
        <v>19</v>
      </c>
      <c r="J2700">
        <v>1999</v>
      </c>
      <c r="K2700">
        <v>1999</v>
      </c>
      <c r="L2700" t="s">
        <v>20</v>
      </c>
      <c r="M2700">
        <v>11100</v>
      </c>
      <c r="N2700">
        <v>161</v>
      </c>
    </row>
    <row r="2701" spans="1:14" x14ac:dyDescent="0.35">
      <c r="A2701" t="s">
        <v>2812</v>
      </c>
      <c r="B2701" t="s">
        <v>15</v>
      </c>
      <c r="C2701" t="s">
        <v>16</v>
      </c>
      <c r="D2701">
        <v>213</v>
      </c>
      <c r="E2701" t="s">
        <v>2804</v>
      </c>
      <c r="F2701">
        <v>5419</v>
      </c>
      <c r="G2701" t="s">
        <v>18</v>
      </c>
      <c r="H2701">
        <v>27</v>
      </c>
      <c r="I2701" t="s">
        <v>19</v>
      </c>
      <c r="J2701">
        <v>2000</v>
      </c>
      <c r="K2701">
        <v>2000</v>
      </c>
      <c r="L2701" t="s">
        <v>20</v>
      </c>
      <c r="M2701">
        <v>3900</v>
      </c>
      <c r="N2701">
        <v>161</v>
      </c>
    </row>
    <row r="2702" spans="1:14" x14ac:dyDescent="0.35">
      <c r="A2702" t="s">
        <v>2813</v>
      </c>
      <c r="B2702" t="s">
        <v>15</v>
      </c>
      <c r="C2702" t="s">
        <v>16</v>
      </c>
      <c r="D2702">
        <v>213</v>
      </c>
      <c r="E2702" t="s">
        <v>2804</v>
      </c>
      <c r="F2702">
        <v>5419</v>
      </c>
      <c r="G2702" t="s">
        <v>18</v>
      </c>
      <c r="H2702">
        <v>27</v>
      </c>
      <c r="I2702" t="s">
        <v>19</v>
      </c>
      <c r="J2702">
        <v>2001</v>
      </c>
      <c r="K2702">
        <v>2001</v>
      </c>
      <c r="L2702" t="s">
        <v>20</v>
      </c>
      <c r="M2702">
        <v>11143</v>
      </c>
      <c r="N2702">
        <v>161</v>
      </c>
    </row>
    <row r="2703" spans="1:14" x14ac:dyDescent="0.35">
      <c r="A2703" t="s">
        <v>2814</v>
      </c>
      <c r="B2703" t="s">
        <v>15</v>
      </c>
      <c r="C2703" t="s">
        <v>16</v>
      </c>
      <c r="D2703">
        <v>213</v>
      </c>
      <c r="E2703" t="s">
        <v>2804</v>
      </c>
      <c r="F2703">
        <v>5419</v>
      </c>
      <c r="G2703" t="s">
        <v>18</v>
      </c>
      <c r="H2703">
        <v>27</v>
      </c>
      <c r="I2703" t="s">
        <v>19</v>
      </c>
      <c r="J2703">
        <v>2002</v>
      </c>
      <c r="K2703">
        <v>2002</v>
      </c>
      <c r="L2703" t="s">
        <v>20</v>
      </c>
      <c r="M2703">
        <v>19048</v>
      </c>
      <c r="N2703">
        <v>161</v>
      </c>
    </row>
    <row r="2704" spans="1:14" x14ac:dyDescent="0.35">
      <c r="A2704" t="s">
        <v>2815</v>
      </c>
      <c r="B2704" t="s">
        <v>15</v>
      </c>
      <c r="C2704" t="s">
        <v>16</v>
      </c>
      <c r="D2704">
        <v>213</v>
      </c>
      <c r="E2704" t="s">
        <v>2804</v>
      </c>
      <c r="F2704">
        <v>5419</v>
      </c>
      <c r="G2704" t="s">
        <v>18</v>
      </c>
      <c r="H2704">
        <v>27</v>
      </c>
      <c r="I2704" t="s">
        <v>19</v>
      </c>
      <c r="J2704">
        <v>2004</v>
      </c>
      <c r="K2704">
        <v>2004</v>
      </c>
      <c r="L2704" t="s">
        <v>20</v>
      </c>
      <c r="M2704">
        <v>22000</v>
      </c>
      <c r="N2704">
        <v>161</v>
      </c>
    </row>
    <row r="2705" spans="1:14" x14ac:dyDescent="0.35">
      <c r="A2705" t="s">
        <v>2816</v>
      </c>
      <c r="B2705" t="s">
        <v>15</v>
      </c>
      <c r="C2705" t="s">
        <v>16</v>
      </c>
      <c r="D2705">
        <v>213</v>
      </c>
      <c r="E2705" t="s">
        <v>2804</v>
      </c>
      <c r="F2705">
        <v>5419</v>
      </c>
      <c r="G2705" t="s">
        <v>18</v>
      </c>
      <c r="H2705">
        <v>27</v>
      </c>
      <c r="I2705" t="s">
        <v>19</v>
      </c>
      <c r="J2705">
        <v>2005</v>
      </c>
      <c r="K2705">
        <v>2005</v>
      </c>
      <c r="L2705" t="s">
        <v>20</v>
      </c>
      <c r="M2705">
        <v>21818</v>
      </c>
      <c r="N2705">
        <v>161</v>
      </c>
    </row>
    <row r="2706" spans="1:14" x14ac:dyDescent="0.35">
      <c r="A2706" t="s">
        <v>2817</v>
      </c>
      <c r="B2706" t="s">
        <v>15</v>
      </c>
      <c r="C2706" t="s">
        <v>16</v>
      </c>
      <c r="D2706">
        <v>213</v>
      </c>
      <c r="E2706" t="s">
        <v>2804</v>
      </c>
      <c r="F2706">
        <v>5419</v>
      </c>
      <c r="G2706" t="s">
        <v>18</v>
      </c>
      <c r="H2706">
        <v>27</v>
      </c>
      <c r="I2706" t="s">
        <v>19</v>
      </c>
      <c r="J2706">
        <v>2006</v>
      </c>
      <c r="K2706">
        <v>2006</v>
      </c>
      <c r="L2706" t="s">
        <v>20</v>
      </c>
      <c r="M2706">
        <v>24107</v>
      </c>
      <c r="N2706">
        <v>161</v>
      </c>
    </row>
    <row r="2707" spans="1:14" x14ac:dyDescent="0.35">
      <c r="A2707" t="s">
        <v>2818</v>
      </c>
      <c r="B2707" t="s">
        <v>15</v>
      </c>
      <c r="C2707" t="s">
        <v>16</v>
      </c>
      <c r="D2707">
        <v>213</v>
      </c>
      <c r="E2707" t="s">
        <v>2804</v>
      </c>
      <c r="F2707">
        <v>5419</v>
      </c>
      <c r="G2707" t="s">
        <v>18</v>
      </c>
      <c r="H2707">
        <v>27</v>
      </c>
      <c r="I2707" t="s">
        <v>19</v>
      </c>
      <c r="J2707">
        <v>2007</v>
      </c>
      <c r="K2707">
        <v>2007</v>
      </c>
      <c r="L2707" t="s">
        <v>20</v>
      </c>
      <c r="M2707">
        <v>13000</v>
      </c>
      <c r="N2707">
        <v>161</v>
      </c>
    </row>
    <row r="2708" spans="1:14" x14ac:dyDescent="0.35">
      <c r="A2708" t="s">
        <v>2819</v>
      </c>
      <c r="B2708" t="s">
        <v>15</v>
      </c>
      <c r="C2708" t="s">
        <v>16</v>
      </c>
      <c r="D2708">
        <v>213</v>
      </c>
      <c r="E2708" t="s">
        <v>2804</v>
      </c>
      <c r="F2708">
        <v>5419</v>
      </c>
      <c r="G2708" t="s">
        <v>18</v>
      </c>
      <c r="H2708">
        <v>27</v>
      </c>
      <c r="I2708" t="s">
        <v>19</v>
      </c>
      <c r="J2708">
        <v>2008</v>
      </c>
      <c r="K2708">
        <v>2008</v>
      </c>
      <c r="L2708" t="s">
        <v>20</v>
      </c>
      <c r="M2708">
        <v>11000</v>
      </c>
      <c r="N2708">
        <v>161</v>
      </c>
    </row>
    <row r="2709" spans="1:14" x14ac:dyDescent="0.35">
      <c r="A2709" t="s">
        <v>2820</v>
      </c>
      <c r="B2709" t="s">
        <v>15</v>
      </c>
      <c r="C2709" t="s">
        <v>16</v>
      </c>
      <c r="D2709">
        <v>213</v>
      </c>
      <c r="E2709" t="s">
        <v>2804</v>
      </c>
      <c r="F2709">
        <v>5419</v>
      </c>
      <c r="G2709" t="s">
        <v>18</v>
      </c>
      <c r="H2709">
        <v>27</v>
      </c>
      <c r="I2709" t="s">
        <v>19</v>
      </c>
      <c r="J2709">
        <v>2009</v>
      </c>
      <c r="K2709">
        <v>2009</v>
      </c>
      <c r="L2709" t="s">
        <v>20</v>
      </c>
      <c r="M2709">
        <v>16000</v>
      </c>
      <c r="N2709">
        <v>161</v>
      </c>
    </row>
    <row r="2710" spans="1:14" x14ac:dyDescent="0.35">
      <c r="A2710" t="s">
        <v>2821</v>
      </c>
      <c r="B2710" t="s">
        <v>15</v>
      </c>
      <c r="C2710" t="s">
        <v>16</v>
      </c>
      <c r="D2710">
        <v>213</v>
      </c>
      <c r="E2710" t="s">
        <v>2804</v>
      </c>
      <c r="F2710">
        <v>5419</v>
      </c>
      <c r="G2710" t="s">
        <v>18</v>
      </c>
      <c r="H2710">
        <v>27</v>
      </c>
      <c r="I2710" t="s">
        <v>19</v>
      </c>
      <c r="J2710">
        <v>2010</v>
      </c>
      <c r="K2710">
        <v>2010</v>
      </c>
      <c r="L2710" t="s">
        <v>20</v>
      </c>
      <c r="M2710">
        <v>17000</v>
      </c>
      <c r="N2710">
        <v>161</v>
      </c>
    </row>
    <row r="2711" spans="1:14" x14ac:dyDescent="0.35">
      <c r="A2711" t="s">
        <v>2822</v>
      </c>
      <c r="B2711" t="s">
        <v>15</v>
      </c>
      <c r="C2711" t="s">
        <v>16</v>
      </c>
      <c r="D2711">
        <v>213</v>
      </c>
      <c r="E2711" t="s">
        <v>2804</v>
      </c>
      <c r="F2711">
        <v>5419</v>
      </c>
      <c r="G2711" t="s">
        <v>18</v>
      </c>
      <c r="H2711">
        <v>27</v>
      </c>
      <c r="I2711" t="s">
        <v>19</v>
      </c>
      <c r="J2711">
        <v>2011</v>
      </c>
      <c r="K2711">
        <v>2011</v>
      </c>
      <c r="L2711" t="s">
        <v>20</v>
      </c>
      <c r="M2711">
        <v>15000</v>
      </c>
      <c r="N2711">
        <v>161</v>
      </c>
    </row>
    <row r="2712" spans="1:14" x14ac:dyDescent="0.35">
      <c r="A2712" t="s">
        <v>2823</v>
      </c>
      <c r="B2712" t="s">
        <v>15</v>
      </c>
      <c r="C2712" t="s">
        <v>16</v>
      </c>
      <c r="D2712">
        <v>213</v>
      </c>
      <c r="E2712" t="s">
        <v>2804</v>
      </c>
      <c r="F2712">
        <v>5419</v>
      </c>
      <c r="G2712" t="s">
        <v>18</v>
      </c>
      <c r="H2712">
        <v>27</v>
      </c>
      <c r="I2712" t="s">
        <v>19</v>
      </c>
      <c r="J2712">
        <v>2012</v>
      </c>
      <c r="K2712">
        <v>2012</v>
      </c>
      <c r="L2712" t="s">
        <v>20</v>
      </c>
      <c r="M2712">
        <v>13309</v>
      </c>
      <c r="N2712">
        <v>161</v>
      </c>
    </row>
    <row r="2713" spans="1:14" x14ac:dyDescent="0.35">
      <c r="A2713" t="s">
        <v>2824</v>
      </c>
      <c r="B2713" t="s">
        <v>15</v>
      </c>
      <c r="C2713" t="s">
        <v>16</v>
      </c>
      <c r="D2713">
        <v>213</v>
      </c>
      <c r="E2713" t="s">
        <v>2804</v>
      </c>
      <c r="F2713">
        <v>5419</v>
      </c>
      <c r="G2713" t="s">
        <v>18</v>
      </c>
      <c r="H2713">
        <v>27</v>
      </c>
      <c r="I2713" t="s">
        <v>19</v>
      </c>
      <c r="J2713">
        <v>2013</v>
      </c>
      <c r="K2713">
        <v>2013</v>
      </c>
      <c r="L2713" t="s">
        <v>20</v>
      </c>
      <c r="M2713">
        <v>11533</v>
      </c>
      <c r="N2713">
        <v>161</v>
      </c>
    </row>
    <row r="2714" spans="1:14" x14ac:dyDescent="0.35">
      <c r="A2714" t="s">
        <v>2825</v>
      </c>
      <c r="B2714" t="s">
        <v>15</v>
      </c>
      <c r="C2714" t="s">
        <v>16</v>
      </c>
      <c r="D2714">
        <v>213</v>
      </c>
      <c r="E2714" t="s">
        <v>2804</v>
      </c>
      <c r="F2714">
        <v>5419</v>
      </c>
      <c r="G2714" t="s">
        <v>18</v>
      </c>
      <c r="H2714">
        <v>27</v>
      </c>
      <c r="I2714" t="s">
        <v>19</v>
      </c>
      <c r="J2714">
        <v>2014</v>
      </c>
      <c r="K2714">
        <v>2014</v>
      </c>
      <c r="L2714" t="s">
        <v>20</v>
      </c>
      <c r="M2714">
        <v>10298</v>
      </c>
      <c r="N2714">
        <v>161</v>
      </c>
    </row>
    <row r="2715" spans="1:14" x14ac:dyDescent="0.35">
      <c r="A2715" t="s">
        <v>2826</v>
      </c>
      <c r="B2715" t="s">
        <v>15</v>
      </c>
      <c r="C2715" t="s">
        <v>16</v>
      </c>
      <c r="D2715">
        <v>213</v>
      </c>
      <c r="E2715" t="s">
        <v>2804</v>
      </c>
      <c r="F2715">
        <v>5419</v>
      </c>
      <c r="G2715" t="s">
        <v>18</v>
      </c>
      <c r="H2715">
        <v>27</v>
      </c>
      <c r="I2715" t="s">
        <v>19</v>
      </c>
      <c r="J2715">
        <v>2015</v>
      </c>
      <c r="K2715">
        <v>2015</v>
      </c>
      <c r="L2715" t="s">
        <v>20</v>
      </c>
      <c r="M2715">
        <v>9562</v>
      </c>
      <c r="N2715">
        <v>161</v>
      </c>
    </row>
    <row r="2716" spans="1:14" x14ac:dyDescent="0.35">
      <c r="A2716" t="s">
        <v>2827</v>
      </c>
      <c r="B2716" t="s">
        <v>15</v>
      </c>
      <c r="C2716" t="s">
        <v>16</v>
      </c>
      <c r="D2716">
        <v>213</v>
      </c>
      <c r="E2716" t="s">
        <v>2804</v>
      </c>
      <c r="F2716">
        <v>5419</v>
      </c>
      <c r="G2716" t="s">
        <v>18</v>
      </c>
      <c r="H2716">
        <v>27</v>
      </c>
      <c r="I2716" t="s">
        <v>19</v>
      </c>
      <c r="J2716">
        <v>2016</v>
      </c>
      <c r="K2716">
        <v>2016</v>
      </c>
      <c r="L2716" t="s">
        <v>20</v>
      </c>
      <c r="M2716">
        <v>9064</v>
      </c>
      <c r="N2716">
        <v>161</v>
      </c>
    </row>
    <row r="2717" spans="1:14" x14ac:dyDescent="0.35">
      <c r="A2717" t="s">
        <v>2828</v>
      </c>
      <c r="B2717" t="s">
        <v>15</v>
      </c>
      <c r="C2717" t="s">
        <v>16</v>
      </c>
      <c r="D2717">
        <v>226</v>
      </c>
      <c r="E2717" t="s">
        <v>2829</v>
      </c>
      <c r="F2717">
        <v>5419</v>
      </c>
      <c r="G2717" t="s">
        <v>18</v>
      </c>
      <c r="H2717">
        <v>27</v>
      </c>
      <c r="I2717" t="s">
        <v>19</v>
      </c>
      <c r="J2717">
        <v>1985</v>
      </c>
      <c r="K2717">
        <v>1985</v>
      </c>
      <c r="L2717" t="s">
        <v>20</v>
      </c>
      <c r="M2717">
        <v>13571</v>
      </c>
      <c r="N2717">
        <v>1180</v>
      </c>
    </row>
    <row r="2718" spans="1:14" x14ac:dyDescent="0.35">
      <c r="A2718" t="s">
        <v>2830</v>
      </c>
      <c r="B2718" t="s">
        <v>15</v>
      </c>
      <c r="C2718" t="s">
        <v>16</v>
      </c>
      <c r="D2718">
        <v>226</v>
      </c>
      <c r="E2718" t="s">
        <v>2829</v>
      </c>
      <c r="F2718">
        <v>5419</v>
      </c>
      <c r="G2718" t="s">
        <v>18</v>
      </c>
      <c r="H2718">
        <v>27</v>
      </c>
      <c r="I2718" t="s">
        <v>19</v>
      </c>
      <c r="J2718">
        <v>1986</v>
      </c>
      <c r="K2718">
        <v>1986</v>
      </c>
      <c r="L2718" t="s">
        <v>20</v>
      </c>
      <c r="M2718">
        <v>11053</v>
      </c>
      <c r="N2718">
        <v>1180</v>
      </c>
    </row>
    <row r="2719" spans="1:14" x14ac:dyDescent="0.35">
      <c r="A2719" t="s">
        <v>2831</v>
      </c>
      <c r="B2719" t="s">
        <v>15</v>
      </c>
      <c r="C2719" t="s">
        <v>16</v>
      </c>
      <c r="D2719">
        <v>226</v>
      </c>
      <c r="E2719" t="s">
        <v>2829</v>
      </c>
      <c r="F2719">
        <v>5419</v>
      </c>
      <c r="G2719" t="s">
        <v>18</v>
      </c>
      <c r="H2719">
        <v>27</v>
      </c>
      <c r="I2719" t="s">
        <v>19</v>
      </c>
      <c r="J2719">
        <v>1987</v>
      </c>
      <c r="K2719">
        <v>1987</v>
      </c>
      <c r="L2719" t="s">
        <v>20</v>
      </c>
      <c r="M2719">
        <v>12500</v>
      </c>
      <c r="N2719">
        <v>1180</v>
      </c>
    </row>
    <row r="2720" spans="1:14" x14ac:dyDescent="0.35">
      <c r="A2720" t="s">
        <v>2832</v>
      </c>
      <c r="B2720" t="s">
        <v>15</v>
      </c>
      <c r="C2720" t="s">
        <v>16</v>
      </c>
      <c r="D2720">
        <v>226</v>
      </c>
      <c r="E2720" t="s">
        <v>2829</v>
      </c>
      <c r="F2720">
        <v>5419</v>
      </c>
      <c r="G2720" t="s">
        <v>18</v>
      </c>
      <c r="H2720">
        <v>27</v>
      </c>
      <c r="I2720" t="s">
        <v>19</v>
      </c>
      <c r="J2720">
        <v>1989</v>
      </c>
      <c r="K2720">
        <v>1989</v>
      </c>
      <c r="L2720" t="s">
        <v>20</v>
      </c>
      <c r="M2720">
        <v>14063</v>
      </c>
      <c r="N2720">
        <v>1180</v>
      </c>
    </row>
    <row r="2721" spans="1:14" x14ac:dyDescent="0.35">
      <c r="A2721" t="s">
        <v>2833</v>
      </c>
      <c r="B2721" t="s">
        <v>15</v>
      </c>
      <c r="C2721" t="s">
        <v>16</v>
      </c>
      <c r="D2721">
        <v>226</v>
      </c>
      <c r="E2721" t="s">
        <v>2829</v>
      </c>
      <c r="F2721">
        <v>5419</v>
      </c>
      <c r="G2721" t="s">
        <v>18</v>
      </c>
      <c r="H2721">
        <v>27</v>
      </c>
      <c r="I2721" t="s">
        <v>19</v>
      </c>
      <c r="J2721">
        <v>1990</v>
      </c>
      <c r="K2721">
        <v>1990</v>
      </c>
      <c r="L2721" t="s">
        <v>20</v>
      </c>
      <c r="M2721">
        <v>13846</v>
      </c>
      <c r="N2721">
        <v>1180</v>
      </c>
    </row>
    <row r="2722" spans="1:14" x14ac:dyDescent="0.35">
      <c r="A2722" t="s">
        <v>2834</v>
      </c>
      <c r="B2722" t="s">
        <v>15</v>
      </c>
      <c r="C2722" t="s">
        <v>16</v>
      </c>
      <c r="D2722">
        <v>226</v>
      </c>
      <c r="E2722" t="s">
        <v>2829</v>
      </c>
      <c r="F2722">
        <v>5419</v>
      </c>
      <c r="G2722" t="s">
        <v>18</v>
      </c>
      <c r="H2722">
        <v>27</v>
      </c>
      <c r="I2722" t="s">
        <v>19</v>
      </c>
      <c r="J2722">
        <v>1991</v>
      </c>
      <c r="K2722">
        <v>1991</v>
      </c>
      <c r="L2722" t="s">
        <v>20</v>
      </c>
      <c r="M2722">
        <v>13556</v>
      </c>
      <c r="N2722">
        <v>1180</v>
      </c>
    </row>
    <row r="2723" spans="1:14" x14ac:dyDescent="0.35">
      <c r="A2723" t="s">
        <v>2835</v>
      </c>
      <c r="B2723" t="s">
        <v>15</v>
      </c>
      <c r="C2723" t="s">
        <v>16</v>
      </c>
      <c r="D2723">
        <v>226</v>
      </c>
      <c r="E2723" t="s">
        <v>2829</v>
      </c>
      <c r="F2723">
        <v>5419</v>
      </c>
      <c r="G2723" t="s">
        <v>18</v>
      </c>
      <c r="H2723">
        <v>27</v>
      </c>
      <c r="I2723" t="s">
        <v>19</v>
      </c>
      <c r="J2723">
        <v>1992</v>
      </c>
      <c r="K2723">
        <v>1992</v>
      </c>
      <c r="L2723" t="s">
        <v>20</v>
      </c>
      <c r="M2723">
        <v>13600</v>
      </c>
      <c r="N2723">
        <v>1180</v>
      </c>
    </row>
    <row r="2724" spans="1:14" x14ac:dyDescent="0.35">
      <c r="A2724" t="s">
        <v>2836</v>
      </c>
      <c r="B2724" t="s">
        <v>15</v>
      </c>
      <c r="C2724" t="s">
        <v>16</v>
      </c>
      <c r="D2724">
        <v>226</v>
      </c>
      <c r="E2724" t="s">
        <v>2829</v>
      </c>
      <c r="F2724">
        <v>5419</v>
      </c>
      <c r="G2724" t="s">
        <v>18</v>
      </c>
      <c r="H2724">
        <v>27</v>
      </c>
      <c r="I2724" t="s">
        <v>19</v>
      </c>
      <c r="J2724">
        <v>1993</v>
      </c>
      <c r="K2724">
        <v>1993</v>
      </c>
      <c r="L2724" t="s">
        <v>20</v>
      </c>
      <c r="M2724">
        <v>13962</v>
      </c>
      <c r="N2724">
        <v>1180</v>
      </c>
    </row>
    <row r="2725" spans="1:14" x14ac:dyDescent="0.35">
      <c r="A2725" t="s">
        <v>2837</v>
      </c>
      <c r="B2725" t="s">
        <v>15</v>
      </c>
      <c r="C2725" t="s">
        <v>16</v>
      </c>
      <c r="D2725">
        <v>226</v>
      </c>
      <c r="E2725" t="s">
        <v>2829</v>
      </c>
      <c r="F2725">
        <v>5419</v>
      </c>
      <c r="G2725" t="s">
        <v>18</v>
      </c>
      <c r="H2725">
        <v>27</v>
      </c>
      <c r="I2725" t="s">
        <v>19</v>
      </c>
      <c r="J2725">
        <v>1994</v>
      </c>
      <c r="K2725">
        <v>1994</v>
      </c>
      <c r="L2725" t="s">
        <v>20</v>
      </c>
      <c r="M2725">
        <v>14000</v>
      </c>
      <c r="N2725">
        <v>1180</v>
      </c>
    </row>
    <row r="2726" spans="1:14" x14ac:dyDescent="0.35">
      <c r="A2726" t="s">
        <v>2838</v>
      </c>
      <c r="B2726" t="s">
        <v>15</v>
      </c>
      <c r="C2726" t="s">
        <v>16</v>
      </c>
      <c r="D2726">
        <v>226</v>
      </c>
      <c r="E2726" t="s">
        <v>2829</v>
      </c>
      <c r="F2726">
        <v>5419</v>
      </c>
      <c r="G2726" t="s">
        <v>18</v>
      </c>
      <c r="H2726">
        <v>27</v>
      </c>
      <c r="I2726" t="s">
        <v>19</v>
      </c>
      <c r="J2726">
        <v>1995</v>
      </c>
      <c r="K2726">
        <v>1995</v>
      </c>
      <c r="L2726" t="s">
        <v>20</v>
      </c>
      <c r="M2726">
        <v>14000</v>
      </c>
      <c r="N2726">
        <v>1180</v>
      </c>
    </row>
    <row r="2727" spans="1:14" x14ac:dyDescent="0.35">
      <c r="A2727" t="s">
        <v>2839</v>
      </c>
      <c r="B2727" t="s">
        <v>15</v>
      </c>
      <c r="C2727" t="s">
        <v>16</v>
      </c>
      <c r="D2727">
        <v>226</v>
      </c>
      <c r="E2727" t="s">
        <v>2829</v>
      </c>
      <c r="F2727">
        <v>5419</v>
      </c>
      <c r="G2727" t="s">
        <v>18</v>
      </c>
      <c r="H2727">
        <v>27</v>
      </c>
      <c r="I2727" t="s">
        <v>19</v>
      </c>
      <c r="J2727">
        <v>1996</v>
      </c>
      <c r="K2727">
        <v>1996</v>
      </c>
      <c r="L2727" t="s">
        <v>20</v>
      </c>
      <c r="M2727">
        <v>14138</v>
      </c>
      <c r="N2727">
        <v>1180</v>
      </c>
    </row>
    <row r="2728" spans="1:14" x14ac:dyDescent="0.35">
      <c r="A2728" t="s">
        <v>2840</v>
      </c>
      <c r="B2728" t="s">
        <v>15</v>
      </c>
      <c r="C2728" t="s">
        <v>16</v>
      </c>
      <c r="D2728">
        <v>226</v>
      </c>
      <c r="E2728" t="s">
        <v>2829</v>
      </c>
      <c r="F2728">
        <v>5419</v>
      </c>
      <c r="G2728" t="s">
        <v>18</v>
      </c>
      <c r="H2728">
        <v>27</v>
      </c>
      <c r="I2728" t="s">
        <v>19</v>
      </c>
      <c r="J2728">
        <v>1997</v>
      </c>
      <c r="K2728">
        <v>1997</v>
      </c>
      <c r="L2728" t="s">
        <v>20</v>
      </c>
      <c r="M2728">
        <v>13333</v>
      </c>
      <c r="N2728">
        <v>1180</v>
      </c>
    </row>
    <row r="2729" spans="1:14" x14ac:dyDescent="0.35">
      <c r="A2729" t="s">
        <v>2841</v>
      </c>
      <c r="B2729" t="s">
        <v>15</v>
      </c>
      <c r="C2729" t="s">
        <v>16</v>
      </c>
      <c r="D2729">
        <v>226</v>
      </c>
      <c r="E2729" t="s">
        <v>2829</v>
      </c>
      <c r="F2729">
        <v>5419</v>
      </c>
      <c r="G2729" t="s">
        <v>18</v>
      </c>
      <c r="H2729">
        <v>27</v>
      </c>
      <c r="I2729" t="s">
        <v>19</v>
      </c>
      <c r="J2729">
        <v>1998</v>
      </c>
      <c r="K2729">
        <v>1998</v>
      </c>
      <c r="L2729" t="s">
        <v>20</v>
      </c>
      <c r="M2729">
        <v>14063</v>
      </c>
      <c r="N2729">
        <v>1180</v>
      </c>
    </row>
    <row r="2730" spans="1:14" x14ac:dyDescent="0.35">
      <c r="A2730" t="s">
        <v>2842</v>
      </c>
      <c r="B2730" t="s">
        <v>15</v>
      </c>
      <c r="C2730" t="s">
        <v>16</v>
      </c>
      <c r="D2730">
        <v>226</v>
      </c>
      <c r="E2730" t="s">
        <v>2829</v>
      </c>
      <c r="F2730">
        <v>5419</v>
      </c>
      <c r="G2730" t="s">
        <v>18</v>
      </c>
      <c r="H2730">
        <v>27</v>
      </c>
      <c r="I2730" t="s">
        <v>19</v>
      </c>
      <c r="J2730">
        <v>1999</v>
      </c>
      <c r="K2730">
        <v>1999</v>
      </c>
      <c r="L2730" t="s">
        <v>20</v>
      </c>
      <c r="M2730">
        <v>13971</v>
      </c>
      <c r="N2730">
        <v>1180</v>
      </c>
    </row>
    <row r="2731" spans="1:14" x14ac:dyDescent="0.35">
      <c r="A2731" t="s">
        <v>2843</v>
      </c>
      <c r="B2731" t="s">
        <v>15</v>
      </c>
      <c r="C2731" t="s">
        <v>16</v>
      </c>
      <c r="D2731">
        <v>226</v>
      </c>
      <c r="E2731" t="s">
        <v>2829</v>
      </c>
      <c r="F2731">
        <v>5419</v>
      </c>
      <c r="G2731" t="s">
        <v>18</v>
      </c>
      <c r="H2731">
        <v>27</v>
      </c>
      <c r="I2731" t="s">
        <v>19</v>
      </c>
      <c r="J2731">
        <v>2000</v>
      </c>
      <c r="K2731">
        <v>2000</v>
      </c>
      <c r="L2731" t="s">
        <v>20</v>
      </c>
      <c r="M2731">
        <v>15139</v>
      </c>
      <c r="N2731">
        <v>1180</v>
      </c>
    </row>
    <row r="2732" spans="1:14" x14ac:dyDescent="0.35">
      <c r="A2732" t="s">
        <v>2844</v>
      </c>
      <c r="B2732" t="s">
        <v>15</v>
      </c>
      <c r="C2732" t="s">
        <v>16</v>
      </c>
      <c r="D2732">
        <v>226</v>
      </c>
      <c r="E2732" t="s">
        <v>2829</v>
      </c>
      <c r="F2732">
        <v>5419</v>
      </c>
      <c r="G2732" t="s">
        <v>18</v>
      </c>
      <c r="H2732">
        <v>27</v>
      </c>
      <c r="I2732" t="s">
        <v>19</v>
      </c>
      <c r="J2732">
        <v>2001</v>
      </c>
      <c r="K2732">
        <v>2001</v>
      </c>
      <c r="L2732" t="s">
        <v>20</v>
      </c>
      <c r="M2732">
        <v>15000</v>
      </c>
      <c r="N2732">
        <v>1180</v>
      </c>
    </row>
    <row r="2733" spans="1:14" x14ac:dyDescent="0.35">
      <c r="A2733" t="s">
        <v>2845</v>
      </c>
      <c r="B2733" t="s">
        <v>15</v>
      </c>
      <c r="C2733" t="s">
        <v>16</v>
      </c>
      <c r="D2733">
        <v>226</v>
      </c>
      <c r="E2733" t="s">
        <v>2829</v>
      </c>
      <c r="F2733">
        <v>5419</v>
      </c>
      <c r="G2733" t="s">
        <v>18</v>
      </c>
      <c r="H2733">
        <v>27</v>
      </c>
      <c r="I2733" t="s">
        <v>19</v>
      </c>
      <c r="J2733">
        <v>2002</v>
      </c>
      <c r="K2733">
        <v>2002</v>
      </c>
      <c r="L2733" t="s">
        <v>20</v>
      </c>
      <c r="M2733">
        <v>15000</v>
      </c>
      <c r="N2733">
        <v>1180</v>
      </c>
    </row>
    <row r="2734" spans="1:14" x14ac:dyDescent="0.35">
      <c r="A2734" t="s">
        <v>2846</v>
      </c>
      <c r="B2734" t="s">
        <v>15</v>
      </c>
      <c r="C2734" t="s">
        <v>16</v>
      </c>
      <c r="D2734">
        <v>226</v>
      </c>
      <c r="E2734" t="s">
        <v>2829</v>
      </c>
      <c r="F2734">
        <v>5419</v>
      </c>
      <c r="G2734" t="s">
        <v>18</v>
      </c>
      <c r="H2734">
        <v>27</v>
      </c>
      <c r="I2734" t="s">
        <v>19</v>
      </c>
      <c r="J2734">
        <v>2004</v>
      </c>
      <c r="K2734">
        <v>2004</v>
      </c>
      <c r="L2734" t="s">
        <v>20</v>
      </c>
      <c r="M2734">
        <v>13011</v>
      </c>
      <c r="N2734">
        <v>1180</v>
      </c>
    </row>
    <row r="2735" spans="1:14" x14ac:dyDescent="0.35">
      <c r="A2735" t="s">
        <v>2847</v>
      </c>
      <c r="B2735" t="s">
        <v>15</v>
      </c>
      <c r="C2735" t="s">
        <v>16</v>
      </c>
      <c r="D2735">
        <v>226</v>
      </c>
      <c r="E2735" t="s">
        <v>2829</v>
      </c>
      <c r="F2735">
        <v>5419</v>
      </c>
      <c r="G2735" t="s">
        <v>18</v>
      </c>
      <c r="H2735">
        <v>27</v>
      </c>
      <c r="I2735" t="s">
        <v>19</v>
      </c>
      <c r="J2735">
        <v>2005</v>
      </c>
      <c r="K2735">
        <v>2005</v>
      </c>
      <c r="L2735" t="s">
        <v>20</v>
      </c>
      <c r="M2735">
        <v>15000</v>
      </c>
      <c r="N2735">
        <v>1180</v>
      </c>
    </row>
    <row r="2736" spans="1:14" x14ac:dyDescent="0.35">
      <c r="A2736" t="s">
        <v>2848</v>
      </c>
      <c r="B2736" t="s">
        <v>15</v>
      </c>
      <c r="C2736" t="s">
        <v>16</v>
      </c>
      <c r="D2736">
        <v>226</v>
      </c>
      <c r="E2736" t="s">
        <v>2829</v>
      </c>
      <c r="F2736">
        <v>5419</v>
      </c>
      <c r="G2736" t="s">
        <v>18</v>
      </c>
      <c r="H2736">
        <v>27</v>
      </c>
      <c r="I2736" t="s">
        <v>19</v>
      </c>
      <c r="J2736">
        <v>2006</v>
      </c>
      <c r="K2736">
        <v>2006</v>
      </c>
      <c r="L2736" t="s">
        <v>20</v>
      </c>
      <c r="M2736">
        <v>13628</v>
      </c>
      <c r="N2736">
        <v>1180</v>
      </c>
    </row>
    <row r="2737" spans="1:14" x14ac:dyDescent="0.35">
      <c r="A2737" t="s">
        <v>2849</v>
      </c>
      <c r="B2737" t="s">
        <v>15</v>
      </c>
      <c r="C2737" t="s">
        <v>16</v>
      </c>
      <c r="D2737">
        <v>226</v>
      </c>
      <c r="E2737" t="s">
        <v>2829</v>
      </c>
      <c r="F2737">
        <v>5419</v>
      </c>
      <c r="G2737" t="s">
        <v>18</v>
      </c>
      <c r="H2737">
        <v>27</v>
      </c>
      <c r="I2737" t="s">
        <v>19</v>
      </c>
      <c r="J2737">
        <v>2007</v>
      </c>
      <c r="K2737">
        <v>2007</v>
      </c>
      <c r="L2737" t="s">
        <v>20</v>
      </c>
      <c r="M2737">
        <v>13613</v>
      </c>
      <c r="N2737">
        <v>1180</v>
      </c>
    </row>
    <row r="2738" spans="1:14" x14ac:dyDescent="0.35">
      <c r="A2738" t="s">
        <v>2850</v>
      </c>
      <c r="B2738" t="s">
        <v>15</v>
      </c>
      <c r="C2738" t="s">
        <v>16</v>
      </c>
      <c r="D2738">
        <v>226</v>
      </c>
      <c r="E2738" t="s">
        <v>2829</v>
      </c>
      <c r="F2738">
        <v>5419</v>
      </c>
      <c r="G2738" t="s">
        <v>18</v>
      </c>
      <c r="H2738">
        <v>27</v>
      </c>
      <c r="I2738" t="s">
        <v>19</v>
      </c>
      <c r="J2738">
        <v>2008</v>
      </c>
      <c r="K2738">
        <v>2008</v>
      </c>
      <c r="L2738" t="s">
        <v>20</v>
      </c>
      <c r="M2738">
        <v>13895</v>
      </c>
      <c r="N2738">
        <v>1180</v>
      </c>
    </row>
    <row r="2739" spans="1:14" x14ac:dyDescent="0.35">
      <c r="A2739" t="s">
        <v>2851</v>
      </c>
      <c r="B2739" t="s">
        <v>15</v>
      </c>
      <c r="C2739" t="s">
        <v>16</v>
      </c>
      <c r="D2739">
        <v>226</v>
      </c>
      <c r="E2739" t="s">
        <v>2829</v>
      </c>
      <c r="F2739">
        <v>5419</v>
      </c>
      <c r="G2739" t="s">
        <v>18</v>
      </c>
      <c r="H2739">
        <v>27</v>
      </c>
      <c r="I2739" t="s">
        <v>19</v>
      </c>
      <c r="J2739">
        <v>2009</v>
      </c>
      <c r="K2739">
        <v>2009</v>
      </c>
      <c r="L2739" t="s">
        <v>20</v>
      </c>
      <c r="M2739">
        <v>23926</v>
      </c>
      <c r="N2739">
        <v>1180</v>
      </c>
    </row>
    <row r="2740" spans="1:14" x14ac:dyDescent="0.35">
      <c r="A2740" t="s">
        <v>2852</v>
      </c>
      <c r="B2740" t="s">
        <v>15</v>
      </c>
      <c r="C2740" t="s">
        <v>16</v>
      </c>
      <c r="D2740">
        <v>226</v>
      </c>
      <c r="E2740" t="s">
        <v>2829</v>
      </c>
      <c r="F2740">
        <v>5419</v>
      </c>
      <c r="G2740" t="s">
        <v>18</v>
      </c>
      <c r="H2740">
        <v>27</v>
      </c>
      <c r="I2740" t="s">
        <v>19</v>
      </c>
      <c r="J2740">
        <v>2010</v>
      </c>
      <c r="K2740">
        <v>2010</v>
      </c>
      <c r="L2740" t="s">
        <v>20</v>
      </c>
      <c r="M2740">
        <v>25070</v>
      </c>
      <c r="N2740">
        <v>1180</v>
      </c>
    </row>
    <row r="2741" spans="1:14" x14ac:dyDescent="0.35">
      <c r="A2741" t="s">
        <v>2853</v>
      </c>
      <c r="B2741" t="s">
        <v>15</v>
      </c>
      <c r="C2741" t="s">
        <v>16</v>
      </c>
      <c r="D2741">
        <v>226</v>
      </c>
      <c r="E2741" t="s">
        <v>2829</v>
      </c>
      <c r="F2741">
        <v>5419</v>
      </c>
      <c r="G2741" t="s">
        <v>18</v>
      </c>
      <c r="H2741">
        <v>27</v>
      </c>
      <c r="I2741" t="s">
        <v>19</v>
      </c>
      <c r="J2741">
        <v>2011</v>
      </c>
      <c r="K2741">
        <v>2011</v>
      </c>
      <c r="L2741" t="s">
        <v>20</v>
      </c>
      <c r="M2741">
        <v>25889</v>
      </c>
      <c r="N2741">
        <v>1180</v>
      </c>
    </row>
    <row r="2742" spans="1:14" x14ac:dyDescent="0.35">
      <c r="A2742" t="s">
        <v>2854</v>
      </c>
      <c r="B2742" t="s">
        <v>15</v>
      </c>
      <c r="C2742" t="s">
        <v>16</v>
      </c>
      <c r="D2742">
        <v>226</v>
      </c>
      <c r="E2742" t="s">
        <v>2829</v>
      </c>
      <c r="F2742">
        <v>5419</v>
      </c>
      <c r="G2742" t="s">
        <v>18</v>
      </c>
      <c r="H2742">
        <v>27</v>
      </c>
      <c r="I2742" t="s">
        <v>19</v>
      </c>
      <c r="J2742">
        <v>2012</v>
      </c>
      <c r="K2742">
        <v>2012</v>
      </c>
      <c r="L2742" t="s">
        <v>20</v>
      </c>
      <c r="M2742">
        <v>23043</v>
      </c>
      <c r="N2742">
        <v>1180</v>
      </c>
    </row>
    <row r="2743" spans="1:14" x14ac:dyDescent="0.35">
      <c r="A2743" t="s">
        <v>2855</v>
      </c>
      <c r="B2743" t="s">
        <v>15</v>
      </c>
      <c r="C2743" t="s">
        <v>16</v>
      </c>
      <c r="D2743">
        <v>226</v>
      </c>
      <c r="E2743" t="s">
        <v>2829</v>
      </c>
      <c r="F2743">
        <v>5419</v>
      </c>
      <c r="G2743" t="s">
        <v>18</v>
      </c>
      <c r="H2743">
        <v>27</v>
      </c>
      <c r="I2743" t="s">
        <v>19</v>
      </c>
      <c r="J2743">
        <v>2013</v>
      </c>
      <c r="K2743">
        <v>2013</v>
      </c>
      <c r="L2743" t="s">
        <v>20</v>
      </c>
      <c r="M2743">
        <v>23011</v>
      </c>
      <c r="N2743">
        <v>1180</v>
      </c>
    </row>
    <row r="2744" spans="1:14" x14ac:dyDescent="0.35">
      <c r="A2744" t="s">
        <v>2856</v>
      </c>
      <c r="B2744" t="s">
        <v>15</v>
      </c>
      <c r="C2744" t="s">
        <v>16</v>
      </c>
      <c r="D2744">
        <v>226</v>
      </c>
      <c r="E2744" t="s">
        <v>2829</v>
      </c>
      <c r="F2744">
        <v>5419</v>
      </c>
      <c r="G2744" t="s">
        <v>18</v>
      </c>
      <c r="H2744">
        <v>27</v>
      </c>
      <c r="I2744" t="s">
        <v>19</v>
      </c>
      <c r="J2744">
        <v>2014</v>
      </c>
      <c r="K2744">
        <v>2014</v>
      </c>
      <c r="L2744" t="s">
        <v>20</v>
      </c>
      <c r="M2744">
        <v>24947</v>
      </c>
      <c r="N2744">
        <v>1180</v>
      </c>
    </row>
    <row r="2745" spans="1:14" x14ac:dyDescent="0.35">
      <c r="A2745" t="s">
        <v>2857</v>
      </c>
      <c r="B2745" t="s">
        <v>15</v>
      </c>
      <c r="C2745" t="s">
        <v>16</v>
      </c>
      <c r="D2745">
        <v>226</v>
      </c>
      <c r="E2745" t="s">
        <v>2829</v>
      </c>
      <c r="F2745">
        <v>5419</v>
      </c>
      <c r="G2745" t="s">
        <v>18</v>
      </c>
      <c r="H2745">
        <v>27</v>
      </c>
      <c r="I2745" t="s">
        <v>19</v>
      </c>
      <c r="J2745">
        <v>2015</v>
      </c>
      <c r="K2745">
        <v>2015</v>
      </c>
      <c r="L2745" t="s">
        <v>20</v>
      </c>
      <c r="M2745">
        <v>24876</v>
      </c>
      <c r="N2745">
        <v>1180</v>
      </c>
    </row>
    <row r="2746" spans="1:14" x14ac:dyDescent="0.35">
      <c r="A2746" t="s">
        <v>2858</v>
      </c>
      <c r="B2746" t="s">
        <v>15</v>
      </c>
      <c r="C2746" t="s">
        <v>16</v>
      </c>
      <c r="D2746">
        <v>226</v>
      </c>
      <c r="E2746" t="s">
        <v>2829</v>
      </c>
      <c r="F2746">
        <v>5419</v>
      </c>
      <c r="G2746" t="s">
        <v>18</v>
      </c>
      <c r="H2746">
        <v>27</v>
      </c>
      <c r="I2746" t="s">
        <v>19</v>
      </c>
      <c r="J2746">
        <v>2016</v>
      </c>
      <c r="K2746">
        <v>2016</v>
      </c>
      <c r="L2746" t="s">
        <v>20</v>
      </c>
      <c r="M2746">
        <v>25276</v>
      </c>
      <c r="N2746">
        <v>1180</v>
      </c>
    </row>
    <row r="2747" spans="1:14" x14ac:dyDescent="0.35">
      <c r="A2747" t="s">
        <v>2859</v>
      </c>
      <c r="B2747" t="s">
        <v>15</v>
      </c>
      <c r="C2747" t="s">
        <v>16</v>
      </c>
      <c r="D2747">
        <v>230</v>
      </c>
      <c r="E2747" t="s">
        <v>2860</v>
      </c>
      <c r="F2747">
        <v>5419</v>
      </c>
      <c r="G2747" t="s">
        <v>18</v>
      </c>
      <c r="H2747">
        <v>27</v>
      </c>
      <c r="I2747" t="s">
        <v>19</v>
      </c>
      <c r="J2747">
        <v>1992</v>
      </c>
      <c r="K2747">
        <v>1992</v>
      </c>
      <c r="L2747" t="s">
        <v>20</v>
      </c>
      <c r="M2747">
        <v>37722</v>
      </c>
      <c r="N2747">
        <v>565</v>
      </c>
    </row>
    <row r="2748" spans="1:14" x14ac:dyDescent="0.35">
      <c r="A2748" t="s">
        <v>2861</v>
      </c>
      <c r="B2748" t="s">
        <v>15</v>
      </c>
      <c r="C2748" t="s">
        <v>16</v>
      </c>
      <c r="D2748">
        <v>230</v>
      </c>
      <c r="E2748" t="s">
        <v>2860</v>
      </c>
      <c r="F2748">
        <v>5419</v>
      </c>
      <c r="G2748" t="s">
        <v>18</v>
      </c>
      <c r="H2748">
        <v>27</v>
      </c>
      <c r="I2748" t="s">
        <v>19</v>
      </c>
      <c r="J2748">
        <v>1993</v>
      </c>
      <c r="K2748">
        <v>1993</v>
      </c>
      <c r="L2748" t="s">
        <v>20</v>
      </c>
      <c r="M2748">
        <v>29565</v>
      </c>
      <c r="N2748">
        <v>565</v>
      </c>
    </row>
    <row r="2749" spans="1:14" x14ac:dyDescent="0.35">
      <c r="A2749" t="s">
        <v>2862</v>
      </c>
      <c r="B2749" t="s">
        <v>15</v>
      </c>
      <c r="C2749" t="s">
        <v>16</v>
      </c>
      <c r="D2749">
        <v>230</v>
      </c>
      <c r="E2749" t="s">
        <v>2860</v>
      </c>
      <c r="F2749">
        <v>5419</v>
      </c>
      <c r="G2749" t="s">
        <v>18</v>
      </c>
      <c r="H2749">
        <v>27</v>
      </c>
      <c r="I2749" t="s">
        <v>19</v>
      </c>
      <c r="J2749">
        <v>1994</v>
      </c>
      <c r="K2749">
        <v>1994</v>
      </c>
      <c r="L2749" t="s">
        <v>20</v>
      </c>
      <c r="M2749">
        <v>35909</v>
      </c>
      <c r="N2749">
        <v>565</v>
      </c>
    </row>
    <row r="2750" spans="1:14" x14ac:dyDescent="0.35">
      <c r="A2750" t="s">
        <v>2863</v>
      </c>
      <c r="B2750" t="s">
        <v>15</v>
      </c>
      <c r="C2750" t="s">
        <v>16</v>
      </c>
      <c r="D2750">
        <v>230</v>
      </c>
      <c r="E2750" t="s">
        <v>2860</v>
      </c>
      <c r="F2750">
        <v>5419</v>
      </c>
      <c r="G2750" t="s">
        <v>18</v>
      </c>
      <c r="H2750">
        <v>27</v>
      </c>
      <c r="I2750" t="s">
        <v>19</v>
      </c>
      <c r="J2750">
        <v>1995</v>
      </c>
      <c r="K2750">
        <v>1995</v>
      </c>
      <c r="L2750" t="s">
        <v>20</v>
      </c>
      <c r="M2750">
        <v>36409</v>
      </c>
      <c r="N2750">
        <v>565</v>
      </c>
    </row>
    <row r="2751" spans="1:14" x14ac:dyDescent="0.35">
      <c r="A2751" t="s">
        <v>2864</v>
      </c>
      <c r="B2751" t="s">
        <v>15</v>
      </c>
      <c r="C2751" t="s">
        <v>16</v>
      </c>
      <c r="D2751">
        <v>230</v>
      </c>
      <c r="E2751" t="s">
        <v>2860</v>
      </c>
      <c r="F2751">
        <v>5419</v>
      </c>
      <c r="G2751" t="s">
        <v>18</v>
      </c>
      <c r="H2751">
        <v>27</v>
      </c>
      <c r="I2751" t="s">
        <v>19</v>
      </c>
      <c r="J2751">
        <v>1996</v>
      </c>
      <c r="K2751">
        <v>1996</v>
      </c>
      <c r="L2751" t="s">
        <v>20</v>
      </c>
      <c r="M2751">
        <v>35518</v>
      </c>
      <c r="N2751">
        <v>565</v>
      </c>
    </row>
    <row r="2752" spans="1:14" x14ac:dyDescent="0.35">
      <c r="A2752" t="s">
        <v>2865</v>
      </c>
      <c r="B2752" t="s">
        <v>15</v>
      </c>
      <c r="C2752" t="s">
        <v>16</v>
      </c>
      <c r="D2752">
        <v>230</v>
      </c>
      <c r="E2752" t="s">
        <v>2860</v>
      </c>
      <c r="F2752">
        <v>5419</v>
      </c>
      <c r="G2752" t="s">
        <v>18</v>
      </c>
      <c r="H2752">
        <v>27</v>
      </c>
      <c r="I2752" t="s">
        <v>19</v>
      </c>
      <c r="J2752">
        <v>1997</v>
      </c>
      <c r="K2752">
        <v>1997</v>
      </c>
      <c r="L2752" t="s">
        <v>20</v>
      </c>
      <c r="M2752">
        <v>28889</v>
      </c>
      <c r="N2752">
        <v>565</v>
      </c>
    </row>
    <row r="2753" spans="1:14" x14ac:dyDescent="0.35">
      <c r="A2753" t="s">
        <v>2866</v>
      </c>
      <c r="B2753" t="s">
        <v>15</v>
      </c>
      <c r="C2753" t="s">
        <v>16</v>
      </c>
      <c r="D2753">
        <v>230</v>
      </c>
      <c r="E2753" t="s">
        <v>2860</v>
      </c>
      <c r="F2753">
        <v>5419</v>
      </c>
      <c r="G2753" t="s">
        <v>18</v>
      </c>
      <c r="H2753">
        <v>27</v>
      </c>
      <c r="I2753" t="s">
        <v>19</v>
      </c>
      <c r="J2753">
        <v>1998</v>
      </c>
      <c r="K2753">
        <v>1998</v>
      </c>
      <c r="L2753" t="s">
        <v>20</v>
      </c>
      <c r="M2753">
        <v>30286</v>
      </c>
      <c r="N2753">
        <v>565</v>
      </c>
    </row>
    <row r="2754" spans="1:14" x14ac:dyDescent="0.35">
      <c r="A2754" t="s">
        <v>2867</v>
      </c>
      <c r="B2754" t="s">
        <v>15</v>
      </c>
      <c r="C2754" t="s">
        <v>16</v>
      </c>
      <c r="D2754">
        <v>230</v>
      </c>
      <c r="E2754" t="s">
        <v>2860</v>
      </c>
      <c r="F2754">
        <v>5419</v>
      </c>
      <c r="G2754" t="s">
        <v>18</v>
      </c>
      <c r="H2754">
        <v>27</v>
      </c>
      <c r="I2754" t="s">
        <v>19</v>
      </c>
      <c r="J2754">
        <v>1999</v>
      </c>
      <c r="K2754">
        <v>1999</v>
      </c>
      <c r="L2754" t="s">
        <v>20</v>
      </c>
      <c r="M2754">
        <v>29041</v>
      </c>
      <c r="N2754">
        <v>565</v>
      </c>
    </row>
    <row r="2755" spans="1:14" x14ac:dyDescent="0.35">
      <c r="A2755" t="s">
        <v>2868</v>
      </c>
      <c r="B2755" t="s">
        <v>15</v>
      </c>
      <c r="C2755" t="s">
        <v>16</v>
      </c>
      <c r="D2755">
        <v>230</v>
      </c>
      <c r="E2755" t="s">
        <v>2860</v>
      </c>
      <c r="F2755">
        <v>5419</v>
      </c>
      <c r="G2755" t="s">
        <v>18</v>
      </c>
      <c r="H2755">
        <v>27</v>
      </c>
      <c r="I2755" t="s">
        <v>19</v>
      </c>
      <c r="J2755">
        <v>2000</v>
      </c>
      <c r="K2755">
        <v>2000</v>
      </c>
      <c r="L2755" t="s">
        <v>20</v>
      </c>
      <c r="M2755">
        <v>35595</v>
      </c>
      <c r="N2755">
        <v>565</v>
      </c>
    </row>
    <row r="2756" spans="1:14" x14ac:dyDescent="0.35">
      <c r="A2756" t="s">
        <v>2869</v>
      </c>
      <c r="B2756" t="s">
        <v>15</v>
      </c>
      <c r="C2756" t="s">
        <v>16</v>
      </c>
      <c r="D2756">
        <v>230</v>
      </c>
      <c r="E2756" t="s">
        <v>2860</v>
      </c>
      <c r="F2756">
        <v>5419</v>
      </c>
      <c r="G2756" t="s">
        <v>18</v>
      </c>
      <c r="H2756">
        <v>27</v>
      </c>
      <c r="I2756" t="s">
        <v>19</v>
      </c>
      <c r="J2756">
        <v>2001</v>
      </c>
      <c r="K2756">
        <v>2001</v>
      </c>
      <c r="L2756" t="s">
        <v>20</v>
      </c>
      <c r="M2756">
        <v>36548</v>
      </c>
      <c r="N2756">
        <v>565</v>
      </c>
    </row>
    <row r="2757" spans="1:14" x14ac:dyDescent="0.35">
      <c r="A2757" t="s">
        <v>2870</v>
      </c>
      <c r="B2757" t="s">
        <v>15</v>
      </c>
      <c r="C2757" t="s">
        <v>16</v>
      </c>
      <c r="D2757">
        <v>230</v>
      </c>
      <c r="E2757" t="s">
        <v>2860</v>
      </c>
      <c r="F2757">
        <v>5419</v>
      </c>
      <c r="G2757" t="s">
        <v>18</v>
      </c>
      <c r="H2757">
        <v>27</v>
      </c>
      <c r="I2757" t="s">
        <v>19</v>
      </c>
      <c r="J2757">
        <v>2002</v>
      </c>
      <c r="K2757">
        <v>2002</v>
      </c>
      <c r="L2757" t="s">
        <v>20</v>
      </c>
      <c r="M2757">
        <v>39894</v>
      </c>
      <c r="N2757">
        <v>565</v>
      </c>
    </row>
    <row r="2758" spans="1:14" x14ac:dyDescent="0.35">
      <c r="A2758" t="s">
        <v>2871</v>
      </c>
      <c r="B2758" t="s">
        <v>15</v>
      </c>
      <c r="C2758" t="s">
        <v>16</v>
      </c>
      <c r="D2758">
        <v>230</v>
      </c>
      <c r="E2758" t="s">
        <v>2860</v>
      </c>
      <c r="F2758">
        <v>5419</v>
      </c>
      <c r="G2758" t="s">
        <v>18</v>
      </c>
      <c r="H2758">
        <v>27</v>
      </c>
      <c r="I2758" t="s">
        <v>19</v>
      </c>
      <c r="J2758">
        <v>2004</v>
      </c>
      <c r="K2758">
        <v>2004</v>
      </c>
      <c r="L2758" t="s">
        <v>20</v>
      </c>
      <c r="M2758">
        <v>37746</v>
      </c>
      <c r="N2758">
        <v>565</v>
      </c>
    </row>
    <row r="2759" spans="1:14" x14ac:dyDescent="0.35">
      <c r="A2759" t="s">
        <v>2872</v>
      </c>
      <c r="B2759" t="s">
        <v>15</v>
      </c>
      <c r="C2759" t="s">
        <v>16</v>
      </c>
      <c r="D2759">
        <v>230</v>
      </c>
      <c r="E2759" t="s">
        <v>2860</v>
      </c>
      <c r="F2759">
        <v>5419</v>
      </c>
      <c r="G2759" t="s">
        <v>18</v>
      </c>
      <c r="H2759">
        <v>27</v>
      </c>
      <c r="I2759" t="s">
        <v>19</v>
      </c>
      <c r="J2759">
        <v>2005</v>
      </c>
      <c r="K2759">
        <v>2005</v>
      </c>
      <c r="L2759" t="s">
        <v>20</v>
      </c>
      <c r="M2759">
        <v>43458</v>
      </c>
      <c r="N2759">
        <v>565</v>
      </c>
    </row>
    <row r="2760" spans="1:14" x14ac:dyDescent="0.35">
      <c r="A2760" t="s">
        <v>2873</v>
      </c>
      <c r="B2760" t="s">
        <v>15</v>
      </c>
      <c r="C2760" t="s">
        <v>16</v>
      </c>
      <c r="D2760">
        <v>230</v>
      </c>
      <c r="E2760" t="s">
        <v>2860</v>
      </c>
      <c r="F2760">
        <v>5419</v>
      </c>
      <c r="G2760" t="s">
        <v>18</v>
      </c>
      <c r="H2760">
        <v>27</v>
      </c>
      <c r="I2760" t="s">
        <v>19</v>
      </c>
      <c r="J2760">
        <v>2006</v>
      </c>
      <c r="K2760">
        <v>2006</v>
      </c>
      <c r="L2760" t="s">
        <v>20</v>
      </c>
      <c r="M2760">
        <v>46065</v>
      </c>
      <c r="N2760">
        <v>565</v>
      </c>
    </row>
    <row r="2761" spans="1:14" x14ac:dyDescent="0.35">
      <c r="A2761" t="s">
        <v>2874</v>
      </c>
      <c r="B2761" t="s">
        <v>15</v>
      </c>
      <c r="C2761" t="s">
        <v>16</v>
      </c>
      <c r="D2761">
        <v>230</v>
      </c>
      <c r="E2761" t="s">
        <v>2860</v>
      </c>
      <c r="F2761">
        <v>5419</v>
      </c>
      <c r="G2761" t="s">
        <v>18</v>
      </c>
      <c r="H2761">
        <v>27</v>
      </c>
      <c r="I2761" t="s">
        <v>19</v>
      </c>
      <c r="J2761">
        <v>2007</v>
      </c>
      <c r="K2761">
        <v>2007</v>
      </c>
      <c r="L2761" t="s">
        <v>20</v>
      </c>
      <c r="M2761">
        <v>51185</v>
      </c>
      <c r="N2761">
        <v>565</v>
      </c>
    </row>
    <row r="2762" spans="1:14" x14ac:dyDescent="0.35">
      <c r="A2762" t="s">
        <v>2875</v>
      </c>
      <c r="B2762" t="s">
        <v>15</v>
      </c>
      <c r="C2762" t="s">
        <v>16</v>
      </c>
      <c r="D2762">
        <v>230</v>
      </c>
      <c r="E2762" t="s">
        <v>2860</v>
      </c>
      <c r="F2762">
        <v>5419</v>
      </c>
      <c r="G2762" t="s">
        <v>18</v>
      </c>
      <c r="H2762">
        <v>27</v>
      </c>
      <c r="I2762" t="s">
        <v>19</v>
      </c>
      <c r="J2762">
        <v>2008</v>
      </c>
      <c r="K2762">
        <v>2008</v>
      </c>
      <c r="L2762" t="s">
        <v>20</v>
      </c>
      <c r="M2762">
        <v>50859</v>
      </c>
      <c r="N2762">
        <v>565</v>
      </c>
    </row>
    <row r="2763" spans="1:14" x14ac:dyDescent="0.35">
      <c r="A2763" t="s">
        <v>2876</v>
      </c>
      <c r="B2763" t="s">
        <v>15</v>
      </c>
      <c r="C2763" t="s">
        <v>16</v>
      </c>
      <c r="D2763">
        <v>230</v>
      </c>
      <c r="E2763" t="s">
        <v>2860</v>
      </c>
      <c r="F2763">
        <v>5419</v>
      </c>
      <c r="G2763" t="s">
        <v>18</v>
      </c>
      <c r="H2763">
        <v>27</v>
      </c>
      <c r="I2763" t="s">
        <v>19</v>
      </c>
      <c r="J2763">
        <v>2009</v>
      </c>
      <c r="K2763">
        <v>2009</v>
      </c>
      <c r="L2763" t="s">
        <v>20</v>
      </c>
      <c r="M2763">
        <v>58327</v>
      </c>
      <c r="N2763">
        <v>565</v>
      </c>
    </row>
    <row r="2764" spans="1:14" x14ac:dyDescent="0.35">
      <c r="A2764" t="s">
        <v>2877</v>
      </c>
      <c r="B2764" t="s">
        <v>15</v>
      </c>
      <c r="C2764" t="s">
        <v>16</v>
      </c>
      <c r="D2764">
        <v>230</v>
      </c>
      <c r="E2764" t="s">
        <v>2860</v>
      </c>
      <c r="F2764">
        <v>5419</v>
      </c>
      <c r="G2764" t="s">
        <v>18</v>
      </c>
      <c r="H2764">
        <v>27</v>
      </c>
      <c r="I2764" t="s">
        <v>19</v>
      </c>
      <c r="J2764">
        <v>2010</v>
      </c>
      <c r="K2764">
        <v>2010</v>
      </c>
      <c r="L2764" t="s">
        <v>20</v>
      </c>
      <c r="M2764">
        <v>50512</v>
      </c>
      <c r="N2764">
        <v>565</v>
      </c>
    </row>
    <row r="2765" spans="1:14" x14ac:dyDescent="0.35">
      <c r="A2765" t="s">
        <v>2878</v>
      </c>
      <c r="B2765" t="s">
        <v>15</v>
      </c>
      <c r="C2765" t="s">
        <v>16</v>
      </c>
      <c r="D2765">
        <v>230</v>
      </c>
      <c r="E2765" t="s">
        <v>2860</v>
      </c>
      <c r="F2765">
        <v>5419</v>
      </c>
      <c r="G2765" t="s">
        <v>18</v>
      </c>
      <c r="H2765">
        <v>27</v>
      </c>
      <c r="I2765" t="s">
        <v>19</v>
      </c>
      <c r="J2765">
        <v>2011</v>
      </c>
      <c r="K2765">
        <v>2011</v>
      </c>
      <c r="L2765" t="s">
        <v>20</v>
      </c>
      <c r="M2765">
        <v>57399</v>
      </c>
      <c r="N2765">
        <v>565</v>
      </c>
    </row>
    <row r="2766" spans="1:14" x14ac:dyDescent="0.35">
      <c r="A2766" t="s">
        <v>2879</v>
      </c>
      <c r="B2766" t="s">
        <v>15</v>
      </c>
      <c r="C2766" t="s">
        <v>16</v>
      </c>
      <c r="D2766">
        <v>230</v>
      </c>
      <c r="E2766" t="s">
        <v>2860</v>
      </c>
      <c r="F2766">
        <v>5419</v>
      </c>
      <c r="G2766" t="s">
        <v>18</v>
      </c>
      <c r="H2766">
        <v>27</v>
      </c>
      <c r="I2766" t="s">
        <v>19</v>
      </c>
      <c r="J2766">
        <v>2012</v>
      </c>
      <c r="K2766">
        <v>2012</v>
      </c>
      <c r="L2766" t="s">
        <v>20</v>
      </c>
      <c r="M2766">
        <v>61938</v>
      </c>
      <c r="N2766">
        <v>565</v>
      </c>
    </row>
    <row r="2767" spans="1:14" x14ac:dyDescent="0.35">
      <c r="A2767" t="s">
        <v>2880</v>
      </c>
      <c r="B2767" t="s">
        <v>15</v>
      </c>
      <c r="C2767" t="s">
        <v>16</v>
      </c>
      <c r="D2767">
        <v>230</v>
      </c>
      <c r="E2767" t="s">
        <v>2860</v>
      </c>
      <c r="F2767">
        <v>5419</v>
      </c>
      <c r="G2767" t="s">
        <v>18</v>
      </c>
      <c r="H2767">
        <v>27</v>
      </c>
      <c r="I2767" t="s">
        <v>19</v>
      </c>
      <c r="J2767">
        <v>2013</v>
      </c>
      <c r="K2767">
        <v>2013</v>
      </c>
      <c r="L2767" t="s">
        <v>20</v>
      </c>
      <c r="M2767">
        <v>59938</v>
      </c>
      <c r="N2767">
        <v>565</v>
      </c>
    </row>
    <row r="2768" spans="1:14" x14ac:dyDescent="0.35">
      <c r="A2768" t="s">
        <v>2881</v>
      </c>
      <c r="B2768" t="s">
        <v>15</v>
      </c>
      <c r="C2768" t="s">
        <v>16</v>
      </c>
      <c r="D2768">
        <v>230</v>
      </c>
      <c r="E2768" t="s">
        <v>2860</v>
      </c>
      <c r="F2768">
        <v>5419</v>
      </c>
      <c r="G2768" t="s">
        <v>18</v>
      </c>
      <c r="H2768">
        <v>27</v>
      </c>
      <c r="I2768" t="s">
        <v>19</v>
      </c>
      <c r="J2768">
        <v>2014</v>
      </c>
      <c r="K2768">
        <v>2014</v>
      </c>
      <c r="L2768" t="s">
        <v>20</v>
      </c>
      <c r="M2768">
        <v>49882</v>
      </c>
      <c r="N2768">
        <v>565</v>
      </c>
    </row>
    <row r="2769" spans="1:14" x14ac:dyDescent="0.35">
      <c r="A2769" t="s">
        <v>2882</v>
      </c>
      <c r="B2769" t="s">
        <v>15</v>
      </c>
      <c r="C2769" t="s">
        <v>16</v>
      </c>
      <c r="D2769">
        <v>230</v>
      </c>
      <c r="E2769" t="s">
        <v>2860</v>
      </c>
      <c r="F2769">
        <v>5419</v>
      </c>
      <c r="G2769" t="s">
        <v>18</v>
      </c>
      <c r="H2769">
        <v>27</v>
      </c>
      <c r="I2769" t="s">
        <v>19</v>
      </c>
      <c r="J2769">
        <v>2015</v>
      </c>
      <c r="K2769">
        <v>2015</v>
      </c>
      <c r="L2769" t="s">
        <v>20</v>
      </c>
      <c r="M2769">
        <v>53427</v>
      </c>
      <c r="N2769">
        <v>565</v>
      </c>
    </row>
    <row r="2770" spans="1:14" x14ac:dyDescent="0.35">
      <c r="A2770" t="s">
        <v>2883</v>
      </c>
      <c r="B2770" t="s">
        <v>15</v>
      </c>
      <c r="C2770" t="s">
        <v>16</v>
      </c>
      <c r="D2770">
        <v>230</v>
      </c>
      <c r="E2770" t="s">
        <v>2860</v>
      </c>
      <c r="F2770">
        <v>5419</v>
      </c>
      <c r="G2770" t="s">
        <v>18</v>
      </c>
      <c r="H2770">
        <v>27</v>
      </c>
      <c r="I2770" t="s">
        <v>19</v>
      </c>
      <c r="J2770">
        <v>2016</v>
      </c>
      <c r="K2770">
        <v>2016</v>
      </c>
      <c r="L2770" t="s">
        <v>20</v>
      </c>
      <c r="M2770">
        <v>53917</v>
      </c>
      <c r="N2770">
        <v>565</v>
      </c>
    </row>
    <row r="2771" spans="1:14" x14ac:dyDescent="0.35">
      <c r="A2771" t="s">
        <v>2884</v>
      </c>
      <c r="B2771" t="s">
        <v>15</v>
      </c>
      <c r="C2771" t="s">
        <v>16</v>
      </c>
      <c r="D2771">
        <v>234</v>
      </c>
      <c r="E2771" t="s">
        <v>2885</v>
      </c>
      <c r="F2771">
        <v>5419</v>
      </c>
      <c r="G2771" t="s">
        <v>18</v>
      </c>
      <c r="H2771">
        <v>27</v>
      </c>
      <c r="I2771" t="s">
        <v>19</v>
      </c>
      <c r="J2771">
        <v>1985</v>
      </c>
      <c r="K2771">
        <v>1985</v>
      </c>
      <c r="L2771" t="s">
        <v>20</v>
      </c>
      <c r="M2771">
        <v>49535</v>
      </c>
      <c r="N2771">
        <v>1300</v>
      </c>
    </row>
    <row r="2772" spans="1:14" x14ac:dyDescent="0.35">
      <c r="A2772" t="s">
        <v>2886</v>
      </c>
      <c r="B2772" t="s">
        <v>15</v>
      </c>
      <c r="C2772" t="s">
        <v>16</v>
      </c>
      <c r="D2772">
        <v>234</v>
      </c>
      <c r="E2772" t="s">
        <v>2885</v>
      </c>
      <c r="F2772">
        <v>5419</v>
      </c>
      <c r="G2772" t="s">
        <v>18</v>
      </c>
      <c r="H2772">
        <v>27</v>
      </c>
      <c r="I2772" t="s">
        <v>19</v>
      </c>
      <c r="J2772">
        <v>1986</v>
      </c>
      <c r="K2772">
        <v>1986</v>
      </c>
      <c r="L2772" t="s">
        <v>20</v>
      </c>
      <c r="M2772">
        <v>47842</v>
      </c>
      <c r="N2772">
        <v>1300</v>
      </c>
    </row>
    <row r="2773" spans="1:14" x14ac:dyDescent="0.35">
      <c r="A2773" t="s">
        <v>2887</v>
      </c>
      <c r="B2773" t="s">
        <v>15</v>
      </c>
      <c r="C2773" t="s">
        <v>16</v>
      </c>
      <c r="D2773">
        <v>234</v>
      </c>
      <c r="E2773" t="s">
        <v>2885</v>
      </c>
      <c r="F2773">
        <v>5419</v>
      </c>
      <c r="G2773" t="s">
        <v>18</v>
      </c>
      <c r="H2773">
        <v>27</v>
      </c>
      <c r="I2773" t="s">
        <v>19</v>
      </c>
      <c r="J2773">
        <v>1987</v>
      </c>
      <c r="K2773">
        <v>1987</v>
      </c>
      <c r="L2773" t="s">
        <v>20</v>
      </c>
      <c r="M2773">
        <v>42253</v>
      </c>
      <c r="N2773">
        <v>1300</v>
      </c>
    </row>
    <row r="2774" spans="1:14" x14ac:dyDescent="0.35">
      <c r="A2774" t="s">
        <v>2888</v>
      </c>
      <c r="B2774" t="s">
        <v>15</v>
      </c>
      <c r="C2774" t="s">
        <v>16</v>
      </c>
      <c r="D2774">
        <v>234</v>
      </c>
      <c r="E2774" t="s">
        <v>2885</v>
      </c>
      <c r="F2774">
        <v>5419</v>
      </c>
      <c r="G2774" t="s">
        <v>18</v>
      </c>
      <c r="H2774">
        <v>27</v>
      </c>
      <c r="I2774" t="s">
        <v>19</v>
      </c>
      <c r="J2774">
        <v>1989</v>
      </c>
      <c r="K2774">
        <v>1989</v>
      </c>
      <c r="L2774" t="s">
        <v>20</v>
      </c>
      <c r="M2774">
        <v>56445</v>
      </c>
      <c r="N2774">
        <v>1300</v>
      </c>
    </row>
    <row r="2775" spans="1:14" x14ac:dyDescent="0.35">
      <c r="A2775" t="s">
        <v>2889</v>
      </c>
      <c r="B2775" t="s">
        <v>15</v>
      </c>
      <c r="C2775" t="s">
        <v>16</v>
      </c>
      <c r="D2775">
        <v>234</v>
      </c>
      <c r="E2775" t="s">
        <v>2885</v>
      </c>
      <c r="F2775">
        <v>5419</v>
      </c>
      <c r="G2775" t="s">
        <v>18</v>
      </c>
      <c r="H2775">
        <v>27</v>
      </c>
      <c r="I2775" t="s">
        <v>19</v>
      </c>
      <c r="J2775">
        <v>1990</v>
      </c>
      <c r="K2775">
        <v>1990</v>
      </c>
      <c r="L2775" t="s">
        <v>20</v>
      </c>
      <c r="M2775">
        <v>44474</v>
      </c>
      <c r="N2775">
        <v>1300</v>
      </c>
    </row>
    <row r="2776" spans="1:14" x14ac:dyDescent="0.35">
      <c r="A2776" t="s">
        <v>2890</v>
      </c>
      <c r="B2776" t="s">
        <v>15</v>
      </c>
      <c r="C2776" t="s">
        <v>16</v>
      </c>
      <c r="D2776">
        <v>234</v>
      </c>
      <c r="E2776" t="s">
        <v>2885</v>
      </c>
      <c r="F2776">
        <v>5419</v>
      </c>
      <c r="G2776" t="s">
        <v>18</v>
      </c>
      <c r="H2776">
        <v>27</v>
      </c>
      <c r="I2776" t="s">
        <v>19</v>
      </c>
      <c r="J2776">
        <v>1991</v>
      </c>
      <c r="K2776">
        <v>1991</v>
      </c>
      <c r="L2776" t="s">
        <v>20</v>
      </c>
      <c r="M2776">
        <v>47767</v>
      </c>
      <c r="N2776">
        <v>1300</v>
      </c>
    </row>
    <row r="2777" spans="1:14" x14ac:dyDescent="0.35">
      <c r="A2777" t="s">
        <v>2891</v>
      </c>
      <c r="B2777" t="s">
        <v>15</v>
      </c>
      <c r="C2777" t="s">
        <v>16</v>
      </c>
      <c r="D2777">
        <v>234</v>
      </c>
      <c r="E2777" t="s">
        <v>2885</v>
      </c>
      <c r="F2777">
        <v>5419</v>
      </c>
      <c r="G2777" t="s">
        <v>18</v>
      </c>
      <c r="H2777">
        <v>27</v>
      </c>
      <c r="I2777" t="s">
        <v>19</v>
      </c>
      <c r="J2777">
        <v>1992</v>
      </c>
      <c r="K2777">
        <v>1992</v>
      </c>
      <c r="L2777" t="s">
        <v>20</v>
      </c>
      <c r="M2777">
        <v>47557</v>
      </c>
      <c r="N2777">
        <v>1300</v>
      </c>
    </row>
    <row r="2778" spans="1:14" x14ac:dyDescent="0.35">
      <c r="A2778" t="s">
        <v>2892</v>
      </c>
      <c r="B2778" t="s">
        <v>15</v>
      </c>
      <c r="C2778" t="s">
        <v>16</v>
      </c>
      <c r="D2778">
        <v>234</v>
      </c>
      <c r="E2778" t="s">
        <v>2885</v>
      </c>
      <c r="F2778">
        <v>5419</v>
      </c>
      <c r="G2778" t="s">
        <v>18</v>
      </c>
      <c r="H2778">
        <v>27</v>
      </c>
      <c r="I2778" t="s">
        <v>19</v>
      </c>
      <c r="J2778">
        <v>1993</v>
      </c>
      <c r="K2778">
        <v>1993</v>
      </c>
      <c r="L2778" t="s">
        <v>20</v>
      </c>
      <c r="M2778">
        <v>51717</v>
      </c>
      <c r="N2778">
        <v>1300</v>
      </c>
    </row>
    <row r="2779" spans="1:14" x14ac:dyDescent="0.35">
      <c r="A2779" t="s">
        <v>2893</v>
      </c>
      <c r="B2779" t="s">
        <v>15</v>
      </c>
      <c r="C2779" t="s">
        <v>16</v>
      </c>
      <c r="D2779">
        <v>234</v>
      </c>
      <c r="E2779" t="s">
        <v>2885</v>
      </c>
      <c r="F2779">
        <v>5419</v>
      </c>
      <c r="G2779" t="s">
        <v>18</v>
      </c>
      <c r="H2779">
        <v>27</v>
      </c>
      <c r="I2779" t="s">
        <v>19</v>
      </c>
      <c r="J2779">
        <v>1994</v>
      </c>
      <c r="K2779">
        <v>1994</v>
      </c>
      <c r="L2779" t="s">
        <v>20</v>
      </c>
      <c r="M2779">
        <v>49158</v>
      </c>
      <c r="N2779">
        <v>1300</v>
      </c>
    </row>
    <row r="2780" spans="1:14" x14ac:dyDescent="0.35">
      <c r="A2780" t="s">
        <v>2894</v>
      </c>
      <c r="B2780" t="s">
        <v>15</v>
      </c>
      <c r="C2780" t="s">
        <v>16</v>
      </c>
      <c r="D2780">
        <v>234</v>
      </c>
      <c r="E2780" t="s">
        <v>2885</v>
      </c>
      <c r="F2780">
        <v>5419</v>
      </c>
      <c r="G2780" t="s">
        <v>18</v>
      </c>
      <c r="H2780">
        <v>27</v>
      </c>
      <c r="I2780" t="s">
        <v>19</v>
      </c>
      <c r="J2780">
        <v>1995</v>
      </c>
      <c r="K2780">
        <v>1995</v>
      </c>
      <c r="L2780" t="s">
        <v>20</v>
      </c>
      <c r="M2780">
        <v>55099</v>
      </c>
      <c r="N2780">
        <v>1300</v>
      </c>
    </row>
    <row r="2781" spans="1:14" x14ac:dyDescent="0.35">
      <c r="A2781" t="s">
        <v>2895</v>
      </c>
      <c r="B2781" t="s">
        <v>15</v>
      </c>
      <c r="C2781" t="s">
        <v>16</v>
      </c>
      <c r="D2781">
        <v>234</v>
      </c>
      <c r="E2781" t="s">
        <v>2885</v>
      </c>
      <c r="F2781">
        <v>5419</v>
      </c>
      <c r="G2781" t="s">
        <v>18</v>
      </c>
      <c r="H2781">
        <v>27</v>
      </c>
      <c r="I2781" t="s">
        <v>19</v>
      </c>
      <c r="J2781">
        <v>1996</v>
      </c>
      <c r="K2781">
        <v>1996</v>
      </c>
      <c r="L2781" t="s">
        <v>20</v>
      </c>
      <c r="M2781">
        <v>64684</v>
      </c>
      <c r="N2781">
        <v>1300</v>
      </c>
    </row>
    <row r="2782" spans="1:14" x14ac:dyDescent="0.35">
      <c r="A2782" t="s">
        <v>2896</v>
      </c>
      <c r="B2782" t="s">
        <v>15</v>
      </c>
      <c r="C2782" t="s">
        <v>16</v>
      </c>
      <c r="D2782">
        <v>234</v>
      </c>
      <c r="E2782" t="s">
        <v>2885</v>
      </c>
      <c r="F2782">
        <v>5419</v>
      </c>
      <c r="G2782" t="s">
        <v>18</v>
      </c>
      <c r="H2782">
        <v>27</v>
      </c>
      <c r="I2782" t="s">
        <v>19</v>
      </c>
      <c r="J2782">
        <v>1997</v>
      </c>
      <c r="K2782">
        <v>1997</v>
      </c>
      <c r="L2782" t="s">
        <v>20</v>
      </c>
      <c r="M2782">
        <v>65839</v>
      </c>
      <c r="N2782">
        <v>1300</v>
      </c>
    </row>
    <row r="2783" spans="1:14" x14ac:dyDescent="0.35">
      <c r="A2783" t="s">
        <v>2897</v>
      </c>
      <c r="B2783" t="s">
        <v>15</v>
      </c>
      <c r="C2783" t="s">
        <v>16</v>
      </c>
      <c r="D2783">
        <v>234</v>
      </c>
      <c r="E2783" t="s">
        <v>2885</v>
      </c>
      <c r="F2783">
        <v>5419</v>
      </c>
      <c r="G2783" t="s">
        <v>18</v>
      </c>
      <c r="H2783">
        <v>27</v>
      </c>
      <c r="I2783" t="s">
        <v>19</v>
      </c>
      <c r="J2783">
        <v>1998</v>
      </c>
      <c r="K2783">
        <v>1998</v>
      </c>
      <c r="L2783" t="s">
        <v>20</v>
      </c>
      <c r="M2783">
        <v>50862</v>
      </c>
      <c r="N2783">
        <v>1300</v>
      </c>
    </row>
    <row r="2784" spans="1:14" x14ac:dyDescent="0.35">
      <c r="A2784" t="s">
        <v>2898</v>
      </c>
      <c r="B2784" t="s">
        <v>15</v>
      </c>
      <c r="C2784" t="s">
        <v>16</v>
      </c>
      <c r="D2784">
        <v>234</v>
      </c>
      <c r="E2784" t="s">
        <v>2885</v>
      </c>
      <c r="F2784">
        <v>5419</v>
      </c>
      <c r="G2784" t="s">
        <v>18</v>
      </c>
      <c r="H2784">
        <v>27</v>
      </c>
      <c r="I2784" t="s">
        <v>19</v>
      </c>
      <c r="J2784">
        <v>1999</v>
      </c>
      <c r="K2784">
        <v>1999</v>
      </c>
      <c r="L2784" t="s">
        <v>20</v>
      </c>
      <c r="M2784">
        <v>63830</v>
      </c>
      <c r="N2784">
        <v>1300</v>
      </c>
    </row>
    <row r="2785" spans="1:14" x14ac:dyDescent="0.35">
      <c r="A2785" t="s">
        <v>2899</v>
      </c>
      <c r="B2785" t="s">
        <v>15</v>
      </c>
      <c r="C2785" t="s">
        <v>16</v>
      </c>
      <c r="D2785">
        <v>234</v>
      </c>
      <c r="E2785" t="s">
        <v>2885</v>
      </c>
      <c r="F2785">
        <v>5419</v>
      </c>
      <c r="G2785" t="s">
        <v>18</v>
      </c>
      <c r="H2785">
        <v>27</v>
      </c>
      <c r="I2785" t="s">
        <v>19</v>
      </c>
      <c r="J2785">
        <v>2000</v>
      </c>
      <c r="K2785">
        <v>2000</v>
      </c>
      <c r="L2785" t="s">
        <v>20</v>
      </c>
      <c r="M2785">
        <v>63840</v>
      </c>
      <c r="N2785">
        <v>1300</v>
      </c>
    </row>
    <row r="2786" spans="1:14" x14ac:dyDescent="0.35">
      <c r="A2786" t="s">
        <v>2900</v>
      </c>
      <c r="B2786" t="s">
        <v>15</v>
      </c>
      <c r="C2786" t="s">
        <v>16</v>
      </c>
      <c r="D2786">
        <v>234</v>
      </c>
      <c r="E2786" t="s">
        <v>2885</v>
      </c>
      <c r="F2786">
        <v>5419</v>
      </c>
      <c r="G2786" t="s">
        <v>18</v>
      </c>
      <c r="H2786">
        <v>27</v>
      </c>
      <c r="I2786" t="s">
        <v>19</v>
      </c>
      <c r="J2786">
        <v>2001</v>
      </c>
      <c r="K2786">
        <v>2001</v>
      </c>
      <c r="L2786" t="s">
        <v>20</v>
      </c>
      <c r="M2786">
        <v>67037</v>
      </c>
      <c r="N2786">
        <v>1300</v>
      </c>
    </row>
    <row r="2787" spans="1:14" x14ac:dyDescent="0.35">
      <c r="A2787" t="s">
        <v>2901</v>
      </c>
      <c r="B2787" t="s">
        <v>15</v>
      </c>
      <c r="C2787" t="s">
        <v>16</v>
      </c>
      <c r="D2787">
        <v>234</v>
      </c>
      <c r="E2787" t="s">
        <v>2885</v>
      </c>
      <c r="F2787">
        <v>5419</v>
      </c>
      <c r="G2787" t="s">
        <v>18</v>
      </c>
      <c r="H2787">
        <v>27</v>
      </c>
      <c r="I2787" t="s">
        <v>19</v>
      </c>
      <c r="J2787">
        <v>2002</v>
      </c>
      <c r="K2787">
        <v>2002</v>
      </c>
      <c r="L2787" t="s">
        <v>20</v>
      </c>
      <c r="M2787">
        <v>58632</v>
      </c>
      <c r="N2787">
        <v>1300</v>
      </c>
    </row>
    <row r="2788" spans="1:14" x14ac:dyDescent="0.35">
      <c r="A2788" t="s">
        <v>2902</v>
      </c>
      <c r="B2788" t="s">
        <v>15</v>
      </c>
      <c r="C2788" t="s">
        <v>16</v>
      </c>
      <c r="D2788">
        <v>234</v>
      </c>
      <c r="E2788" t="s">
        <v>2885</v>
      </c>
      <c r="F2788">
        <v>5419</v>
      </c>
      <c r="G2788" t="s">
        <v>18</v>
      </c>
      <c r="H2788">
        <v>27</v>
      </c>
      <c r="I2788" t="s">
        <v>19</v>
      </c>
      <c r="J2788">
        <v>2004</v>
      </c>
      <c r="K2788">
        <v>2004</v>
      </c>
      <c r="L2788" t="s">
        <v>20</v>
      </c>
      <c r="M2788">
        <v>67712</v>
      </c>
      <c r="N2788">
        <v>1300</v>
      </c>
    </row>
    <row r="2789" spans="1:14" x14ac:dyDescent="0.35">
      <c r="A2789" t="s">
        <v>2903</v>
      </c>
      <c r="B2789" t="s">
        <v>15</v>
      </c>
      <c r="C2789" t="s">
        <v>16</v>
      </c>
      <c r="D2789">
        <v>234</v>
      </c>
      <c r="E2789" t="s">
        <v>2885</v>
      </c>
      <c r="F2789">
        <v>5419</v>
      </c>
      <c r="G2789" t="s">
        <v>18</v>
      </c>
      <c r="H2789">
        <v>27</v>
      </c>
      <c r="I2789" t="s">
        <v>19</v>
      </c>
      <c r="J2789">
        <v>2005</v>
      </c>
      <c r="K2789">
        <v>2005</v>
      </c>
      <c r="L2789" t="s">
        <v>20</v>
      </c>
      <c r="M2789">
        <v>66005</v>
      </c>
      <c r="N2789">
        <v>1300</v>
      </c>
    </row>
    <row r="2790" spans="1:14" x14ac:dyDescent="0.35">
      <c r="A2790" t="s">
        <v>2904</v>
      </c>
      <c r="B2790" t="s">
        <v>15</v>
      </c>
      <c r="C2790" t="s">
        <v>16</v>
      </c>
      <c r="D2790">
        <v>234</v>
      </c>
      <c r="E2790" t="s">
        <v>2885</v>
      </c>
      <c r="F2790">
        <v>5419</v>
      </c>
      <c r="G2790" t="s">
        <v>18</v>
      </c>
      <c r="H2790">
        <v>27</v>
      </c>
      <c r="I2790" t="s">
        <v>19</v>
      </c>
      <c r="J2790">
        <v>2006</v>
      </c>
      <c r="K2790">
        <v>2006</v>
      </c>
      <c r="L2790" t="s">
        <v>20</v>
      </c>
      <c r="M2790">
        <v>72893</v>
      </c>
      <c r="N2790">
        <v>1300</v>
      </c>
    </row>
    <row r="2791" spans="1:14" x14ac:dyDescent="0.35">
      <c r="A2791" t="s">
        <v>2905</v>
      </c>
      <c r="B2791" t="s">
        <v>15</v>
      </c>
      <c r="C2791" t="s">
        <v>16</v>
      </c>
      <c r="D2791">
        <v>234</v>
      </c>
      <c r="E2791" t="s">
        <v>2885</v>
      </c>
      <c r="F2791">
        <v>5419</v>
      </c>
      <c r="G2791" t="s">
        <v>18</v>
      </c>
      <c r="H2791">
        <v>27</v>
      </c>
      <c r="I2791" t="s">
        <v>19</v>
      </c>
      <c r="J2791">
        <v>2007</v>
      </c>
      <c r="K2791">
        <v>2007</v>
      </c>
      <c r="L2791" t="s">
        <v>20</v>
      </c>
      <c r="M2791">
        <v>78796</v>
      </c>
      <c r="N2791">
        <v>1300</v>
      </c>
    </row>
    <row r="2792" spans="1:14" x14ac:dyDescent="0.35">
      <c r="A2792" t="s">
        <v>2906</v>
      </c>
      <c r="B2792" t="s">
        <v>15</v>
      </c>
      <c r="C2792" t="s">
        <v>16</v>
      </c>
      <c r="D2792">
        <v>234</v>
      </c>
      <c r="E2792" t="s">
        <v>2885</v>
      </c>
      <c r="F2792">
        <v>5419</v>
      </c>
      <c r="G2792" t="s">
        <v>18</v>
      </c>
      <c r="H2792">
        <v>27</v>
      </c>
      <c r="I2792" t="s">
        <v>19</v>
      </c>
      <c r="J2792">
        <v>2008</v>
      </c>
      <c r="K2792">
        <v>2008</v>
      </c>
      <c r="L2792" t="s">
        <v>20</v>
      </c>
      <c r="M2792">
        <v>78989</v>
      </c>
      <c r="N2792">
        <v>1300</v>
      </c>
    </row>
    <row r="2793" spans="1:14" x14ac:dyDescent="0.35">
      <c r="A2793" t="s">
        <v>2907</v>
      </c>
      <c r="B2793" t="s">
        <v>15</v>
      </c>
      <c r="C2793" t="s">
        <v>16</v>
      </c>
      <c r="D2793">
        <v>234</v>
      </c>
      <c r="E2793" t="s">
        <v>2885</v>
      </c>
      <c r="F2793">
        <v>5419</v>
      </c>
      <c r="G2793" t="s">
        <v>18</v>
      </c>
      <c r="H2793">
        <v>27</v>
      </c>
      <c r="I2793" t="s">
        <v>19</v>
      </c>
      <c r="J2793">
        <v>2009</v>
      </c>
      <c r="K2793">
        <v>2009</v>
      </c>
      <c r="L2793" t="s">
        <v>20</v>
      </c>
      <c r="M2793">
        <v>80100</v>
      </c>
      <c r="N2793">
        <v>1300</v>
      </c>
    </row>
    <row r="2794" spans="1:14" x14ac:dyDescent="0.35">
      <c r="A2794" t="s">
        <v>2908</v>
      </c>
      <c r="B2794" t="s">
        <v>15</v>
      </c>
      <c r="C2794" t="s">
        <v>16</v>
      </c>
      <c r="D2794">
        <v>234</v>
      </c>
      <c r="E2794" t="s">
        <v>2885</v>
      </c>
      <c r="F2794">
        <v>5419</v>
      </c>
      <c r="G2794" t="s">
        <v>18</v>
      </c>
      <c r="H2794">
        <v>27</v>
      </c>
      <c r="I2794" t="s">
        <v>19</v>
      </c>
      <c r="J2794">
        <v>2010</v>
      </c>
      <c r="K2794">
        <v>2010</v>
      </c>
      <c r="L2794" t="s">
        <v>20</v>
      </c>
      <c r="M2794">
        <v>70954</v>
      </c>
      <c r="N2794">
        <v>1300</v>
      </c>
    </row>
    <row r="2795" spans="1:14" x14ac:dyDescent="0.35">
      <c r="A2795" t="s">
        <v>2909</v>
      </c>
      <c r="B2795" t="s">
        <v>15</v>
      </c>
      <c r="C2795" t="s">
        <v>16</v>
      </c>
      <c r="D2795">
        <v>234</v>
      </c>
      <c r="E2795" t="s">
        <v>2885</v>
      </c>
      <c r="F2795">
        <v>5419</v>
      </c>
      <c r="G2795" t="s">
        <v>18</v>
      </c>
      <c r="H2795">
        <v>27</v>
      </c>
      <c r="I2795" t="s">
        <v>19</v>
      </c>
      <c r="J2795">
        <v>2011</v>
      </c>
      <c r="K2795">
        <v>2011</v>
      </c>
      <c r="L2795" t="s">
        <v>20</v>
      </c>
      <c r="M2795">
        <v>83827</v>
      </c>
      <c r="N2795">
        <v>1300</v>
      </c>
    </row>
    <row r="2796" spans="1:14" x14ac:dyDescent="0.35">
      <c r="A2796" t="s">
        <v>2910</v>
      </c>
      <c r="B2796" t="s">
        <v>15</v>
      </c>
      <c r="C2796" t="s">
        <v>16</v>
      </c>
      <c r="D2796">
        <v>234</v>
      </c>
      <c r="E2796" t="s">
        <v>2885</v>
      </c>
      <c r="F2796">
        <v>5419</v>
      </c>
      <c r="G2796" t="s">
        <v>18</v>
      </c>
      <c r="H2796">
        <v>27</v>
      </c>
      <c r="I2796" t="s">
        <v>19</v>
      </c>
      <c r="J2796">
        <v>2012</v>
      </c>
      <c r="K2796">
        <v>2012</v>
      </c>
      <c r="L2796" t="s">
        <v>20</v>
      </c>
      <c r="M2796">
        <v>78513</v>
      </c>
      <c r="N2796">
        <v>1300</v>
      </c>
    </row>
    <row r="2797" spans="1:14" x14ac:dyDescent="0.35">
      <c r="A2797" t="s">
        <v>2911</v>
      </c>
      <c r="B2797" t="s">
        <v>15</v>
      </c>
      <c r="C2797" t="s">
        <v>16</v>
      </c>
      <c r="D2797">
        <v>234</v>
      </c>
      <c r="E2797" t="s">
        <v>2885</v>
      </c>
      <c r="F2797">
        <v>5419</v>
      </c>
      <c r="G2797" t="s">
        <v>18</v>
      </c>
      <c r="H2797">
        <v>27</v>
      </c>
      <c r="I2797" t="s">
        <v>19</v>
      </c>
      <c r="J2797">
        <v>2013</v>
      </c>
      <c r="K2797">
        <v>2013</v>
      </c>
      <c r="L2797" t="s">
        <v>20</v>
      </c>
      <c r="M2797">
        <v>78812</v>
      </c>
      <c r="N2797">
        <v>1300</v>
      </c>
    </row>
    <row r="2798" spans="1:14" x14ac:dyDescent="0.35">
      <c r="A2798" t="s">
        <v>2912</v>
      </c>
      <c r="B2798" t="s">
        <v>15</v>
      </c>
      <c r="C2798" t="s">
        <v>16</v>
      </c>
      <c r="D2798">
        <v>234</v>
      </c>
      <c r="E2798" t="s">
        <v>2885</v>
      </c>
      <c r="F2798">
        <v>5419</v>
      </c>
      <c r="G2798" t="s">
        <v>18</v>
      </c>
      <c r="H2798">
        <v>27</v>
      </c>
      <c r="I2798" t="s">
        <v>19</v>
      </c>
      <c r="J2798">
        <v>2014</v>
      </c>
      <c r="K2798">
        <v>2014</v>
      </c>
      <c r="L2798" t="s">
        <v>20</v>
      </c>
      <c r="M2798">
        <v>80544</v>
      </c>
      <c r="N2798">
        <v>1300</v>
      </c>
    </row>
    <row r="2799" spans="1:14" x14ac:dyDescent="0.35">
      <c r="A2799" t="s">
        <v>2913</v>
      </c>
      <c r="B2799" t="s">
        <v>15</v>
      </c>
      <c r="C2799" t="s">
        <v>16</v>
      </c>
      <c r="D2799">
        <v>234</v>
      </c>
      <c r="E2799" t="s">
        <v>2885</v>
      </c>
      <c r="F2799">
        <v>5419</v>
      </c>
      <c r="G2799" t="s">
        <v>18</v>
      </c>
      <c r="H2799">
        <v>27</v>
      </c>
      <c r="I2799" t="s">
        <v>19</v>
      </c>
      <c r="J2799">
        <v>2015</v>
      </c>
      <c r="K2799">
        <v>2015</v>
      </c>
      <c r="L2799" t="s">
        <v>20</v>
      </c>
      <c r="M2799">
        <v>80896</v>
      </c>
      <c r="N2799">
        <v>1300</v>
      </c>
    </row>
    <row r="2800" spans="1:14" x14ac:dyDescent="0.35">
      <c r="A2800" t="s">
        <v>2914</v>
      </c>
      <c r="B2800" t="s">
        <v>15</v>
      </c>
      <c r="C2800" t="s">
        <v>16</v>
      </c>
      <c r="D2800">
        <v>234</v>
      </c>
      <c r="E2800" t="s">
        <v>2885</v>
      </c>
      <c r="F2800">
        <v>5419</v>
      </c>
      <c r="G2800" t="s">
        <v>18</v>
      </c>
      <c r="H2800">
        <v>27</v>
      </c>
      <c r="I2800" t="s">
        <v>19</v>
      </c>
      <c r="J2800">
        <v>2016</v>
      </c>
      <c r="K2800">
        <v>2016</v>
      </c>
      <c r="L2800" t="s">
        <v>20</v>
      </c>
      <c r="M2800">
        <v>85690</v>
      </c>
      <c r="N2800">
        <v>1300</v>
      </c>
    </row>
    <row r="2801" spans="1:14" x14ac:dyDescent="0.35">
      <c r="A2801" t="s">
        <v>2915</v>
      </c>
      <c r="B2801" t="s">
        <v>15</v>
      </c>
      <c r="C2801" t="s">
        <v>16</v>
      </c>
      <c r="D2801">
        <v>235</v>
      </c>
      <c r="E2801" t="s">
        <v>2916</v>
      </c>
      <c r="F2801">
        <v>5419</v>
      </c>
      <c r="G2801" t="s">
        <v>18</v>
      </c>
      <c r="H2801">
        <v>27</v>
      </c>
      <c r="I2801" t="s">
        <v>19</v>
      </c>
      <c r="J2801">
        <v>1992</v>
      </c>
      <c r="K2801">
        <v>1992</v>
      </c>
      <c r="L2801" t="s">
        <v>20</v>
      </c>
      <c r="M2801">
        <v>32029</v>
      </c>
      <c r="N2801">
        <v>206</v>
      </c>
    </row>
    <row r="2802" spans="1:14" x14ac:dyDescent="0.35">
      <c r="A2802" t="s">
        <v>2917</v>
      </c>
      <c r="B2802" t="s">
        <v>15</v>
      </c>
      <c r="C2802" t="s">
        <v>16</v>
      </c>
      <c r="D2802">
        <v>235</v>
      </c>
      <c r="E2802" t="s">
        <v>2916</v>
      </c>
      <c r="F2802">
        <v>5419</v>
      </c>
      <c r="G2802" t="s">
        <v>18</v>
      </c>
      <c r="H2802">
        <v>27</v>
      </c>
      <c r="I2802" t="s">
        <v>19</v>
      </c>
      <c r="J2802">
        <v>1993</v>
      </c>
      <c r="K2802">
        <v>1993</v>
      </c>
      <c r="L2802" t="s">
        <v>20</v>
      </c>
      <c r="M2802">
        <v>32191</v>
      </c>
      <c r="N2802">
        <v>206</v>
      </c>
    </row>
    <row r="2803" spans="1:14" x14ac:dyDescent="0.35">
      <c r="A2803" t="s">
        <v>2918</v>
      </c>
      <c r="B2803" t="s">
        <v>15</v>
      </c>
      <c r="C2803" t="s">
        <v>16</v>
      </c>
      <c r="D2803">
        <v>235</v>
      </c>
      <c r="E2803" t="s">
        <v>2916</v>
      </c>
      <c r="F2803">
        <v>5419</v>
      </c>
      <c r="G2803" t="s">
        <v>18</v>
      </c>
      <c r="H2803">
        <v>27</v>
      </c>
      <c r="I2803" t="s">
        <v>19</v>
      </c>
      <c r="J2803">
        <v>1994</v>
      </c>
      <c r="K2803">
        <v>1994</v>
      </c>
      <c r="L2803" t="s">
        <v>20</v>
      </c>
      <c r="M2803">
        <v>31622</v>
      </c>
      <c r="N2803">
        <v>206</v>
      </c>
    </row>
    <row r="2804" spans="1:14" x14ac:dyDescent="0.35">
      <c r="A2804" t="s">
        <v>2919</v>
      </c>
      <c r="B2804" t="s">
        <v>15</v>
      </c>
      <c r="C2804" t="s">
        <v>16</v>
      </c>
      <c r="D2804">
        <v>235</v>
      </c>
      <c r="E2804" t="s">
        <v>2916</v>
      </c>
      <c r="F2804">
        <v>5419</v>
      </c>
      <c r="G2804" t="s">
        <v>18</v>
      </c>
      <c r="H2804">
        <v>27</v>
      </c>
      <c r="I2804" t="s">
        <v>19</v>
      </c>
      <c r="J2804">
        <v>1995</v>
      </c>
      <c r="K2804">
        <v>1995</v>
      </c>
      <c r="L2804" t="s">
        <v>20</v>
      </c>
      <c r="M2804">
        <v>19747</v>
      </c>
      <c r="N2804">
        <v>206</v>
      </c>
    </row>
    <row r="2805" spans="1:14" x14ac:dyDescent="0.35">
      <c r="A2805" t="s">
        <v>2920</v>
      </c>
      <c r="B2805" t="s">
        <v>15</v>
      </c>
      <c r="C2805" t="s">
        <v>16</v>
      </c>
      <c r="D2805">
        <v>235</v>
      </c>
      <c r="E2805" t="s">
        <v>2916</v>
      </c>
      <c r="F2805">
        <v>5419</v>
      </c>
      <c r="G2805" t="s">
        <v>18</v>
      </c>
      <c r="H2805">
        <v>27</v>
      </c>
      <c r="I2805" t="s">
        <v>19</v>
      </c>
      <c r="J2805">
        <v>1996</v>
      </c>
      <c r="K2805">
        <v>1996</v>
      </c>
      <c r="L2805" t="s">
        <v>20</v>
      </c>
      <c r="M2805">
        <v>19249</v>
      </c>
      <c r="N2805">
        <v>206</v>
      </c>
    </row>
    <row r="2806" spans="1:14" x14ac:dyDescent="0.35">
      <c r="A2806" t="s">
        <v>2921</v>
      </c>
      <c r="B2806" t="s">
        <v>15</v>
      </c>
      <c r="C2806" t="s">
        <v>16</v>
      </c>
      <c r="D2806">
        <v>235</v>
      </c>
      <c r="E2806" t="s">
        <v>2916</v>
      </c>
      <c r="F2806">
        <v>5419</v>
      </c>
      <c r="G2806" t="s">
        <v>18</v>
      </c>
      <c r="H2806">
        <v>27</v>
      </c>
      <c r="I2806" t="s">
        <v>19</v>
      </c>
      <c r="J2806">
        <v>1997</v>
      </c>
      <c r="K2806">
        <v>1997</v>
      </c>
      <c r="L2806" t="s">
        <v>20</v>
      </c>
      <c r="M2806">
        <v>21347</v>
      </c>
      <c r="N2806">
        <v>206</v>
      </c>
    </row>
    <row r="2807" spans="1:14" x14ac:dyDescent="0.35">
      <c r="A2807" t="s">
        <v>2922</v>
      </c>
      <c r="B2807" t="s">
        <v>15</v>
      </c>
      <c r="C2807" t="s">
        <v>16</v>
      </c>
      <c r="D2807">
        <v>235</v>
      </c>
      <c r="E2807" t="s">
        <v>2916</v>
      </c>
      <c r="F2807">
        <v>5419</v>
      </c>
      <c r="G2807" t="s">
        <v>18</v>
      </c>
      <c r="H2807">
        <v>27</v>
      </c>
      <c r="I2807" t="s">
        <v>19</v>
      </c>
      <c r="J2807">
        <v>1998</v>
      </c>
      <c r="K2807">
        <v>1998</v>
      </c>
      <c r="L2807" t="s">
        <v>20</v>
      </c>
      <c r="M2807">
        <v>25121</v>
      </c>
      <c r="N2807">
        <v>206</v>
      </c>
    </row>
    <row r="2808" spans="1:14" x14ac:dyDescent="0.35">
      <c r="A2808" t="s">
        <v>2923</v>
      </c>
      <c r="B2808" t="s">
        <v>15</v>
      </c>
      <c r="C2808" t="s">
        <v>16</v>
      </c>
      <c r="D2808">
        <v>235</v>
      </c>
      <c r="E2808" t="s">
        <v>2916</v>
      </c>
      <c r="F2808">
        <v>5419</v>
      </c>
      <c r="G2808" t="s">
        <v>18</v>
      </c>
      <c r="H2808">
        <v>27</v>
      </c>
      <c r="I2808" t="s">
        <v>19</v>
      </c>
      <c r="J2808">
        <v>1999</v>
      </c>
      <c r="K2808">
        <v>1999</v>
      </c>
      <c r="L2808" t="s">
        <v>20</v>
      </c>
      <c r="M2808">
        <v>26973</v>
      </c>
      <c r="N2808">
        <v>206</v>
      </c>
    </row>
    <row r="2809" spans="1:14" x14ac:dyDescent="0.35">
      <c r="A2809" t="s">
        <v>2924</v>
      </c>
      <c r="B2809" t="s">
        <v>15</v>
      </c>
      <c r="C2809" t="s">
        <v>16</v>
      </c>
      <c r="D2809">
        <v>235</v>
      </c>
      <c r="E2809" t="s">
        <v>2916</v>
      </c>
      <c r="F2809">
        <v>5419</v>
      </c>
      <c r="G2809" t="s">
        <v>18</v>
      </c>
      <c r="H2809">
        <v>27</v>
      </c>
      <c r="I2809" t="s">
        <v>19</v>
      </c>
      <c r="J2809">
        <v>2000</v>
      </c>
      <c r="K2809">
        <v>2000</v>
      </c>
      <c r="L2809" t="s">
        <v>20</v>
      </c>
      <c r="M2809">
        <v>35224</v>
      </c>
      <c r="N2809">
        <v>206</v>
      </c>
    </row>
    <row r="2810" spans="1:14" x14ac:dyDescent="0.35">
      <c r="A2810" t="s">
        <v>2925</v>
      </c>
      <c r="B2810" t="s">
        <v>15</v>
      </c>
      <c r="C2810" t="s">
        <v>16</v>
      </c>
      <c r="D2810">
        <v>235</v>
      </c>
      <c r="E2810" t="s">
        <v>2916</v>
      </c>
      <c r="F2810">
        <v>5419</v>
      </c>
      <c r="G2810" t="s">
        <v>18</v>
      </c>
      <c r="H2810">
        <v>27</v>
      </c>
      <c r="I2810" t="s">
        <v>19</v>
      </c>
      <c r="J2810">
        <v>2001</v>
      </c>
      <c r="K2810">
        <v>2001</v>
      </c>
      <c r="L2810" t="s">
        <v>20</v>
      </c>
      <c r="M2810">
        <v>23256</v>
      </c>
      <c r="N2810">
        <v>206</v>
      </c>
    </row>
    <row r="2811" spans="1:14" x14ac:dyDescent="0.35">
      <c r="A2811" t="s">
        <v>2926</v>
      </c>
      <c r="B2811" t="s">
        <v>15</v>
      </c>
      <c r="C2811" t="s">
        <v>16</v>
      </c>
      <c r="D2811">
        <v>235</v>
      </c>
      <c r="E2811" t="s">
        <v>2916</v>
      </c>
      <c r="F2811">
        <v>5419</v>
      </c>
      <c r="G2811" t="s">
        <v>18</v>
      </c>
      <c r="H2811">
        <v>27</v>
      </c>
      <c r="I2811" t="s">
        <v>19</v>
      </c>
      <c r="J2811">
        <v>2002</v>
      </c>
      <c r="K2811">
        <v>2002</v>
      </c>
      <c r="L2811" t="s">
        <v>20</v>
      </c>
      <c r="M2811">
        <v>52877</v>
      </c>
      <c r="N2811">
        <v>206</v>
      </c>
    </row>
    <row r="2812" spans="1:14" x14ac:dyDescent="0.35">
      <c r="A2812" t="s">
        <v>2927</v>
      </c>
      <c r="B2812" t="s">
        <v>15</v>
      </c>
      <c r="C2812" t="s">
        <v>16</v>
      </c>
      <c r="D2812">
        <v>235</v>
      </c>
      <c r="E2812" t="s">
        <v>2916</v>
      </c>
      <c r="F2812">
        <v>5419</v>
      </c>
      <c r="G2812" t="s">
        <v>18</v>
      </c>
      <c r="H2812">
        <v>27</v>
      </c>
      <c r="I2812" t="s">
        <v>19</v>
      </c>
      <c r="J2812">
        <v>2004</v>
      </c>
      <c r="K2812">
        <v>2004</v>
      </c>
      <c r="L2812" t="s">
        <v>20</v>
      </c>
      <c r="M2812">
        <v>28453</v>
      </c>
      <c r="N2812">
        <v>206</v>
      </c>
    </row>
    <row r="2813" spans="1:14" x14ac:dyDescent="0.35">
      <c r="A2813" t="s">
        <v>2928</v>
      </c>
      <c r="B2813" t="s">
        <v>15</v>
      </c>
      <c r="C2813" t="s">
        <v>16</v>
      </c>
      <c r="D2813">
        <v>235</v>
      </c>
      <c r="E2813" t="s">
        <v>2916</v>
      </c>
      <c r="F2813">
        <v>5419</v>
      </c>
      <c r="G2813" t="s">
        <v>18</v>
      </c>
      <c r="H2813">
        <v>27</v>
      </c>
      <c r="I2813" t="s">
        <v>19</v>
      </c>
      <c r="J2813">
        <v>2005</v>
      </c>
      <c r="K2813">
        <v>2005</v>
      </c>
      <c r="L2813" t="s">
        <v>20</v>
      </c>
      <c r="M2813">
        <v>32717</v>
      </c>
      <c r="N2813">
        <v>206</v>
      </c>
    </row>
    <row r="2814" spans="1:14" x14ac:dyDescent="0.35">
      <c r="A2814" t="s">
        <v>2929</v>
      </c>
      <c r="B2814" t="s">
        <v>15</v>
      </c>
      <c r="C2814" t="s">
        <v>16</v>
      </c>
      <c r="D2814">
        <v>235</v>
      </c>
      <c r="E2814" t="s">
        <v>2916</v>
      </c>
      <c r="F2814">
        <v>5419</v>
      </c>
      <c r="G2814" t="s">
        <v>18</v>
      </c>
      <c r="H2814">
        <v>27</v>
      </c>
      <c r="I2814" t="s">
        <v>19</v>
      </c>
      <c r="J2814">
        <v>2006</v>
      </c>
      <c r="K2814">
        <v>2006</v>
      </c>
      <c r="L2814" t="s">
        <v>20</v>
      </c>
      <c r="M2814">
        <v>36927</v>
      </c>
      <c r="N2814">
        <v>206</v>
      </c>
    </row>
    <row r="2815" spans="1:14" x14ac:dyDescent="0.35">
      <c r="A2815" t="s">
        <v>2930</v>
      </c>
      <c r="B2815" t="s">
        <v>15</v>
      </c>
      <c r="C2815" t="s">
        <v>16</v>
      </c>
      <c r="D2815">
        <v>235</v>
      </c>
      <c r="E2815" t="s">
        <v>2916</v>
      </c>
      <c r="F2815">
        <v>5419</v>
      </c>
      <c r="G2815" t="s">
        <v>18</v>
      </c>
      <c r="H2815">
        <v>27</v>
      </c>
      <c r="I2815" t="s">
        <v>19</v>
      </c>
      <c r="J2815">
        <v>2007</v>
      </c>
      <c r="K2815">
        <v>2007</v>
      </c>
      <c r="L2815" t="s">
        <v>20</v>
      </c>
      <c r="M2815">
        <v>41208</v>
      </c>
      <c r="N2815">
        <v>206</v>
      </c>
    </row>
    <row r="2816" spans="1:14" x14ac:dyDescent="0.35">
      <c r="A2816" t="s">
        <v>2931</v>
      </c>
      <c r="B2816" t="s">
        <v>15</v>
      </c>
      <c r="C2816" t="s">
        <v>16</v>
      </c>
      <c r="D2816">
        <v>235</v>
      </c>
      <c r="E2816" t="s">
        <v>2916</v>
      </c>
      <c r="F2816">
        <v>5419</v>
      </c>
      <c r="G2816" t="s">
        <v>18</v>
      </c>
      <c r="H2816">
        <v>27</v>
      </c>
      <c r="I2816" t="s">
        <v>19</v>
      </c>
      <c r="J2816">
        <v>2008</v>
      </c>
      <c r="K2816">
        <v>2008</v>
      </c>
      <c r="L2816" t="s">
        <v>20</v>
      </c>
      <c r="M2816">
        <v>33639</v>
      </c>
      <c r="N2816">
        <v>206</v>
      </c>
    </row>
    <row r="2817" spans="1:14" x14ac:dyDescent="0.35">
      <c r="A2817" t="s">
        <v>2932</v>
      </c>
      <c r="B2817" t="s">
        <v>15</v>
      </c>
      <c r="C2817" t="s">
        <v>16</v>
      </c>
      <c r="D2817">
        <v>235</v>
      </c>
      <c r="E2817" t="s">
        <v>2916</v>
      </c>
      <c r="F2817">
        <v>5419</v>
      </c>
      <c r="G2817" t="s">
        <v>18</v>
      </c>
      <c r="H2817">
        <v>27</v>
      </c>
      <c r="I2817" t="s">
        <v>19</v>
      </c>
      <c r="J2817">
        <v>2009</v>
      </c>
      <c r="K2817">
        <v>2009</v>
      </c>
      <c r="L2817" t="s">
        <v>20</v>
      </c>
      <c r="M2817">
        <v>44656</v>
      </c>
      <c r="N2817">
        <v>206</v>
      </c>
    </row>
    <row r="2818" spans="1:14" x14ac:dyDescent="0.35">
      <c r="A2818" t="s">
        <v>2933</v>
      </c>
      <c r="B2818" t="s">
        <v>15</v>
      </c>
      <c r="C2818" t="s">
        <v>16</v>
      </c>
      <c r="D2818">
        <v>235</v>
      </c>
      <c r="E2818" t="s">
        <v>2916</v>
      </c>
      <c r="F2818">
        <v>5419</v>
      </c>
      <c r="G2818" t="s">
        <v>18</v>
      </c>
      <c r="H2818">
        <v>27</v>
      </c>
      <c r="I2818" t="s">
        <v>19</v>
      </c>
      <c r="J2818">
        <v>2010</v>
      </c>
      <c r="K2818">
        <v>2010</v>
      </c>
      <c r="L2818" t="s">
        <v>20</v>
      </c>
      <c r="M2818">
        <v>36098</v>
      </c>
      <c r="N2818">
        <v>206</v>
      </c>
    </row>
    <row r="2819" spans="1:14" x14ac:dyDescent="0.35">
      <c r="A2819" t="s">
        <v>2934</v>
      </c>
      <c r="B2819" t="s">
        <v>15</v>
      </c>
      <c r="C2819" t="s">
        <v>16</v>
      </c>
      <c r="D2819">
        <v>235</v>
      </c>
      <c r="E2819" t="s">
        <v>2916</v>
      </c>
      <c r="F2819">
        <v>5419</v>
      </c>
      <c r="G2819" t="s">
        <v>18</v>
      </c>
      <c r="H2819">
        <v>27</v>
      </c>
      <c r="I2819" t="s">
        <v>19</v>
      </c>
      <c r="J2819">
        <v>2011</v>
      </c>
      <c r="K2819">
        <v>2011</v>
      </c>
      <c r="L2819" t="s">
        <v>20</v>
      </c>
      <c r="M2819">
        <v>51843</v>
      </c>
      <c r="N2819">
        <v>206</v>
      </c>
    </row>
    <row r="2820" spans="1:14" x14ac:dyDescent="0.35">
      <c r="A2820" t="s">
        <v>2935</v>
      </c>
      <c r="B2820" t="s">
        <v>15</v>
      </c>
      <c r="C2820" t="s">
        <v>16</v>
      </c>
      <c r="D2820">
        <v>235</v>
      </c>
      <c r="E2820" t="s">
        <v>2916</v>
      </c>
      <c r="F2820">
        <v>5419</v>
      </c>
      <c r="G2820" t="s">
        <v>18</v>
      </c>
      <c r="H2820">
        <v>27</v>
      </c>
      <c r="I2820" t="s">
        <v>19</v>
      </c>
      <c r="J2820">
        <v>2012</v>
      </c>
      <c r="K2820">
        <v>2012</v>
      </c>
      <c r="L2820" t="s">
        <v>20</v>
      </c>
      <c r="M2820">
        <v>42689</v>
      </c>
      <c r="N2820">
        <v>206</v>
      </c>
    </row>
    <row r="2821" spans="1:14" x14ac:dyDescent="0.35">
      <c r="A2821" t="s">
        <v>2936</v>
      </c>
      <c r="B2821" t="s">
        <v>15</v>
      </c>
      <c r="C2821" t="s">
        <v>16</v>
      </c>
      <c r="D2821">
        <v>235</v>
      </c>
      <c r="E2821" t="s">
        <v>2916</v>
      </c>
      <c r="F2821">
        <v>5419</v>
      </c>
      <c r="G2821" t="s">
        <v>18</v>
      </c>
      <c r="H2821">
        <v>27</v>
      </c>
      <c r="I2821" t="s">
        <v>19</v>
      </c>
      <c r="J2821">
        <v>2013</v>
      </c>
      <c r="K2821">
        <v>2013</v>
      </c>
      <c r="L2821" t="s">
        <v>20</v>
      </c>
      <c r="M2821">
        <v>75773</v>
      </c>
      <c r="N2821">
        <v>206</v>
      </c>
    </row>
    <row r="2822" spans="1:14" x14ac:dyDescent="0.35">
      <c r="A2822" t="s">
        <v>2937</v>
      </c>
      <c r="B2822" t="s">
        <v>15</v>
      </c>
      <c r="C2822" t="s">
        <v>16</v>
      </c>
      <c r="D2822">
        <v>235</v>
      </c>
      <c r="E2822" t="s">
        <v>2916</v>
      </c>
      <c r="F2822">
        <v>5419</v>
      </c>
      <c r="G2822" t="s">
        <v>18</v>
      </c>
      <c r="H2822">
        <v>27</v>
      </c>
      <c r="I2822" t="s">
        <v>19</v>
      </c>
      <c r="J2822">
        <v>2014</v>
      </c>
      <c r="K2822">
        <v>2014</v>
      </c>
      <c r="L2822" t="s">
        <v>20</v>
      </c>
      <c r="M2822">
        <v>72971</v>
      </c>
      <c r="N2822">
        <v>206</v>
      </c>
    </row>
    <row r="2823" spans="1:14" x14ac:dyDescent="0.35">
      <c r="A2823" t="s">
        <v>2938</v>
      </c>
      <c r="B2823" t="s">
        <v>15</v>
      </c>
      <c r="C2823" t="s">
        <v>16</v>
      </c>
      <c r="D2823">
        <v>235</v>
      </c>
      <c r="E2823" t="s">
        <v>2916</v>
      </c>
      <c r="F2823">
        <v>5419</v>
      </c>
      <c r="G2823" t="s">
        <v>18</v>
      </c>
      <c r="H2823">
        <v>27</v>
      </c>
      <c r="I2823" t="s">
        <v>19</v>
      </c>
      <c r="J2823">
        <v>2015</v>
      </c>
      <c r="K2823">
        <v>2015</v>
      </c>
      <c r="L2823" t="s">
        <v>20</v>
      </c>
      <c r="M2823">
        <v>60389</v>
      </c>
      <c r="N2823">
        <v>206</v>
      </c>
    </row>
    <row r="2824" spans="1:14" x14ac:dyDescent="0.35">
      <c r="A2824" t="s">
        <v>2939</v>
      </c>
      <c r="B2824" t="s">
        <v>15</v>
      </c>
      <c r="C2824" t="s">
        <v>16</v>
      </c>
      <c r="D2824">
        <v>235</v>
      </c>
      <c r="E2824" t="s">
        <v>2916</v>
      </c>
      <c r="F2824">
        <v>5419</v>
      </c>
      <c r="G2824" t="s">
        <v>18</v>
      </c>
      <c r="H2824">
        <v>27</v>
      </c>
      <c r="I2824" t="s">
        <v>19</v>
      </c>
      <c r="J2824">
        <v>2016</v>
      </c>
      <c r="K2824">
        <v>2016</v>
      </c>
      <c r="L2824" t="s">
        <v>20</v>
      </c>
      <c r="M2824">
        <v>29322</v>
      </c>
      <c r="N2824">
        <v>206</v>
      </c>
    </row>
    <row r="2825" spans="1:14" x14ac:dyDescent="0.35">
      <c r="A2825" t="s">
        <v>2940</v>
      </c>
      <c r="B2825" t="s">
        <v>15</v>
      </c>
      <c r="C2825" t="s">
        <v>16</v>
      </c>
      <c r="D2825">
        <v>251</v>
      </c>
      <c r="E2825" t="s">
        <v>2941</v>
      </c>
      <c r="F2825">
        <v>5419</v>
      </c>
      <c r="G2825" t="s">
        <v>18</v>
      </c>
      <c r="H2825">
        <v>27</v>
      </c>
      <c r="I2825" t="s">
        <v>19</v>
      </c>
      <c r="J2825">
        <v>1985</v>
      </c>
      <c r="K2825">
        <v>1985</v>
      </c>
      <c r="L2825" t="s">
        <v>20</v>
      </c>
      <c r="M2825">
        <v>10497</v>
      </c>
      <c r="N2825">
        <v>1020</v>
      </c>
    </row>
    <row r="2826" spans="1:14" x14ac:dyDescent="0.35">
      <c r="A2826" t="s">
        <v>2942</v>
      </c>
      <c r="B2826" t="s">
        <v>15</v>
      </c>
      <c r="C2826" t="s">
        <v>16</v>
      </c>
      <c r="D2826">
        <v>251</v>
      </c>
      <c r="E2826" t="s">
        <v>2941</v>
      </c>
      <c r="F2826">
        <v>5419</v>
      </c>
      <c r="G2826" t="s">
        <v>18</v>
      </c>
      <c r="H2826">
        <v>27</v>
      </c>
      <c r="I2826" t="s">
        <v>19</v>
      </c>
      <c r="J2826">
        <v>1986</v>
      </c>
      <c r="K2826">
        <v>1986</v>
      </c>
      <c r="L2826" t="s">
        <v>20</v>
      </c>
      <c r="M2826">
        <v>10772</v>
      </c>
      <c r="N2826">
        <v>1020</v>
      </c>
    </row>
    <row r="2827" spans="1:14" x14ac:dyDescent="0.35">
      <c r="A2827" t="s">
        <v>2943</v>
      </c>
      <c r="B2827" t="s">
        <v>15</v>
      </c>
      <c r="C2827" t="s">
        <v>16</v>
      </c>
      <c r="D2827">
        <v>251</v>
      </c>
      <c r="E2827" t="s">
        <v>2941</v>
      </c>
      <c r="F2827">
        <v>5419</v>
      </c>
      <c r="G2827" t="s">
        <v>18</v>
      </c>
      <c r="H2827">
        <v>27</v>
      </c>
      <c r="I2827" t="s">
        <v>19</v>
      </c>
      <c r="J2827">
        <v>1987</v>
      </c>
      <c r="K2827">
        <v>1987</v>
      </c>
      <c r="L2827" t="s">
        <v>20</v>
      </c>
      <c r="M2827">
        <v>9486</v>
      </c>
      <c r="N2827">
        <v>1020</v>
      </c>
    </row>
    <row r="2828" spans="1:14" x14ac:dyDescent="0.35">
      <c r="A2828" t="s">
        <v>2944</v>
      </c>
      <c r="B2828" t="s">
        <v>15</v>
      </c>
      <c r="C2828" t="s">
        <v>16</v>
      </c>
      <c r="D2828">
        <v>251</v>
      </c>
      <c r="E2828" t="s">
        <v>2941</v>
      </c>
      <c r="F2828">
        <v>5419</v>
      </c>
      <c r="G2828" t="s">
        <v>18</v>
      </c>
      <c r="H2828">
        <v>27</v>
      </c>
      <c r="I2828" t="s">
        <v>19</v>
      </c>
      <c r="J2828">
        <v>1989</v>
      </c>
      <c r="K2828">
        <v>1989</v>
      </c>
      <c r="L2828" t="s">
        <v>20</v>
      </c>
      <c r="M2828">
        <v>9159</v>
      </c>
      <c r="N2828">
        <v>1020</v>
      </c>
    </row>
    <row r="2829" spans="1:14" x14ac:dyDescent="0.35">
      <c r="A2829" t="s">
        <v>2945</v>
      </c>
      <c r="B2829" t="s">
        <v>15</v>
      </c>
      <c r="C2829" t="s">
        <v>16</v>
      </c>
      <c r="D2829">
        <v>251</v>
      </c>
      <c r="E2829" t="s">
        <v>2941</v>
      </c>
      <c r="F2829">
        <v>5419</v>
      </c>
      <c r="G2829" t="s">
        <v>18</v>
      </c>
      <c r="H2829">
        <v>27</v>
      </c>
      <c r="I2829" t="s">
        <v>19</v>
      </c>
      <c r="J2829">
        <v>1990</v>
      </c>
      <c r="K2829">
        <v>1990</v>
      </c>
      <c r="L2829" t="s">
        <v>20</v>
      </c>
      <c r="M2829">
        <v>9664</v>
      </c>
      <c r="N2829">
        <v>1020</v>
      </c>
    </row>
    <row r="2830" spans="1:14" x14ac:dyDescent="0.35">
      <c r="A2830" t="s">
        <v>2946</v>
      </c>
      <c r="B2830" t="s">
        <v>15</v>
      </c>
      <c r="C2830" t="s">
        <v>16</v>
      </c>
      <c r="D2830">
        <v>251</v>
      </c>
      <c r="E2830" t="s">
        <v>2941</v>
      </c>
      <c r="F2830">
        <v>5419</v>
      </c>
      <c r="G2830" t="s">
        <v>18</v>
      </c>
      <c r="H2830">
        <v>27</v>
      </c>
      <c r="I2830" t="s">
        <v>19</v>
      </c>
      <c r="J2830">
        <v>1991</v>
      </c>
      <c r="K2830">
        <v>1991</v>
      </c>
      <c r="L2830" t="s">
        <v>20</v>
      </c>
      <c r="M2830">
        <v>10857</v>
      </c>
      <c r="N2830">
        <v>1020</v>
      </c>
    </row>
    <row r="2831" spans="1:14" x14ac:dyDescent="0.35">
      <c r="A2831" t="s">
        <v>2947</v>
      </c>
      <c r="B2831" t="s">
        <v>15</v>
      </c>
      <c r="C2831" t="s">
        <v>16</v>
      </c>
      <c r="D2831">
        <v>251</v>
      </c>
      <c r="E2831" t="s">
        <v>2941</v>
      </c>
      <c r="F2831">
        <v>5419</v>
      </c>
      <c r="G2831" t="s">
        <v>18</v>
      </c>
      <c r="H2831">
        <v>27</v>
      </c>
      <c r="I2831" t="s">
        <v>19</v>
      </c>
      <c r="J2831">
        <v>1992</v>
      </c>
      <c r="K2831">
        <v>1992</v>
      </c>
      <c r="L2831" t="s">
        <v>20</v>
      </c>
      <c r="M2831">
        <v>5764</v>
      </c>
      <c r="N2831">
        <v>1020</v>
      </c>
    </row>
    <row r="2832" spans="1:14" x14ac:dyDescent="0.35">
      <c r="A2832" t="s">
        <v>2948</v>
      </c>
      <c r="B2832" t="s">
        <v>15</v>
      </c>
      <c r="C2832" t="s">
        <v>16</v>
      </c>
      <c r="D2832">
        <v>251</v>
      </c>
      <c r="E2832" t="s">
        <v>2941</v>
      </c>
      <c r="F2832">
        <v>5419</v>
      </c>
      <c r="G2832" t="s">
        <v>18</v>
      </c>
      <c r="H2832">
        <v>27</v>
      </c>
      <c r="I2832" t="s">
        <v>19</v>
      </c>
      <c r="J2832">
        <v>1993</v>
      </c>
      <c r="K2832">
        <v>1993</v>
      </c>
      <c r="L2832" t="s">
        <v>20</v>
      </c>
      <c r="M2832">
        <v>10138</v>
      </c>
      <c r="N2832">
        <v>1020</v>
      </c>
    </row>
    <row r="2833" spans="1:14" x14ac:dyDescent="0.35">
      <c r="A2833" t="s">
        <v>2949</v>
      </c>
      <c r="B2833" t="s">
        <v>15</v>
      </c>
      <c r="C2833" t="s">
        <v>16</v>
      </c>
      <c r="D2833">
        <v>251</v>
      </c>
      <c r="E2833" t="s">
        <v>2941</v>
      </c>
      <c r="F2833">
        <v>5419</v>
      </c>
      <c r="G2833" t="s">
        <v>18</v>
      </c>
      <c r="H2833">
        <v>27</v>
      </c>
      <c r="I2833" t="s">
        <v>19</v>
      </c>
      <c r="J2833">
        <v>1994</v>
      </c>
      <c r="K2833">
        <v>1994</v>
      </c>
      <c r="L2833" t="s">
        <v>20</v>
      </c>
      <c r="M2833">
        <v>8859</v>
      </c>
      <c r="N2833">
        <v>1020</v>
      </c>
    </row>
    <row r="2834" spans="1:14" x14ac:dyDescent="0.35">
      <c r="A2834" t="s">
        <v>2950</v>
      </c>
      <c r="B2834" t="s">
        <v>15</v>
      </c>
      <c r="C2834" t="s">
        <v>16</v>
      </c>
      <c r="D2834">
        <v>251</v>
      </c>
      <c r="E2834" t="s">
        <v>2941</v>
      </c>
      <c r="F2834">
        <v>5419</v>
      </c>
      <c r="G2834" t="s">
        <v>18</v>
      </c>
      <c r="H2834">
        <v>27</v>
      </c>
      <c r="I2834" t="s">
        <v>19</v>
      </c>
      <c r="J2834">
        <v>1995</v>
      </c>
      <c r="K2834">
        <v>1995</v>
      </c>
      <c r="L2834" t="s">
        <v>20</v>
      </c>
      <c r="M2834">
        <v>12426</v>
      </c>
      <c r="N2834">
        <v>1020</v>
      </c>
    </row>
    <row r="2835" spans="1:14" x14ac:dyDescent="0.35">
      <c r="A2835" t="s">
        <v>2951</v>
      </c>
      <c r="B2835" t="s">
        <v>15</v>
      </c>
      <c r="C2835" t="s">
        <v>16</v>
      </c>
      <c r="D2835">
        <v>251</v>
      </c>
      <c r="E2835" t="s">
        <v>2941</v>
      </c>
      <c r="F2835">
        <v>5419</v>
      </c>
      <c r="G2835" t="s">
        <v>18</v>
      </c>
      <c r="H2835">
        <v>27</v>
      </c>
      <c r="I2835" t="s">
        <v>19</v>
      </c>
      <c r="J2835">
        <v>1996</v>
      </c>
      <c r="K2835">
        <v>1996</v>
      </c>
      <c r="L2835" t="s">
        <v>20</v>
      </c>
      <c r="M2835">
        <v>13447</v>
      </c>
      <c r="N2835">
        <v>1020</v>
      </c>
    </row>
    <row r="2836" spans="1:14" x14ac:dyDescent="0.35">
      <c r="A2836" t="s">
        <v>2952</v>
      </c>
      <c r="B2836" t="s">
        <v>15</v>
      </c>
      <c r="C2836" t="s">
        <v>16</v>
      </c>
      <c r="D2836">
        <v>251</v>
      </c>
      <c r="E2836" t="s">
        <v>2941</v>
      </c>
      <c r="F2836">
        <v>5419</v>
      </c>
      <c r="G2836" t="s">
        <v>18</v>
      </c>
      <c r="H2836">
        <v>27</v>
      </c>
      <c r="I2836" t="s">
        <v>19</v>
      </c>
      <c r="J2836">
        <v>1997</v>
      </c>
      <c r="K2836">
        <v>1997</v>
      </c>
      <c r="L2836" t="s">
        <v>20</v>
      </c>
      <c r="M2836">
        <v>10049</v>
      </c>
      <c r="N2836">
        <v>1020</v>
      </c>
    </row>
    <row r="2837" spans="1:14" x14ac:dyDescent="0.35">
      <c r="A2837" t="s">
        <v>2953</v>
      </c>
      <c r="B2837" t="s">
        <v>15</v>
      </c>
      <c r="C2837" t="s">
        <v>16</v>
      </c>
      <c r="D2837">
        <v>251</v>
      </c>
      <c r="E2837" t="s">
        <v>2941</v>
      </c>
      <c r="F2837">
        <v>5419</v>
      </c>
      <c r="G2837" t="s">
        <v>18</v>
      </c>
      <c r="H2837">
        <v>27</v>
      </c>
      <c r="I2837" t="s">
        <v>19</v>
      </c>
      <c r="J2837">
        <v>1998</v>
      </c>
      <c r="K2837">
        <v>1998</v>
      </c>
      <c r="L2837" t="s">
        <v>20</v>
      </c>
      <c r="M2837">
        <v>7059</v>
      </c>
      <c r="N2837">
        <v>1020</v>
      </c>
    </row>
    <row r="2838" spans="1:14" x14ac:dyDescent="0.35">
      <c r="A2838" t="s">
        <v>2954</v>
      </c>
      <c r="B2838" t="s">
        <v>15</v>
      </c>
      <c r="C2838" t="s">
        <v>16</v>
      </c>
      <c r="D2838">
        <v>251</v>
      </c>
      <c r="E2838" t="s">
        <v>2941</v>
      </c>
      <c r="F2838">
        <v>5419</v>
      </c>
      <c r="G2838" t="s">
        <v>18</v>
      </c>
      <c r="H2838">
        <v>27</v>
      </c>
      <c r="I2838" t="s">
        <v>19</v>
      </c>
      <c r="J2838">
        <v>1999</v>
      </c>
      <c r="K2838">
        <v>1999</v>
      </c>
      <c r="L2838" t="s">
        <v>20</v>
      </c>
      <c r="M2838">
        <v>9119</v>
      </c>
      <c r="N2838">
        <v>1020</v>
      </c>
    </row>
    <row r="2839" spans="1:14" x14ac:dyDescent="0.35">
      <c r="A2839" t="s">
        <v>2955</v>
      </c>
      <c r="B2839" t="s">
        <v>15</v>
      </c>
      <c r="C2839" t="s">
        <v>16</v>
      </c>
      <c r="D2839">
        <v>251</v>
      </c>
      <c r="E2839" t="s">
        <v>2941</v>
      </c>
      <c r="F2839">
        <v>5419</v>
      </c>
      <c r="G2839" t="s">
        <v>18</v>
      </c>
      <c r="H2839">
        <v>27</v>
      </c>
      <c r="I2839" t="s">
        <v>19</v>
      </c>
      <c r="J2839">
        <v>2000</v>
      </c>
      <c r="K2839">
        <v>2000</v>
      </c>
      <c r="L2839" t="s">
        <v>20</v>
      </c>
      <c r="M2839">
        <v>11333</v>
      </c>
      <c r="N2839">
        <v>1020</v>
      </c>
    </row>
    <row r="2840" spans="1:14" x14ac:dyDescent="0.35">
      <c r="A2840" t="s">
        <v>2956</v>
      </c>
      <c r="B2840" t="s">
        <v>15</v>
      </c>
      <c r="C2840" t="s">
        <v>16</v>
      </c>
      <c r="D2840">
        <v>251</v>
      </c>
      <c r="E2840" t="s">
        <v>2941</v>
      </c>
      <c r="F2840">
        <v>5419</v>
      </c>
      <c r="G2840" t="s">
        <v>18</v>
      </c>
      <c r="H2840">
        <v>27</v>
      </c>
      <c r="I2840" t="s">
        <v>19</v>
      </c>
      <c r="J2840">
        <v>2001</v>
      </c>
      <c r="K2840">
        <v>2001</v>
      </c>
      <c r="L2840" t="s">
        <v>20</v>
      </c>
      <c r="M2840">
        <v>12562</v>
      </c>
      <c r="N2840">
        <v>1020</v>
      </c>
    </row>
    <row r="2841" spans="1:14" x14ac:dyDescent="0.35">
      <c r="A2841" t="s">
        <v>2957</v>
      </c>
      <c r="B2841" t="s">
        <v>15</v>
      </c>
      <c r="C2841" t="s">
        <v>16</v>
      </c>
      <c r="D2841">
        <v>251</v>
      </c>
      <c r="E2841" t="s">
        <v>2941</v>
      </c>
      <c r="F2841">
        <v>5419</v>
      </c>
      <c r="G2841" t="s">
        <v>18</v>
      </c>
      <c r="H2841">
        <v>27</v>
      </c>
      <c r="I2841" t="s">
        <v>19</v>
      </c>
      <c r="J2841">
        <v>2002</v>
      </c>
      <c r="K2841">
        <v>2002</v>
      </c>
      <c r="L2841" t="s">
        <v>20</v>
      </c>
      <c r="M2841">
        <v>12857</v>
      </c>
      <c r="N2841">
        <v>1020</v>
      </c>
    </row>
    <row r="2842" spans="1:14" x14ac:dyDescent="0.35">
      <c r="A2842" t="s">
        <v>2958</v>
      </c>
      <c r="B2842" t="s">
        <v>15</v>
      </c>
      <c r="C2842" t="s">
        <v>16</v>
      </c>
      <c r="D2842">
        <v>251</v>
      </c>
      <c r="E2842" t="s">
        <v>2941</v>
      </c>
      <c r="F2842">
        <v>5419</v>
      </c>
      <c r="G2842" t="s">
        <v>18</v>
      </c>
      <c r="H2842">
        <v>27</v>
      </c>
      <c r="I2842" t="s">
        <v>19</v>
      </c>
      <c r="J2842">
        <v>2004</v>
      </c>
      <c r="K2842">
        <v>2004</v>
      </c>
      <c r="L2842" t="s">
        <v>20</v>
      </c>
      <c r="M2842">
        <v>13751</v>
      </c>
      <c r="N2842">
        <v>1020</v>
      </c>
    </row>
    <row r="2843" spans="1:14" x14ac:dyDescent="0.35">
      <c r="A2843" t="s">
        <v>2959</v>
      </c>
      <c r="B2843" t="s">
        <v>15</v>
      </c>
      <c r="C2843" t="s">
        <v>16</v>
      </c>
      <c r="D2843">
        <v>251</v>
      </c>
      <c r="E2843" t="s">
        <v>2941</v>
      </c>
      <c r="F2843">
        <v>5419</v>
      </c>
      <c r="G2843" t="s">
        <v>18</v>
      </c>
      <c r="H2843">
        <v>27</v>
      </c>
      <c r="I2843" t="s">
        <v>19</v>
      </c>
      <c r="J2843">
        <v>2005</v>
      </c>
      <c r="K2843">
        <v>2005</v>
      </c>
      <c r="L2843" t="s">
        <v>20</v>
      </c>
      <c r="M2843">
        <v>12864</v>
      </c>
      <c r="N2843">
        <v>1020</v>
      </c>
    </row>
    <row r="2844" spans="1:14" x14ac:dyDescent="0.35">
      <c r="A2844" t="s">
        <v>2960</v>
      </c>
      <c r="B2844" t="s">
        <v>15</v>
      </c>
      <c r="C2844" t="s">
        <v>16</v>
      </c>
      <c r="D2844">
        <v>251</v>
      </c>
      <c r="E2844" t="s">
        <v>2941</v>
      </c>
      <c r="F2844">
        <v>5419</v>
      </c>
      <c r="G2844" t="s">
        <v>18</v>
      </c>
      <c r="H2844">
        <v>27</v>
      </c>
      <c r="I2844" t="s">
        <v>19</v>
      </c>
      <c r="J2844">
        <v>2006</v>
      </c>
      <c r="K2844">
        <v>2006</v>
      </c>
      <c r="L2844" t="s">
        <v>20</v>
      </c>
      <c r="M2844">
        <v>9726</v>
      </c>
      <c r="N2844">
        <v>1020</v>
      </c>
    </row>
    <row r="2845" spans="1:14" x14ac:dyDescent="0.35">
      <c r="A2845" t="s">
        <v>2961</v>
      </c>
      <c r="B2845" t="s">
        <v>15</v>
      </c>
      <c r="C2845" t="s">
        <v>16</v>
      </c>
      <c r="D2845">
        <v>251</v>
      </c>
      <c r="E2845" t="s">
        <v>2941</v>
      </c>
      <c r="F2845">
        <v>5419</v>
      </c>
      <c r="G2845" t="s">
        <v>18</v>
      </c>
      <c r="H2845">
        <v>27</v>
      </c>
      <c r="I2845" t="s">
        <v>19</v>
      </c>
      <c r="J2845">
        <v>2007</v>
      </c>
      <c r="K2845">
        <v>2007</v>
      </c>
      <c r="L2845" t="s">
        <v>20</v>
      </c>
      <c r="M2845">
        <v>15126</v>
      </c>
      <c r="N2845">
        <v>1020</v>
      </c>
    </row>
    <row r="2846" spans="1:14" x14ac:dyDescent="0.35">
      <c r="A2846" t="s">
        <v>2962</v>
      </c>
      <c r="B2846" t="s">
        <v>15</v>
      </c>
      <c r="C2846" t="s">
        <v>16</v>
      </c>
      <c r="D2846">
        <v>251</v>
      </c>
      <c r="E2846" t="s">
        <v>2941</v>
      </c>
      <c r="F2846">
        <v>5419</v>
      </c>
      <c r="G2846" t="s">
        <v>18</v>
      </c>
      <c r="H2846">
        <v>27</v>
      </c>
      <c r="I2846" t="s">
        <v>19</v>
      </c>
      <c r="J2846">
        <v>2008</v>
      </c>
      <c r="K2846">
        <v>2008</v>
      </c>
      <c r="L2846" t="s">
        <v>20</v>
      </c>
      <c r="M2846">
        <v>13833</v>
      </c>
      <c r="N2846">
        <v>1020</v>
      </c>
    </row>
    <row r="2847" spans="1:14" x14ac:dyDescent="0.35">
      <c r="A2847" t="s">
        <v>2963</v>
      </c>
      <c r="B2847" t="s">
        <v>15</v>
      </c>
      <c r="C2847" t="s">
        <v>16</v>
      </c>
      <c r="D2847">
        <v>251</v>
      </c>
      <c r="E2847" t="s">
        <v>2941</v>
      </c>
      <c r="F2847">
        <v>5419</v>
      </c>
      <c r="G2847" t="s">
        <v>18</v>
      </c>
      <c r="H2847">
        <v>27</v>
      </c>
      <c r="I2847" t="s">
        <v>19</v>
      </c>
      <c r="J2847">
        <v>2009</v>
      </c>
      <c r="K2847">
        <v>2009</v>
      </c>
      <c r="L2847" t="s">
        <v>20</v>
      </c>
      <c r="M2847">
        <v>16390</v>
      </c>
      <c r="N2847">
        <v>1020</v>
      </c>
    </row>
    <row r="2848" spans="1:14" x14ac:dyDescent="0.35">
      <c r="A2848" t="s">
        <v>2964</v>
      </c>
      <c r="B2848" t="s">
        <v>15</v>
      </c>
      <c r="C2848" t="s">
        <v>16</v>
      </c>
      <c r="D2848">
        <v>251</v>
      </c>
      <c r="E2848" t="s">
        <v>2941</v>
      </c>
      <c r="F2848">
        <v>5419</v>
      </c>
      <c r="G2848" t="s">
        <v>18</v>
      </c>
      <c r="H2848">
        <v>27</v>
      </c>
      <c r="I2848" t="s">
        <v>19</v>
      </c>
      <c r="J2848">
        <v>2010</v>
      </c>
      <c r="K2848">
        <v>2010</v>
      </c>
      <c r="L2848" t="s">
        <v>20</v>
      </c>
      <c r="M2848">
        <v>16778</v>
      </c>
      <c r="N2848">
        <v>1020</v>
      </c>
    </row>
    <row r="2849" spans="1:14" x14ac:dyDescent="0.35">
      <c r="A2849" t="s">
        <v>2965</v>
      </c>
      <c r="B2849" t="s">
        <v>15</v>
      </c>
      <c r="C2849" t="s">
        <v>16</v>
      </c>
      <c r="D2849">
        <v>251</v>
      </c>
      <c r="E2849" t="s">
        <v>2941</v>
      </c>
      <c r="F2849">
        <v>5419</v>
      </c>
      <c r="G2849" t="s">
        <v>18</v>
      </c>
      <c r="H2849">
        <v>27</v>
      </c>
      <c r="I2849" t="s">
        <v>19</v>
      </c>
      <c r="J2849">
        <v>2011</v>
      </c>
      <c r="K2849">
        <v>2011</v>
      </c>
      <c r="L2849" t="s">
        <v>20</v>
      </c>
      <c r="M2849">
        <v>17974</v>
      </c>
      <c r="N2849">
        <v>1020</v>
      </c>
    </row>
    <row r="2850" spans="1:14" x14ac:dyDescent="0.35">
      <c r="A2850" t="s">
        <v>2966</v>
      </c>
      <c r="B2850" t="s">
        <v>15</v>
      </c>
      <c r="C2850" t="s">
        <v>16</v>
      </c>
      <c r="D2850">
        <v>251</v>
      </c>
      <c r="E2850" t="s">
        <v>2941</v>
      </c>
      <c r="F2850">
        <v>5419</v>
      </c>
      <c r="G2850" t="s">
        <v>18</v>
      </c>
      <c r="H2850">
        <v>27</v>
      </c>
      <c r="I2850" t="s">
        <v>19</v>
      </c>
      <c r="J2850">
        <v>2012</v>
      </c>
      <c r="K2850">
        <v>2012</v>
      </c>
      <c r="L2850" t="s">
        <v>20</v>
      </c>
      <c r="M2850">
        <v>17255</v>
      </c>
      <c r="N2850">
        <v>1020</v>
      </c>
    </row>
    <row r="2851" spans="1:14" x14ac:dyDescent="0.35">
      <c r="A2851" t="s">
        <v>2967</v>
      </c>
      <c r="B2851" t="s">
        <v>15</v>
      </c>
      <c r="C2851" t="s">
        <v>16</v>
      </c>
      <c r="D2851">
        <v>251</v>
      </c>
      <c r="E2851" t="s">
        <v>2941</v>
      </c>
      <c r="F2851">
        <v>5419</v>
      </c>
      <c r="G2851" t="s">
        <v>18</v>
      </c>
      <c r="H2851">
        <v>27</v>
      </c>
      <c r="I2851" t="s">
        <v>19</v>
      </c>
      <c r="J2851">
        <v>2013</v>
      </c>
      <c r="K2851">
        <v>2013</v>
      </c>
      <c r="L2851" t="s">
        <v>20</v>
      </c>
      <c r="M2851">
        <v>11617</v>
      </c>
      <c r="N2851">
        <v>1020</v>
      </c>
    </row>
    <row r="2852" spans="1:14" x14ac:dyDescent="0.35">
      <c r="A2852" t="s">
        <v>2968</v>
      </c>
      <c r="B2852" t="s">
        <v>15</v>
      </c>
      <c r="C2852" t="s">
        <v>16</v>
      </c>
      <c r="D2852">
        <v>251</v>
      </c>
      <c r="E2852" t="s">
        <v>2941</v>
      </c>
      <c r="F2852">
        <v>5419</v>
      </c>
      <c r="G2852" t="s">
        <v>18</v>
      </c>
      <c r="H2852">
        <v>27</v>
      </c>
      <c r="I2852" t="s">
        <v>19</v>
      </c>
      <c r="J2852">
        <v>2014</v>
      </c>
      <c r="K2852">
        <v>2014</v>
      </c>
      <c r="L2852" t="s">
        <v>20</v>
      </c>
      <c r="M2852">
        <v>14949</v>
      </c>
      <c r="N2852">
        <v>1020</v>
      </c>
    </row>
    <row r="2853" spans="1:14" x14ac:dyDescent="0.35">
      <c r="A2853" t="s">
        <v>2969</v>
      </c>
      <c r="B2853" t="s">
        <v>15</v>
      </c>
      <c r="C2853" t="s">
        <v>16</v>
      </c>
      <c r="D2853">
        <v>251</v>
      </c>
      <c r="E2853" t="s">
        <v>2941</v>
      </c>
      <c r="F2853">
        <v>5419</v>
      </c>
      <c r="G2853" t="s">
        <v>18</v>
      </c>
      <c r="H2853">
        <v>27</v>
      </c>
      <c r="I2853" t="s">
        <v>19</v>
      </c>
      <c r="J2853">
        <v>2015</v>
      </c>
      <c r="K2853">
        <v>2015</v>
      </c>
      <c r="L2853" t="s">
        <v>20</v>
      </c>
      <c r="M2853">
        <v>14248</v>
      </c>
      <c r="N2853">
        <v>1020</v>
      </c>
    </row>
    <row r="2854" spans="1:14" x14ac:dyDescent="0.35">
      <c r="A2854" t="s">
        <v>2970</v>
      </c>
      <c r="B2854" t="s">
        <v>15</v>
      </c>
      <c r="C2854" t="s">
        <v>16</v>
      </c>
      <c r="D2854">
        <v>251</v>
      </c>
      <c r="E2854" t="s">
        <v>2941</v>
      </c>
      <c r="F2854">
        <v>5419</v>
      </c>
      <c r="G2854" t="s">
        <v>18</v>
      </c>
      <c r="H2854">
        <v>27</v>
      </c>
      <c r="I2854" t="s">
        <v>19</v>
      </c>
      <c r="J2854">
        <v>2016</v>
      </c>
      <c r="K2854">
        <v>2016</v>
      </c>
      <c r="L2854" t="s">
        <v>20</v>
      </c>
      <c r="M2854">
        <v>12077</v>
      </c>
      <c r="N2854">
        <v>1020</v>
      </c>
    </row>
    <row r="2855" spans="1:14" x14ac:dyDescent="0.35">
      <c r="A2855" t="s">
        <v>2971</v>
      </c>
      <c r="B2855" t="s">
        <v>15</v>
      </c>
      <c r="C2855" t="s">
        <v>16</v>
      </c>
      <c r="D2855">
        <v>181</v>
      </c>
      <c r="E2855" t="s">
        <v>2972</v>
      </c>
      <c r="F2855">
        <v>5419</v>
      </c>
      <c r="G2855" t="s">
        <v>18</v>
      </c>
      <c r="H2855">
        <v>27</v>
      </c>
      <c r="I2855" t="s">
        <v>19</v>
      </c>
      <c r="J2855">
        <v>1985</v>
      </c>
      <c r="K2855">
        <v>1985</v>
      </c>
      <c r="L2855" t="s">
        <v>20</v>
      </c>
      <c r="M2855">
        <v>14300</v>
      </c>
      <c r="N2855">
        <v>657</v>
      </c>
    </row>
    <row r="2856" spans="1:14" x14ac:dyDescent="0.35">
      <c r="A2856" t="s">
        <v>2973</v>
      </c>
      <c r="B2856" t="s">
        <v>15</v>
      </c>
      <c r="C2856" t="s">
        <v>16</v>
      </c>
      <c r="D2856">
        <v>181</v>
      </c>
      <c r="E2856" t="s">
        <v>2972</v>
      </c>
      <c r="F2856">
        <v>5419</v>
      </c>
      <c r="G2856" t="s">
        <v>18</v>
      </c>
      <c r="H2856">
        <v>27</v>
      </c>
      <c r="I2856" t="s">
        <v>19</v>
      </c>
      <c r="J2856">
        <v>1986</v>
      </c>
      <c r="K2856">
        <v>1986</v>
      </c>
      <c r="L2856" t="s">
        <v>20</v>
      </c>
      <c r="M2856">
        <v>29100</v>
      </c>
      <c r="N2856">
        <v>657</v>
      </c>
    </row>
    <row r="2857" spans="1:14" x14ac:dyDescent="0.35">
      <c r="A2857" t="s">
        <v>2974</v>
      </c>
      <c r="B2857" t="s">
        <v>15</v>
      </c>
      <c r="C2857" t="s">
        <v>16</v>
      </c>
      <c r="D2857">
        <v>181</v>
      </c>
      <c r="E2857" t="s">
        <v>2972</v>
      </c>
      <c r="F2857">
        <v>5419</v>
      </c>
      <c r="G2857" t="s">
        <v>18</v>
      </c>
      <c r="H2857">
        <v>27</v>
      </c>
      <c r="I2857" t="s">
        <v>19</v>
      </c>
      <c r="J2857">
        <v>1987</v>
      </c>
      <c r="K2857">
        <v>1987</v>
      </c>
      <c r="L2857" t="s">
        <v>20</v>
      </c>
      <c r="M2857">
        <v>28744</v>
      </c>
      <c r="N2857">
        <v>657</v>
      </c>
    </row>
    <row r="2858" spans="1:14" x14ac:dyDescent="0.35">
      <c r="A2858" t="s">
        <v>2975</v>
      </c>
      <c r="B2858" t="s">
        <v>15</v>
      </c>
      <c r="C2858" t="s">
        <v>16</v>
      </c>
      <c r="D2858">
        <v>181</v>
      </c>
      <c r="E2858" t="s">
        <v>2972</v>
      </c>
      <c r="F2858">
        <v>5419</v>
      </c>
      <c r="G2858" t="s">
        <v>18</v>
      </c>
      <c r="H2858">
        <v>27</v>
      </c>
      <c r="I2858" t="s">
        <v>19</v>
      </c>
      <c r="J2858">
        <v>1989</v>
      </c>
      <c r="K2858">
        <v>1989</v>
      </c>
      <c r="L2858" t="s">
        <v>20</v>
      </c>
      <c r="M2858">
        <v>26847</v>
      </c>
      <c r="N2858">
        <v>657</v>
      </c>
    </row>
    <row r="2859" spans="1:14" x14ac:dyDescent="0.35">
      <c r="A2859" t="s">
        <v>2976</v>
      </c>
      <c r="B2859" t="s">
        <v>15</v>
      </c>
      <c r="C2859" t="s">
        <v>16</v>
      </c>
      <c r="D2859">
        <v>181</v>
      </c>
      <c r="E2859" t="s">
        <v>2972</v>
      </c>
      <c r="F2859">
        <v>5419</v>
      </c>
      <c r="G2859" t="s">
        <v>18</v>
      </c>
      <c r="H2859">
        <v>27</v>
      </c>
      <c r="I2859" t="s">
        <v>19</v>
      </c>
      <c r="J2859">
        <v>1990</v>
      </c>
      <c r="K2859">
        <v>1990</v>
      </c>
      <c r="L2859" t="s">
        <v>20</v>
      </c>
      <c r="M2859">
        <v>23400</v>
      </c>
      <c r="N2859">
        <v>657</v>
      </c>
    </row>
    <row r="2860" spans="1:14" x14ac:dyDescent="0.35">
      <c r="A2860" t="s">
        <v>2977</v>
      </c>
      <c r="B2860" t="s">
        <v>15</v>
      </c>
      <c r="C2860" t="s">
        <v>16</v>
      </c>
      <c r="D2860">
        <v>181</v>
      </c>
      <c r="E2860" t="s">
        <v>2972</v>
      </c>
      <c r="F2860">
        <v>5419</v>
      </c>
      <c r="G2860" t="s">
        <v>18</v>
      </c>
      <c r="H2860">
        <v>27</v>
      </c>
      <c r="I2860" t="s">
        <v>19</v>
      </c>
      <c r="J2860">
        <v>1991</v>
      </c>
      <c r="K2860">
        <v>1991</v>
      </c>
      <c r="L2860" t="s">
        <v>20</v>
      </c>
      <c r="M2860">
        <v>22500</v>
      </c>
      <c r="N2860">
        <v>657</v>
      </c>
    </row>
    <row r="2861" spans="1:14" x14ac:dyDescent="0.35">
      <c r="A2861" t="s">
        <v>2978</v>
      </c>
      <c r="B2861" t="s">
        <v>15</v>
      </c>
      <c r="C2861" t="s">
        <v>16</v>
      </c>
      <c r="D2861">
        <v>181</v>
      </c>
      <c r="E2861" t="s">
        <v>2972</v>
      </c>
      <c r="F2861">
        <v>5419</v>
      </c>
      <c r="G2861" t="s">
        <v>18</v>
      </c>
      <c r="H2861">
        <v>27</v>
      </c>
      <c r="I2861" t="s">
        <v>19</v>
      </c>
      <c r="J2861">
        <v>1992</v>
      </c>
      <c r="K2861">
        <v>1992</v>
      </c>
      <c r="L2861" t="s">
        <v>20</v>
      </c>
      <c r="M2861">
        <v>22222</v>
      </c>
      <c r="N2861">
        <v>657</v>
      </c>
    </row>
    <row r="2862" spans="1:14" x14ac:dyDescent="0.35">
      <c r="A2862" t="s">
        <v>2979</v>
      </c>
      <c r="B2862" t="s">
        <v>15</v>
      </c>
      <c r="C2862" t="s">
        <v>16</v>
      </c>
      <c r="D2862">
        <v>181</v>
      </c>
      <c r="E2862" t="s">
        <v>2972</v>
      </c>
      <c r="F2862">
        <v>5419</v>
      </c>
      <c r="G2862" t="s">
        <v>18</v>
      </c>
      <c r="H2862">
        <v>27</v>
      </c>
      <c r="I2862" t="s">
        <v>19</v>
      </c>
      <c r="J2862">
        <v>1993</v>
      </c>
      <c r="K2862">
        <v>1993</v>
      </c>
      <c r="L2862" t="s">
        <v>20</v>
      </c>
      <c r="M2862">
        <v>25000</v>
      </c>
      <c r="N2862">
        <v>657</v>
      </c>
    </row>
    <row r="2863" spans="1:14" x14ac:dyDescent="0.35">
      <c r="A2863" t="s">
        <v>2980</v>
      </c>
      <c r="B2863" t="s">
        <v>15</v>
      </c>
      <c r="C2863" t="s">
        <v>16</v>
      </c>
      <c r="D2863">
        <v>181</v>
      </c>
      <c r="E2863" t="s">
        <v>2972</v>
      </c>
      <c r="F2863">
        <v>5419</v>
      </c>
      <c r="G2863" t="s">
        <v>18</v>
      </c>
      <c r="H2863">
        <v>27</v>
      </c>
      <c r="I2863" t="s">
        <v>19</v>
      </c>
      <c r="J2863">
        <v>1994</v>
      </c>
      <c r="K2863">
        <v>1994</v>
      </c>
      <c r="L2863" t="s">
        <v>20</v>
      </c>
      <c r="M2863">
        <v>23871</v>
      </c>
      <c r="N2863">
        <v>657</v>
      </c>
    </row>
    <row r="2864" spans="1:14" x14ac:dyDescent="0.35">
      <c r="A2864" t="s">
        <v>2981</v>
      </c>
      <c r="B2864" t="s">
        <v>15</v>
      </c>
      <c r="C2864" t="s">
        <v>16</v>
      </c>
      <c r="D2864">
        <v>181</v>
      </c>
      <c r="E2864" t="s">
        <v>2972</v>
      </c>
      <c r="F2864">
        <v>5419</v>
      </c>
      <c r="G2864" t="s">
        <v>18</v>
      </c>
      <c r="H2864">
        <v>27</v>
      </c>
      <c r="I2864" t="s">
        <v>19</v>
      </c>
      <c r="J2864">
        <v>1995</v>
      </c>
      <c r="K2864">
        <v>1995</v>
      </c>
      <c r="L2864" t="s">
        <v>20</v>
      </c>
      <c r="M2864">
        <v>23246</v>
      </c>
      <c r="N2864">
        <v>657</v>
      </c>
    </row>
    <row r="2865" spans="1:14" x14ac:dyDescent="0.35">
      <c r="A2865" t="s">
        <v>2982</v>
      </c>
      <c r="B2865" t="s">
        <v>15</v>
      </c>
      <c r="C2865" t="s">
        <v>16</v>
      </c>
      <c r="D2865">
        <v>181</v>
      </c>
      <c r="E2865" t="s">
        <v>2972</v>
      </c>
      <c r="F2865">
        <v>5419</v>
      </c>
      <c r="G2865" t="s">
        <v>18</v>
      </c>
      <c r="H2865">
        <v>27</v>
      </c>
      <c r="I2865" t="s">
        <v>19</v>
      </c>
      <c r="J2865">
        <v>1996</v>
      </c>
      <c r="K2865">
        <v>1996</v>
      </c>
      <c r="L2865" t="s">
        <v>20</v>
      </c>
      <c r="M2865">
        <v>22727</v>
      </c>
      <c r="N2865">
        <v>657</v>
      </c>
    </row>
    <row r="2866" spans="1:14" x14ac:dyDescent="0.35">
      <c r="A2866" t="s">
        <v>2983</v>
      </c>
      <c r="B2866" t="s">
        <v>15</v>
      </c>
      <c r="C2866" t="s">
        <v>16</v>
      </c>
      <c r="D2866">
        <v>181</v>
      </c>
      <c r="E2866" t="s">
        <v>2972</v>
      </c>
      <c r="F2866">
        <v>5419</v>
      </c>
      <c r="G2866" t="s">
        <v>18</v>
      </c>
      <c r="H2866">
        <v>27</v>
      </c>
      <c r="I2866" t="s">
        <v>19</v>
      </c>
      <c r="J2866">
        <v>1997</v>
      </c>
      <c r="K2866">
        <v>1997</v>
      </c>
      <c r="L2866" t="s">
        <v>20</v>
      </c>
      <c r="M2866">
        <v>22133</v>
      </c>
      <c r="N2866">
        <v>657</v>
      </c>
    </row>
    <row r="2867" spans="1:14" x14ac:dyDescent="0.35">
      <c r="A2867" t="s">
        <v>2984</v>
      </c>
      <c r="B2867" t="s">
        <v>15</v>
      </c>
      <c r="C2867" t="s">
        <v>16</v>
      </c>
      <c r="D2867">
        <v>181</v>
      </c>
      <c r="E2867" t="s">
        <v>2972</v>
      </c>
      <c r="F2867">
        <v>5419</v>
      </c>
      <c r="G2867" t="s">
        <v>18</v>
      </c>
      <c r="H2867">
        <v>27</v>
      </c>
      <c r="I2867" t="s">
        <v>19</v>
      </c>
      <c r="J2867">
        <v>1998</v>
      </c>
      <c r="K2867">
        <v>1998</v>
      </c>
      <c r="L2867" t="s">
        <v>20</v>
      </c>
      <c r="M2867">
        <v>20000</v>
      </c>
      <c r="N2867">
        <v>657</v>
      </c>
    </row>
    <row r="2868" spans="1:14" x14ac:dyDescent="0.35">
      <c r="A2868" t="s">
        <v>2985</v>
      </c>
      <c r="B2868" t="s">
        <v>15</v>
      </c>
      <c r="C2868" t="s">
        <v>16</v>
      </c>
      <c r="D2868">
        <v>181</v>
      </c>
      <c r="E2868" t="s">
        <v>2972</v>
      </c>
      <c r="F2868">
        <v>5419</v>
      </c>
      <c r="G2868" t="s">
        <v>18</v>
      </c>
      <c r="H2868">
        <v>27</v>
      </c>
      <c r="I2868" t="s">
        <v>19</v>
      </c>
      <c r="J2868">
        <v>1999</v>
      </c>
      <c r="K2868">
        <v>1999</v>
      </c>
      <c r="L2868" t="s">
        <v>20</v>
      </c>
      <c r="M2868">
        <v>21457</v>
      </c>
      <c r="N2868">
        <v>657</v>
      </c>
    </row>
    <row r="2869" spans="1:14" x14ac:dyDescent="0.35">
      <c r="A2869" t="s">
        <v>2986</v>
      </c>
      <c r="B2869" t="s">
        <v>15</v>
      </c>
      <c r="C2869" t="s">
        <v>16</v>
      </c>
      <c r="D2869">
        <v>181</v>
      </c>
      <c r="E2869" t="s">
        <v>2972</v>
      </c>
      <c r="F2869">
        <v>5419</v>
      </c>
      <c r="G2869" t="s">
        <v>18</v>
      </c>
      <c r="H2869">
        <v>27</v>
      </c>
      <c r="I2869" t="s">
        <v>19</v>
      </c>
      <c r="J2869">
        <v>2000</v>
      </c>
      <c r="K2869">
        <v>2000</v>
      </c>
      <c r="L2869" t="s">
        <v>20</v>
      </c>
      <c r="M2869">
        <v>20000</v>
      </c>
      <c r="N2869">
        <v>657</v>
      </c>
    </row>
    <row r="2870" spans="1:14" x14ac:dyDescent="0.35">
      <c r="A2870" t="s">
        <v>2987</v>
      </c>
      <c r="B2870" t="s">
        <v>15</v>
      </c>
      <c r="C2870" t="s">
        <v>16</v>
      </c>
      <c r="D2870">
        <v>181</v>
      </c>
      <c r="E2870" t="s">
        <v>2972</v>
      </c>
      <c r="F2870">
        <v>5419</v>
      </c>
      <c r="G2870" t="s">
        <v>18</v>
      </c>
      <c r="H2870">
        <v>27</v>
      </c>
      <c r="I2870" t="s">
        <v>19</v>
      </c>
      <c r="J2870">
        <v>2001</v>
      </c>
      <c r="K2870">
        <v>2001</v>
      </c>
      <c r="L2870" t="s">
        <v>20</v>
      </c>
      <c r="M2870">
        <v>22070</v>
      </c>
      <c r="N2870">
        <v>657</v>
      </c>
    </row>
    <row r="2871" spans="1:14" x14ac:dyDescent="0.35">
      <c r="A2871" t="s">
        <v>2988</v>
      </c>
      <c r="B2871" t="s">
        <v>15</v>
      </c>
      <c r="C2871" t="s">
        <v>16</v>
      </c>
      <c r="D2871">
        <v>181</v>
      </c>
      <c r="E2871" t="s">
        <v>2972</v>
      </c>
      <c r="F2871">
        <v>5419</v>
      </c>
      <c r="G2871" t="s">
        <v>18</v>
      </c>
      <c r="H2871">
        <v>27</v>
      </c>
      <c r="I2871" t="s">
        <v>19</v>
      </c>
      <c r="J2871">
        <v>2002</v>
      </c>
      <c r="K2871">
        <v>2002</v>
      </c>
      <c r="L2871" t="s">
        <v>20</v>
      </c>
      <c r="M2871">
        <v>22618</v>
      </c>
      <c r="N2871">
        <v>657</v>
      </c>
    </row>
    <row r="2872" spans="1:14" x14ac:dyDescent="0.35">
      <c r="A2872" t="s">
        <v>2989</v>
      </c>
      <c r="B2872" t="s">
        <v>15</v>
      </c>
      <c r="C2872" t="s">
        <v>16</v>
      </c>
      <c r="D2872">
        <v>181</v>
      </c>
      <c r="E2872" t="s">
        <v>2972</v>
      </c>
      <c r="F2872">
        <v>5419</v>
      </c>
      <c r="G2872" t="s">
        <v>18</v>
      </c>
      <c r="H2872">
        <v>27</v>
      </c>
      <c r="I2872" t="s">
        <v>19</v>
      </c>
      <c r="J2872">
        <v>2004</v>
      </c>
      <c r="K2872">
        <v>2004</v>
      </c>
      <c r="L2872" t="s">
        <v>20</v>
      </c>
      <c r="M2872">
        <v>23149</v>
      </c>
      <c r="N2872">
        <v>657</v>
      </c>
    </row>
    <row r="2873" spans="1:14" x14ac:dyDescent="0.35">
      <c r="A2873" t="s">
        <v>2990</v>
      </c>
      <c r="B2873" t="s">
        <v>15</v>
      </c>
      <c r="C2873" t="s">
        <v>16</v>
      </c>
      <c r="D2873">
        <v>181</v>
      </c>
      <c r="E2873" t="s">
        <v>2972</v>
      </c>
      <c r="F2873">
        <v>5419</v>
      </c>
      <c r="G2873" t="s">
        <v>18</v>
      </c>
      <c r="H2873">
        <v>27</v>
      </c>
      <c r="I2873" t="s">
        <v>19</v>
      </c>
      <c r="J2873">
        <v>2005</v>
      </c>
      <c r="K2873">
        <v>2005</v>
      </c>
      <c r="L2873" t="s">
        <v>20</v>
      </c>
      <c r="M2873">
        <v>23165</v>
      </c>
      <c r="N2873">
        <v>657</v>
      </c>
    </row>
    <row r="2874" spans="1:14" x14ac:dyDescent="0.35">
      <c r="A2874" t="s">
        <v>2991</v>
      </c>
      <c r="B2874" t="s">
        <v>15</v>
      </c>
      <c r="C2874" t="s">
        <v>16</v>
      </c>
      <c r="D2874">
        <v>181</v>
      </c>
      <c r="E2874" t="s">
        <v>2972</v>
      </c>
      <c r="F2874">
        <v>5419</v>
      </c>
      <c r="G2874" t="s">
        <v>18</v>
      </c>
      <c r="H2874">
        <v>27</v>
      </c>
      <c r="I2874" t="s">
        <v>19</v>
      </c>
      <c r="J2874">
        <v>2006</v>
      </c>
      <c r="K2874">
        <v>2006</v>
      </c>
      <c r="L2874" t="s">
        <v>20</v>
      </c>
      <c r="M2874">
        <v>24000</v>
      </c>
      <c r="N2874">
        <v>657</v>
      </c>
    </row>
    <row r="2875" spans="1:14" x14ac:dyDescent="0.35">
      <c r="A2875" t="s">
        <v>2992</v>
      </c>
      <c r="B2875" t="s">
        <v>15</v>
      </c>
      <c r="C2875" t="s">
        <v>16</v>
      </c>
      <c r="D2875">
        <v>181</v>
      </c>
      <c r="E2875" t="s">
        <v>2972</v>
      </c>
      <c r="F2875">
        <v>5419</v>
      </c>
      <c r="G2875" t="s">
        <v>18</v>
      </c>
      <c r="H2875">
        <v>27</v>
      </c>
      <c r="I2875" t="s">
        <v>19</v>
      </c>
      <c r="J2875">
        <v>2007</v>
      </c>
      <c r="K2875">
        <v>2007</v>
      </c>
      <c r="L2875" t="s">
        <v>20</v>
      </c>
      <c r="M2875">
        <v>23058</v>
      </c>
      <c r="N2875">
        <v>657</v>
      </c>
    </row>
    <row r="2876" spans="1:14" x14ac:dyDescent="0.35">
      <c r="A2876" t="s">
        <v>2993</v>
      </c>
      <c r="B2876" t="s">
        <v>15</v>
      </c>
      <c r="C2876" t="s">
        <v>16</v>
      </c>
      <c r="D2876">
        <v>181</v>
      </c>
      <c r="E2876" t="s">
        <v>2972</v>
      </c>
      <c r="F2876">
        <v>5419</v>
      </c>
      <c r="G2876" t="s">
        <v>18</v>
      </c>
      <c r="H2876">
        <v>27</v>
      </c>
      <c r="I2876" t="s">
        <v>19</v>
      </c>
      <c r="J2876">
        <v>2008</v>
      </c>
      <c r="K2876">
        <v>2008</v>
      </c>
      <c r="L2876" t="s">
        <v>20</v>
      </c>
      <c r="M2876">
        <v>22951</v>
      </c>
      <c r="N2876">
        <v>657</v>
      </c>
    </row>
    <row r="2877" spans="1:14" x14ac:dyDescent="0.35">
      <c r="A2877" t="s">
        <v>2994</v>
      </c>
      <c r="B2877" t="s">
        <v>15</v>
      </c>
      <c r="C2877" t="s">
        <v>16</v>
      </c>
      <c r="D2877">
        <v>181</v>
      </c>
      <c r="E2877" t="s">
        <v>2972</v>
      </c>
      <c r="F2877">
        <v>5419</v>
      </c>
      <c r="G2877" t="s">
        <v>18</v>
      </c>
      <c r="H2877">
        <v>27</v>
      </c>
      <c r="I2877" t="s">
        <v>19</v>
      </c>
      <c r="J2877">
        <v>2009</v>
      </c>
      <c r="K2877">
        <v>2009</v>
      </c>
      <c r="L2877" t="s">
        <v>20</v>
      </c>
      <c r="M2877">
        <v>22857</v>
      </c>
      <c r="N2877">
        <v>657</v>
      </c>
    </row>
    <row r="2878" spans="1:14" x14ac:dyDescent="0.35">
      <c r="A2878" t="s">
        <v>2995</v>
      </c>
      <c r="B2878" t="s">
        <v>15</v>
      </c>
      <c r="C2878" t="s">
        <v>16</v>
      </c>
      <c r="D2878">
        <v>181</v>
      </c>
      <c r="E2878" t="s">
        <v>2972</v>
      </c>
      <c r="F2878">
        <v>5419</v>
      </c>
      <c r="G2878" t="s">
        <v>18</v>
      </c>
      <c r="H2878">
        <v>27</v>
      </c>
      <c r="I2878" t="s">
        <v>19</v>
      </c>
      <c r="J2878">
        <v>2010</v>
      </c>
      <c r="K2878">
        <v>2010</v>
      </c>
      <c r="L2878" t="s">
        <v>20</v>
      </c>
      <c r="M2878">
        <v>22775</v>
      </c>
      <c r="N2878">
        <v>657</v>
      </c>
    </row>
    <row r="2879" spans="1:14" x14ac:dyDescent="0.35">
      <c r="A2879" t="s">
        <v>2996</v>
      </c>
      <c r="B2879" t="s">
        <v>15</v>
      </c>
      <c r="C2879" t="s">
        <v>16</v>
      </c>
      <c r="D2879">
        <v>181</v>
      </c>
      <c r="E2879" t="s">
        <v>2972</v>
      </c>
      <c r="F2879">
        <v>5419</v>
      </c>
      <c r="G2879" t="s">
        <v>18</v>
      </c>
      <c r="H2879">
        <v>27</v>
      </c>
      <c r="I2879" t="s">
        <v>19</v>
      </c>
      <c r="J2879">
        <v>2011</v>
      </c>
      <c r="K2879">
        <v>2011</v>
      </c>
      <c r="L2879" t="s">
        <v>20</v>
      </c>
      <c r="M2879">
        <v>22704</v>
      </c>
      <c r="N2879">
        <v>657</v>
      </c>
    </row>
    <row r="2880" spans="1:14" x14ac:dyDescent="0.35">
      <c r="A2880" t="s">
        <v>2997</v>
      </c>
      <c r="B2880" t="s">
        <v>15</v>
      </c>
      <c r="C2880" t="s">
        <v>16</v>
      </c>
      <c r="D2880">
        <v>181</v>
      </c>
      <c r="E2880" t="s">
        <v>2972</v>
      </c>
      <c r="F2880">
        <v>5419</v>
      </c>
      <c r="G2880" t="s">
        <v>18</v>
      </c>
      <c r="H2880">
        <v>27</v>
      </c>
      <c r="I2880" t="s">
        <v>19</v>
      </c>
      <c r="J2880">
        <v>2012</v>
      </c>
      <c r="K2880">
        <v>2012</v>
      </c>
      <c r="L2880" t="s">
        <v>20</v>
      </c>
      <c r="M2880">
        <v>22581</v>
      </c>
      <c r="N2880">
        <v>657</v>
      </c>
    </row>
    <row r="2881" spans="1:14" x14ac:dyDescent="0.35">
      <c r="A2881" t="s">
        <v>2998</v>
      </c>
      <c r="B2881" t="s">
        <v>15</v>
      </c>
      <c r="C2881" t="s">
        <v>16</v>
      </c>
      <c r="D2881">
        <v>181</v>
      </c>
      <c r="E2881" t="s">
        <v>2972</v>
      </c>
      <c r="F2881">
        <v>5419</v>
      </c>
      <c r="G2881" t="s">
        <v>18</v>
      </c>
      <c r="H2881">
        <v>27</v>
      </c>
      <c r="I2881" t="s">
        <v>19</v>
      </c>
      <c r="J2881">
        <v>2013</v>
      </c>
      <c r="K2881">
        <v>2013</v>
      </c>
      <c r="L2881" t="s">
        <v>20</v>
      </c>
      <c r="M2881">
        <v>22581</v>
      </c>
      <c r="N2881">
        <v>657</v>
      </c>
    </row>
    <row r="2882" spans="1:14" x14ac:dyDescent="0.35">
      <c r="A2882" t="s">
        <v>2999</v>
      </c>
      <c r="B2882" t="s">
        <v>15</v>
      </c>
      <c r="C2882" t="s">
        <v>16</v>
      </c>
      <c r="D2882">
        <v>181</v>
      </c>
      <c r="E2882" t="s">
        <v>2972</v>
      </c>
      <c r="F2882">
        <v>5419</v>
      </c>
      <c r="G2882" t="s">
        <v>18</v>
      </c>
      <c r="H2882">
        <v>27</v>
      </c>
      <c r="I2882" t="s">
        <v>19</v>
      </c>
      <c r="J2882">
        <v>2014</v>
      </c>
      <c r="K2882">
        <v>2014</v>
      </c>
      <c r="L2882" t="s">
        <v>20</v>
      </c>
      <c r="M2882">
        <v>22651</v>
      </c>
      <c r="N2882">
        <v>657</v>
      </c>
    </row>
    <row r="2883" spans="1:14" x14ac:dyDescent="0.35">
      <c r="A2883" t="s">
        <v>3000</v>
      </c>
      <c r="B2883" t="s">
        <v>15</v>
      </c>
      <c r="C2883" t="s">
        <v>16</v>
      </c>
      <c r="D2883">
        <v>181</v>
      </c>
      <c r="E2883" t="s">
        <v>2972</v>
      </c>
      <c r="F2883">
        <v>5419</v>
      </c>
      <c r="G2883" t="s">
        <v>18</v>
      </c>
      <c r="H2883">
        <v>27</v>
      </c>
      <c r="I2883" t="s">
        <v>19</v>
      </c>
      <c r="J2883">
        <v>2015</v>
      </c>
      <c r="K2883">
        <v>2015</v>
      </c>
      <c r="L2883" t="s">
        <v>20</v>
      </c>
      <c r="M2883">
        <v>22766</v>
      </c>
      <c r="N2883">
        <v>657</v>
      </c>
    </row>
    <row r="2884" spans="1:14" x14ac:dyDescent="0.35">
      <c r="A2884" t="s">
        <v>3001</v>
      </c>
      <c r="B2884" t="s">
        <v>15</v>
      </c>
      <c r="C2884" t="s">
        <v>16</v>
      </c>
      <c r="D2884">
        <v>181</v>
      </c>
      <c r="E2884" t="s">
        <v>2972</v>
      </c>
      <c r="F2884">
        <v>5419</v>
      </c>
      <c r="G2884" t="s">
        <v>18</v>
      </c>
      <c r="H2884">
        <v>27</v>
      </c>
      <c r="I2884" t="s">
        <v>19</v>
      </c>
      <c r="J2884">
        <v>2016</v>
      </c>
      <c r="K2884">
        <v>2016</v>
      </c>
      <c r="L2884" t="s">
        <v>20</v>
      </c>
      <c r="M2884">
        <v>22828</v>
      </c>
      <c r="N2884">
        <v>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77DC-6DAF-4860-B196-B18808472288}">
  <dimension ref="A1:J2884"/>
  <sheetViews>
    <sheetView workbookViewId="0">
      <selection activeCell="I11" sqref="I11"/>
    </sheetView>
  </sheetViews>
  <sheetFormatPr defaultRowHeight="14.5" x14ac:dyDescent="0.35"/>
  <cols>
    <col min="1" max="3" width="17.36328125" customWidth="1"/>
    <col min="5" max="5" width="10.26953125" customWidth="1"/>
    <col min="9" max="9" width="15" customWidth="1"/>
    <col min="10" max="10" width="14.1796875" customWidth="1"/>
  </cols>
  <sheetData>
    <row r="1" spans="1:10" x14ac:dyDescent="0.35">
      <c r="A1" t="s">
        <v>3003</v>
      </c>
      <c r="B1" t="s">
        <v>3004</v>
      </c>
      <c r="C1" t="s">
        <v>3005</v>
      </c>
      <c r="D1" t="s">
        <v>3002</v>
      </c>
      <c r="E1" t="s">
        <v>3016</v>
      </c>
      <c r="F1" s="1" t="s">
        <v>3007</v>
      </c>
      <c r="G1" t="s">
        <v>3006</v>
      </c>
      <c r="I1" t="s">
        <v>3008</v>
      </c>
      <c r="J1">
        <f>AVERAGE(A2:A2884)</f>
        <v>1338.3520638224072</v>
      </c>
    </row>
    <row r="2" spans="1:10" x14ac:dyDescent="0.35">
      <c r="A2">
        <v>327</v>
      </c>
      <c r="B2">
        <f>A2-$J$1</f>
        <v>-1011.3520638224072</v>
      </c>
      <c r="C2">
        <f>B2^2</f>
        <v>1022832.9969978424</v>
      </c>
      <c r="D2">
        <v>22482</v>
      </c>
      <c r="E2">
        <f>D2/10000</f>
        <v>2.2482000000000002</v>
      </c>
      <c r="F2">
        <f>E2-$J$2</f>
        <v>-1.1316559833506723</v>
      </c>
      <c r="G2">
        <f>F2^2</f>
        <v>1.280645264653377</v>
      </c>
      <c r="I2" t="s">
        <v>3009</v>
      </c>
      <c r="J2">
        <f>AVERAGE(E2:E2884)</f>
        <v>3.3798559833506725</v>
      </c>
    </row>
    <row r="3" spans="1:10" x14ac:dyDescent="0.35">
      <c r="A3">
        <v>327</v>
      </c>
      <c r="B3">
        <f t="shared" ref="B3:B66" si="0">A3-$J$1</f>
        <v>-1011.3520638224072</v>
      </c>
      <c r="C3">
        <f t="shared" ref="C3:C66" si="1">B3^2</f>
        <v>1022832.9969978424</v>
      </c>
      <c r="D3">
        <v>22400</v>
      </c>
      <c r="E3">
        <f t="shared" ref="E3:E66" si="2">D3/10000</f>
        <v>2.2400000000000002</v>
      </c>
      <c r="F3">
        <f t="shared" ref="F3:F66" si="3">E3-$J$2</f>
        <v>-1.1398559833506723</v>
      </c>
      <c r="G3">
        <f t="shared" ref="G3:G66" si="4">F3^2</f>
        <v>1.299271662780328</v>
      </c>
      <c r="I3" t="s">
        <v>3010</v>
      </c>
      <c r="J3">
        <f>MEDIAN(A2:A2884)</f>
        <v>1187</v>
      </c>
    </row>
    <row r="4" spans="1:10" x14ac:dyDescent="0.35">
      <c r="A4">
        <v>327</v>
      </c>
      <c r="B4">
        <f t="shared" si="0"/>
        <v>-1011.3520638224072</v>
      </c>
      <c r="C4">
        <f t="shared" si="1"/>
        <v>1022832.9969978424</v>
      </c>
      <c r="D4">
        <v>20000</v>
      </c>
      <c r="E4">
        <f t="shared" si="2"/>
        <v>2</v>
      </c>
      <c r="F4">
        <f t="shared" si="3"/>
        <v>-1.3798559833506725</v>
      </c>
      <c r="G4">
        <f t="shared" si="4"/>
        <v>1.9040025347886513</v>
      </c>
      <c r="I4" t="s">
        <v>3011</v>
      </c>
      <c r="J4">
        <f>MEDIAN(E2:E2884)</f>
        <v>3.0004</v>
      </c>
    </row>
    <row r="5" spans="1:10" x14ac:dyDescent="0.35">
      <c r="A5">
        <v>327</v>
      </c>
      <c r="B5">
        <f t="shared" si="0"/>
        <v>-1011.3520638224072</v>
      </c>
      <c r="C5">
        <f t="shared" si="1"/>
        <v>1022832.9969978424</v>
      </c>
      <c r="D5">
        <v>18824</v>
      </c>
      <c r="E5">
        <f t="shared" si="2"/>
        <v>1.8824000000000001</v>
      </c>
      <c r="F5">
        <f t="shared" si="3"/>
        <v>-1.4974559833506724</v>
      </c>
      <c r="G5">
        <f t="shared" si="4"/>
        <v>2.2423744220727295</v>
      </c>
      <c r="I5" t="s">
        <v>3012</v>
      </c>
      <c r="J5">
        <f>SUM(C2:C2884)</f>
        <v>1959967027.6552002</v>
      </c>
    </row>
    <row r="6" spans="1:10" x14ac:dyDescent="0.35">
      <c r="A6">
        <v>327</v>
      </c>
      <c r="B6">
        <f t="shared" si="0"/>
        <v>-1011.3520638224072</v>
      </c>
      <c r="C6">
        <f t="shared" si="1"/>
        <v>1022832.9969978424</v>
      </c>
      <c r="D6">
        <v>19029</v>
      </c>
      <c r="E6">
        <f t="shared" si="2"/>
        <v>1.9029</v>
      </c>
      <c r="F6">
        <f t="shared" si="3"/>
        <v>-1.4769559833506725</v>
      </c>
      <c r="G6">
        <f t="shared" si="4"/>
        <v>2.1813989767553519</v>
      </c>
      <c r="I6" t="s">
        <v>3013</v>
      </c>
      <c r="J6">
        <f>SUM(G2:G2884)</f>
        <v>9974.5825727842894</v>
      </c>
    </row>
    <row r="7" spans="1:10" x14ac:dyDescent="0.35">
      <c r="A7">
        <v>327</v>
      </c>
      <c r="B7">
        <f t="shared" si="0"/>
        <v>-1011.3520638224072</v>
      </c>
      <c r="C7">
        <f t="shared" si="1"/>
        <v>1022832.9969978424</v>
      </c>
      <c r="D7">
        <v>19364</v>
      </c>
      <c r="E7">
        <f t="shared" si="2"/>
        <v>1.9363999999999999</v>
      </c>
      <c r="F7">
        <f t="shared" si="3"/>
        <v>-1.4434559833506726</v>
      </c>
      <c r="G7">
        <f t="shared" si="4"/>
        <v>2.0835651758708571</v>
      </c>
      <c r="I7" t="s">
        <v>3014</v>
      </c>
      <c r="J7">
        <f>SQRT(J5/2883)</f>
        <v>824.52164579388523</v>
      </c>
    </row>
    <row r="8" spans="1:10" x14ac:dyDescent="0.35">
      <c r="A8">
        <v>327</v>
      </c>
      <c r="B8">
        <f t="shared" si="0"/>
        <v>-1011.3520638224072</v>
      </c>
      <c r="C8">
        <f t="shared" si="1"/>
        <v>1022832.9969978424</v>
      </c>
      <c r="D8">
        <v>17143</v>
      </c>
      <c r="E8">
        <f t="shared" si="2"/>
        <v>1.7142999999999999</v>
      </c>
      <c r="F8">
        <f t="shared" si="3"/>
        <v>-1.6655559833506726</v>
      </c>
      <c r="G8">
        <f t="shared" si="4"/>
        <v>2.7740767336752259</v>
      </c>
      <c r="I8" t="s">
        <v>3015</v>
      </c>
      <c r="J8">
        <f>SQRT(J6/2883)</f>
        <v>1.8600518207439898</v>
      </c>
    </row>
    <row r="9" spans="1:10" x14ac:dyDescent="0.35">
      <c r="A9">
        <v>327</v>
      </c>
      <c r="B9">
        <f t="shared" si="0"/>
        <v>-1011.3520638224072</v>
      </c>
      <c r="C9">
        <f t="shared" si="1"/>
        <v>1022832.9969978424</v>
      </c>
      <c r="D9">
        <v>17143</v>
      </c>
      <c r="E9">
        <f t="shared" si="2"/>
        <v>1.7142999999999999</v>
      </c>
      <c r="F9">
        <f t="shared" si="3"/>
        <v>-1.6655559833506726</v>
      </c>
      <c r="G9">
        <f t="shared" si="4"/>
        <v>2.7740767336752259</v>
      </c>
    </row>
    <row r="10" spans="1:10" x14ac:dyDescent="0.35">
      <c r="A10">
        <v>327</v>
      </c>
      <c r="B10">
        <f t="shared" si="0"/>
        <v>-1011.3520638224072</v>
      </c>
      <c r="C10">
        <f t="shared" si="1"/>
        <v>1022832.9969978424</v>
      </c>
      <c r="D10">
        <v>19000</v>
      </c>
      <c r="E10">
        <f t="shared" si="2"/>
        <v>1.9</v>
      </c>
      <c r="F10">
        <f t="shared" si="3"/>
        <v>-1.4798559833506726</v>
      </c>
      <c r="G10">
        <f t="shared" si="4"/>
        <v>2.1899737314587862</v>
      </c>
    </row>
    <row r="11" spans="1:10" x14ac:dyDescent="0.35">
      <c r="A11">
        <v>327</v>
      </c>
      <c r="B11">
        <f t="shared" si="0"/>
        <v>-1011.3520638224072</v>
      </c>
      <c r="C11">
        <f t="shared" si="1"/>
        <v>1022832.9969978424</v>
      </c>
      <c r="D11">
        <v>22941</v>
      </c>
      <c r="E11">
        <f t="shared" si="2"/>
        <v>2.2940999999999998</v>
      </c>
      <c r="F11">
        <f t="shared" si="3"/>
        <v>-1.0857559833506727</v>
      </c>
      <c r="G11">
        <f t="shared" si="4"/>
        <v>1.1788660553817862</v>
      </c>
    </row>
    <row r="12" spans="1:10" x14ac:dyDescent="0.35">
      <c r="A12">
        <v>327</v>
      </c>
      <c r="B12">
        <f t="shared" si="0"/>
        <v>-1011.3520638224072</v>
      </c>
      <c r="C12">
        <f t="shared" si="1"/>
        <v>1022832.9969978424</v>
      </c>
      <c r="D12">
        <v>19429</v>
      </c>
      <c r="E12">
        <f t="shared" si="2"/>
        <v>1.9429000000000001</v>
      </c>
      <c r="F12">
        <f t="shared" si="3"/>
        <v>-1.4369559833506724</v>
      </c>
      <c r="G12">
        <f t="shared" si="4"/>
        <v>2.0648424980872981</v>
      </c>
    </row>
    <row r="13" spans="1:10" x14ac:dyDescent="0.35">
      <c r="A13">
        <v>327</v>
      </c>
      <c r="B13">
        <f t="shared" si="0"/>
        <v>-1011.3520638224072</v>
      </c>
      <c r="C13">
        <f t="shared" si="1"/>
        <v>1022832.9969978424</v>
      </c>
      <c r="D13">
        <v>22222</v>
      </c>
      <c r="E13">
        <f t="shared" si="2"/>
        <v>2.2222</v>
      </c>
      <c r="F13">
        <f t="shared" si="3"/>
        <v>-1.1576559833506725</v>
      </c>
      <c r="G13">
        <f t="shared" si="4"/>
        <v>1.3401673757876127</v>
      </c>
    </row>
    <row r="14" spans="1:10" x14ac:dyDescent="0.35">
      <c r="A14">
        <v>327</v>
      </c>
      <c r="B14">
        <f t="shared" si="0"/>
        <v>-1011.3520638224072</v>
      </c>
      <c r="C14">
        <f t="shared" si="1"/>
        <v>1022832.9969978424</v>
      </c>
      <c r="D14">
        <v>25000</v>
      </c>
      <c r="E14">
        <f t="shared" si="2"/>
        <v>2.5</v>
      </c>
      <c r="F14">
        <f t="shared" si="3"/>
        <v>-0.8798559833506725</v>
      </c>
      <c r="G14">
        <f t="shared" si="4"/>
        <v>0.77414655143797884</v>
      </c>
    </row>
    <row r="15" spans="1:10" x14ac:dyDescent="0.35">
      <c r="A15">
        <v>327</v>
      </c>
      <c r="B15">
        <f t="shared" si="0"/>
        <v>-1011.3520638224072</v>
      </c>
      <c r="C15">
        <f t="shared" si="1"/>
        <v>1022832.9969978424</v>
      </c>
      <c r="D15">
        <v>20000</v>
      </c>
      <c r="E15">
        <f t="shared" si="2"/>
        <v>2</v>
      </c>
      <c r="F15">
        <f t="shared" si="3"/>
        <v>-1.3798559833506725</v>
      </c>
      <c r="G15">
        <f t="shared" si="4"/>
        <v>1.9040025347886513</v>
      </c>
    </row>
    <row r="16" spans="1:10" x14ac:dyDescent="0.35">
      <c r="A16">
        <v>327</v>
      </c>
      <c r="B16">
        <f t="shared" si="0"/>
        <v>-1011.3520638224072</v>
      </c>
      <c r="C16">
        <f t="shared" si="1"/>
        <v>1022832.9969978424</v>
      </c>
      <c r="D16">
        <v>20000</v>
      </c>
      <c r="E16">
        <f t="shared" si="2"/>
        <v>2</v>
      </c>
      <c r="F16">
        <f t="shared" si="3"/>
        <v>-1.3798559833506725</v>
      </c>
      <c r="G16">
        <f t="shared" si="4"/>
        <v>1.9040025347886513</v>
      </c>
    </row>
    <row r="17" spans="1:7" x14ac:dyDescent="0.35">
      <c r="A17">
        <v>327</v>
      </c>
      <c r="B17">
        <f t="shared" si="0"/>
        <v>-1011.3520638224072</v>
      </c>
      <c r="C17">
        <f t="shared" si="1"/>
        <v>1022832.9969978424</v>
      </c>
      <c r="D17">
        <v>20000</v>
      </c>
      <c r="E17">
        <f t="shared" si="2"/>
        <v>2</v>
      </c>
      <c r="F17">
        <f t="shared" si="3"/>
        <v>-1.3798559833506725</v>
      </c>
      <c r="G17">
        <f t="shared" si="4"/>
        <v>1.9040025347886513</v>
      </c>
    </row>
    <row r="18" spans="1:7" x14ac:dyDescent="0.35">
      <c r="A18">
        <v>327</v>
      </c>
      <c r="B18">
        <f t="shared" si="0"/>
        <v>-1011.3520638224072</v>
      </c>
      <c r="C18">
        <f t="shared" si="1"/>
        <v>1022832.9969978424</v>
      </c>
      <c r="D18">
        <v>28741</v>
      </c>
      <c r="E18">
        <f t="shared" si="2"/>
        <v>2.8740999999999999</v>
      </c>
      <c r="F18">
        <f t="shared" si="3"/>
        <v>-0.50575598335067262</v>
      </c>
      <c r="G18">
        <f t="shared" si="4"/>
        <v>0.25578911469500587</v>
      </c>
    </row>
    <row r="19" spans="1:7" x14ac:dyDescent="0.35">
      <c r="A19">
        <v>327</v>
      </c>
      <c r="B19">
        <f t="shared" si="0"/>
        <v>-1011.3520638224072</v>
      </c>
      <c r="C19">
        <f t="shared" si="1"/>
        <v>1022832.9969978424</v>
      </c>
      <c r="D19">
        <v>23744</v>
      </c>
      <c r="E19">
        <f t="shared" si="2"/>
        <v>2.3744000000000001</v>
      </c>
      <c r="F19">
        <f t="shared" si="3"/>
        <v>-1.0054559833506724</v>
      </c>
      <c r="G19">
        <f t="shared" si="4"/>
        <v>1.0109417344556677</v>
      </c>
    </row>
    <row r="20" spans="1:7" x14ac:dyDescent="0.35">
      <c r="A20">
        <v>327</v>
      </c>
      <c r="B20">
        <f t="shared" si="0"/>
        <v>-1011.3520638224072</v>
      </c>
      <c r="C20">
        <f t="shared" si="1"/>
        <v>1022832.9969978424</v>
      </c>
      <c r="D20">
        <v>30313</v>
      </c>
      <c r="E20">
        <f t="shared" si="2"/>
        <v>3.0312999999999999</v>
      </c>
      <c r="F20">
        <f t="shared" si="3"/>
        <v>-0.34855598335067262</v>
      </c>
      <c r="G20">
        <f t="shared" si="4"/>
        <v>0.12149127352955437</v>
      </c>
    </row>
    <row r="21" spans="1:7" x14ac:dyDescent="0.35">
      <c r="A21">
        <v>327</v>
      </c>
      <c r="B21">
        <f t="shared" si="0"/>
        <v>-1011.3520638224072</v>
      </c>
      <c r="C21">
        <f t="shared" si="1"/>
        <v>1022832.9969978424</v>
      </c>
      <c r="D21">
        <v>33750</v>
      </c>
      <c r="E21">
        <f t="shared" si="2"/>
        <v>3.375</v>
      </c>
      <c r="F21">
        <f t="shared" si="3"/>
        <v>-4.8559833506724992E-3</v>
      </c>
      <c r="G21">
        <f t="shared" si="4"/>
        <v>2.3580574302008511E-5</v>
      </c>
    </row>
    <row r="22" spans="1:7" x14ac:dyDescent="0.35">
      <c r="A22">
        <v>327</v>
      </c>
      <c r="B22">
        <f t="shared" si="0"/>
        <v>-1011.3520638224072</v>
      </c>
      <c r="C22">
        <f t="shared" si="1"/>
        <v>1022832.9969978424</v>
      </c>
      <c r="D22">
        <v>32471</v>
      </c>
      <c r="E22">
        <f t="shared" si="2"/>
        <v>3.2471000000000001</v>
      </c>
      <c r="F22">
        <f t="shared" si="3"/>
        <v>-0.1327559833506724</v>
      </c>
      <c r="G22">
        <f t="shared" si="4"/>
        <v>1.7624151115404007E-2</v>
      </c>
    </row>
    <row r="23" spans="1:7" x14ac:dyDescent="0.35">
      <c r="A23">
        <v>327</v>
      </c>
      <c r="B23">
        <f t="shared" si="0"/>
        <v>-1011.3520638224072</v>
      </c>
      <c r="C23">
        <f t="shared" si="1"/>
        <v>1022832.9969978424</v>
      </c>
      <c r="D23">
        <v>32211</v>
      </c>
      <c r="E23">
        <f t="shared" si="2"/>
        <v>3.2210999999999999</v>
      </c>
      <c r="F23">
        <f t="shared" si="3"/>
        <v>-0.15875598335067265</v>
      </c>
      <c r="G23">
        <f t="shared" si="4"/>
        <v>2.5203462249639052E-2</v>
      </c>
    </row>
    <row r="24" spans="1:7" x14ac:dyDescent="0.35">
      <c r="A24">
        <v>327</v>
      </c>
      <c r="B24">
        <f t="shared" si="0"/>
        <v>-1011.3520638224072</v>
      </c>
      <c r="C24">
        <f t="shared" si="1"/>
        <v>1022832.9969978424</v>
      </c>
      <c r="D24">
        <v>32250</v>
      </c>
      <c r="E24">
        <f t="shared" si="2"/>
        <v>3.2250000000000001</v>
      </c>
      <c r="F24">
        <f t="shared" si="3"/>
        <v>-0.15485598335067241</v>
      </c>
      <c r="G24">
        <f t="shared" si="4"/>
        <v>2.3980375579503731E-2</v>
      </c>
    </row>
    <row r="25" spans="1:7" x14ac:dyDescent="0.35">
      <c r="A25">
        <v>327</v>
      </c>
      <c r="B25">
        <f t="shared" si="0"/>
        <v>-1011.3520638224072</v>
      </c>
      <c r="C25">
        <f t="shared" si="1"/>
        <v>1022832.9969978424</v>
      </c>
      <c r="D25">
        <v>32308</v>
      </c>
      <c r="E25">
        <f t="shared" si="2"/>
        <v>3.2307999999999999</v>
      </c>
      <c r="F25">
        <f t="shared" si="3"/>
        <v>-0.14905598335067261</v>
      </c>
      <c r="G25">
        <f t="shared" si="4"/>
        <v>2.2217686172635989E-2</v>
      </c>
    </row>
    <row r="26" spans="1:7" x14ac:dyDescent="0.35">
      <c r="A26">
        <v>327</v>
      </c>
      <c r="B26">
        <f t="shared" si="0"/>
        <v>-1011.3520638224072</v>
      </c>
      <c r="C26">
        <f t="shared" si="1"/>
        <v>1022832.9969978424</v>
      </c>
      <c r="D26">
        <v>32000</v>
      </c>
      <c r="E26">
        <f t="shared" si="2"/>
        <v>3.2</v>
      </c>
      <c r="F26">
        <f t="shared" si="3"/>
        <v>-0.17985598335067232</v>
      </c>
      <c r="G26">
        <f t="shared" si="4"/>
        <v>3.2348174747037321E-2</v>
      </c>
    </row>
    <row r="27" spans="1:7" x14ac:dyDescent="0.35">
      <c r="A27">
        <v>327</v>
      </c>
      <c r="B27">
        <f t="shared" si="0"/>
        <v>-1011.3520638224072</v>
      </c>
      <c r="C27">
        <f t="shared" si="1"/>
        <v>1022832.9969978424</v>
      </c>
      <c r="D27">
        <v>24390</v>
      </c>
      <c r="E27">
        <f t="shared" si="2"/>
        <v>2.4390000000000001</v>
      </c>
      <c r="F27">
        <f t="shared" si="3"/>
        <v>-0.94085598335067244</v>
      </c>
      <c r="G27">
        <f t="shared" si="4"/>
        <v>0.88520998140676077</v>
      </c>
    </row>
    <row r="28" spans="1:7" x14ac:dyDescent="0.35">
      <c r="A28">
        <v>327</v>
      </c>
      <c r="B28">
        <f t="shared" si="0"/>
        <v>-1011.3520638224072</v>
      </c>
      <c r="C28">
        <f t="shared" si="1"/>
        <v>1022832.9969978424</v>
      </c>
      <c r="D28">
        <v>24980</v>
      </c>
      <c r="E28">
        <f t="shared" si="2"/>
        <v>2.4980000000000002</v>
      </c>
      <c r="F28">
        <f t="shared" si="3"/>
        <v>-0.88185598335067228</v>
      </c>
      <c r="G28">
        <f t="shared" si="4"/>
        <v>0.77766997537138116</v>
      </c>
    </row>
    <row r="29" spans="1:7" x14ac:dyDescent="0.35">
      <c r="A29">
        <v>327</v>
      </c>
      <c r="B29">
        <f t="shared" si="0"/>
        <v>-1011.3520638224072</v>
      </c>
      <c r="C29">
        <f t="shared" si="1"/>
        <v>1022832.9969978424</v>
      </c>
      <c r="D29">
        <v>24409</v>
      </c>
      <c r="E29">
        <f t="shared" si="2"/>
        <v>2.4409000000000001</v>
      </c>
      <c r="F29">
        <f t="shared" si="3"/>
        <v>-0.93895598335067243</v>
      </c>
      <c r="G29">
        <f t="shared" si="4"/>
        <v>0.88163833867002828</v>
      </c>
    </row>
    <row r="30" spans="1:7" x14ac:dyDescent="0.35">
      <c r="A30">
        <v>327</v>
      </c>
      <c r="B30">
        <f t="shared" si="0"/>
        <v>-1011.3520638224072</v>
      </c>
      <c r="C30">
        <f t="shared" si="1"/>
        <v>1022832.9969978424</v>
      </c>
      <c r="D30">
        <v>25000</v>
      </c>
      <c r="E30">
        <f t="shared" si="2"/>
        <v>2.5</v>
      </c>
      <c r="F30">
        <f t="shared" si="3"/>
        <v>-0.8798559833506725</v>
      </c>
      <c r="G30">
        <f t="shared" si="4"/>
        <v>0.77414655143797884</v>
      </c>
    </row>
    <row r="31" spans="1:7" x14ac:dyDescent="0.35">
      <c r="A31">
        <v>327</v>
      </c>
      <c r="B31">
        <f t="shared" si="0"/>
        <v>-1011.3520638224072</v>
      </c>
      <c r="C31">
        <f t="shared" si="1"/>
        <v>1022832.9969978424</v>
      </c>
      <c r="D31">
        <v>29963</v>
      </c>
      <c r="E31">
        <f t="shared" si="2"/>
        <v>2.9963000000000002</v>
      </c>
      <c r="F31">
        <f t="shared" si="3"/>
        <v>-0.38355598335067231</v>
      </c>
      <c r="G31">
        <f t="shared" si="4"/>
        <v>0.14711519236410123</v>
      </c>
    </row>
    <row r="32" spans="1:7" x14ac:dyDescent="0.35">
      <c r="A32">
        <v>1485</v>
      </c>
      <c r="B32">
        <f t="shared" si="0"/>
        <v>146.64793617759278</v>
      </c>
      <c r="C32">
        <f t="shared" si="1"/>
        <v>21505.617185147326</v>
      </c>
      <c r="D32">
        <v>40000</v>
      </c>
      <c r="E32">
        <f t="shared" si="2"/>
        <v>4</v>
      </c>
      <c r="F32">
        <f t="shared" si="3"/>
        <v>0.6201440166493275</v>
      </c>
      <c r="G32">
        <f t="shared" si="4"/>
        <v>0.38457860138596139</v>
      </c>
    </row>
    <row r="33" spans="1:7" x14ac:dyDescent="0.35">
      <c r="A33">
        <v>1485</v>
      </c>
      <c r="B33">
        <f t="shared" si="0"/>
        <v>146.64793617759278</v>
      </c>
      <c r="C33">
        <f t="shared" si="1"/>
        <v>21505.617185147326</v>
      </c>
      <c r="D33">
        <v>36667</v>
      </c>
      <c r="E33">
        <f t="shared" si="2"/>
        <v>3.6667000000000001</v>
      </c>
      <c r="F33">
        <f t="shared" si="3"/>
        <v>0.28684401664932757</v>
      </c>
      <c r="G33">
        <f t="shared" si="4"/>
        <v>8.2279489887519708E-2</v>
      </c>
    </row>
    <row r="34" spans="1:7" x14ac:dyDescent="0.35">
      <c r="A34">
        <v>1485</v>
      </c>
      <c r="B34">
        <f t="shared" si="0"/>
        <v>146.64793617759278</v>
      </c>
      <c r="C34">
        <f t="shared" si="1"/>
        <v>21505.617185147326</v>
      </c>
      <c r="D34">
        <v>32121</v>
      </c>
      <c r="E34">
        <f t="shared" si="2"/>
        <v>3.2121</v>
      </c>
      <c r="F34">
        <f t="shared" si="3"/>
        <v>-0.16775598335067254</v>
      </c>
      <c r="G34">
        <f t="shared" si="4"/>
        <v>2.8142069949951123E-2</v>
      </c>
    </row>
    <row r="35" spans="1:7" x14ac:dyDescent="0.35">
      <c r="A35">
        <v>1485</v>
      </c>
      <c r="B35">
        <f t="shared" si="0"/>
        <v>146.64793617759278</v>
      </c>
      <c r="C35">
        <f t="shared" si="1"/>
        <v>21505.617185147326</v>
      </c>
      <c r="D35">
        <v>31296</v>
      </c>
      <c r="E35">
        <f t="shared" si="2"/>
        <v>3.1295999999999999</v>
      </c>
      <c r="F35">
        <f t="shared" si="3"/>
        <v>-0.25025598335067256</v>
      </c>
      <c r="G35">
        <f t="shared" si="4"/>
        <v>6.2628057202812101E-2</v>
      </c>
    </row>
    <row r="36" spans="1:7" x14ac:dyDescent="0.35">
      <c r="A36">
        <v>1485</v>
      </c>
      <c r="B36">
        <f t="shared" si="0"/>
        <v>146.64793617759278</v>
      </c>
      <c r="C36">
        <f t="shared" si="1"/>
        <v>21505.617185147326</v>
      </c>
      <c r="D36">
        <v>23333</v>
      </c>
      <c r="E36">
        <f t="shared" si="2"/>
        <v>2.3332999999999999</v>
      </c>
      <c r="F36">
        <f t="shared" si="3"/>
        <v>-1.0465559833506726</v>
      </c>
      <c r="G36">
        <f t="shared" si="4"/>
        <v>1.0952794262870933</v>
      </c>
    </row>
    <row r="37" spans="1:7" x14ac:dyDescent="0.35">
      <c r="A37">
        <v>1485</v>
      </c>
      <c r="B37">
        <f t="shared" si="0"/>
        <v>146.64793617759278</v>
      </c>
      <c r="C37">
        <f t="shared" si="1"/>
        <v>21505.617185147326</v>
      </c>
      <c r="D37">
        <v>28538</v>
      </c>
      <c r="E37">
        <f t="shared" si="2"/>
        <v>2.8538000000000001</v>
      </c>
      <c r="F37">
        <f t="shared" si="3"/>
        <v>-0.52605598335067238</v>
      </c>
      <c r="G37">
        <f t="shared" si="4"/>
        <v>0.27673489761904291</v>
      </c>
    </row>
    <row r="38" spans="1:7" x14ac:dyDescent="0.35">
      <c r="A38">
        <v>1485</v>
      </c>
      <c r="B38">
        <f t="shared" si="0"/>
        <v>146.64793617759278</v>
      </c>
      <c r="C38">
        <f t="shared" si="1"/>
        <v>21505.617185147326</v>
      </c>
      <c r="D38">
        <v>40000</v>
      </c>
      <c r="E38">
        <f t="shared" si="2"/>
        <v>4</v>
      </c>
      <c r="F38">
        <f t="shared" si="3"/>
        <v>0.6201440166493275</v>
      </c>
      <c r="G38">
        <f t="shared" si="4"/>
        <v>0.38457860138596139</v>
      </c>
    </row>
    <row r="39" spans="1:7" x14ac:dyDescent="0.35">
      <c r="A39">
        <v>1485</v>
      </c>
      <c r="B39">
        <f t="shared" si="0"/>
        <v>146.64793617759278</v>
      </c>
      <c r="C39">
        <f t="shared" si="1"/>
        <v>21505.617185147326</v>
      </c>
      <c r="D39">
        <v>41786</v>
      </c>
      <c r="E39">
        <f t="shared" si="2"/>
        <v>4.1786000000000003</v>
      </c>
      <c r="F39">
        <f t="shared" si="3"/>
        <v>0.79874401664932781</v>
      </c>
      <c r="G39">
        <f t="shared" si="4"/>
        <v>0.63799200413310164</v>
      </c>
    </row>
    <row r="40" spans="1:7" x14ac:dyDescent="0.35">
      <c r="A40">
        <v>89</v>
      </c>
      <c r="B40">
        <f t="shared" si="0"/>
        <v>-1249.3520638224072</v>
      </c>
      <c r="C40">
        <f t="shared" si="1"/>
        <v>1560880.5793773083</v>
      </c>
      <c r="D40">
        <v>26667</v>
      </c>
      <c r="E40">
        <f t="shared" si="2"/>
        <v>2.6667000000000001</v>
      </c>
      <c r="F40">
        <f t="shared" si="3"/>
        <v>-0.71315598335067243</v>
      </c>
      <c r="G40">
        <f t="shared" si="4"/>
        <v>0.50859145658886462</v>
      </c>
    </row>
    <row r="41" spans="1:7" x14ac:dyDescent="0.35">
      <c r="A41">
        <v>89</v>
      </c>
      <c r="B41">
        <f t="shared" si="0"/>
        <v>-1249.3520638224072</v>
      </c>
      <c r="C41">
        <f t="shared" si="1"/>
        <v>1560880.5793773083</v>
      </c>
      <c r="D41">
        <v>26957</v>
      </c>
      <c r="E41">
        <f t="shared" si="2"/>
        <v>2.6957</v>
      </c>
      <c r="F41">
        <f t="shared" si="3"/>
        <v>-0.68415598335067251</v>
      </c>
      <c r="G41">
        <f t="shared" si="4"/>
        <v>0.46806940955452569</v>
      </c>
    </row>
    <row r="42" spans="1:7" x14ac:dyDescent="0.35">
      <c r="A42">
        <v>89</v>
      </c>
      <c r="B42">
        <f t="shared" si="0"/>
        <v>-1249.3520638224072</v>
      </c>
      <c r="C42">
        <f t="shared" si="1"/>
        <v>1560880.5793773083</v>
      </c>
      <c r="D42">
        <v>27083</v>
      </c>
      <c r="E42">
        <f t="shared" si="2"/>
        <v>2.7082999999999999</v>
      </c>
      <c r="F42">
        <f t="shared" si="3"/>
        <v>-0.67155598335067257</v>
      </c>
      <c r="G42">
        <f t="shared" si="4"/>
        <v>0.45098743877408881</v>
      </c>
    </row>
    <row r="43" spans="1:7" x14ac:dyDescent="0.35">
      <c r="A43">
        <v>89</v>
      </c>
      <c r="B43">
        <f t="shared" si="0"/>
        <v>-1249.3520638224072</v>
      </c>
      <c r="C43">
        <f t="shared" si="1"/>
        <v>1560880.5793773083</v>
      </c>
      <c r="D43">
        <v>27925</v>
      </c>
      <c r="E43">
        <f t="shared" si="2"/>
        <v>2.7925</v>
      </c>
      <c r="F43">
        <f t="shared" si="3"/>
        <v>-0.58735598335067252</v>
      </c>
      <c r="G43">
        <f t="shared" si="4"/>
        <v>0.34498705117783551</v>
      </c>
    </row>
    <row r="44" spans="1:7" x14ac:dyDescent="0.35">
      <c r="A44">
        <v>89</v>
      </c>
      <c r="B44">
        <f t="shared" si="0"/>
        <v>-1249.3520638224072</v>
      </c>
      <c r="C44">
        <f t="shared" si="1"/>
        <v>1560880.5793773083</v>
      </c>
      <c r="D44">
        <v>28000</v>
      </c>
      <c r="E44">
        <f t="shared" si="2"/>
        <v>2.8</v>
      </c>
      <c r="F44">
        <f t="shared" si="3"/>
        <v>-0.57985598335067268</v>
      </c>
      <c r="G44">
        <f t="shared" si="4"/>
        <v>0.33623296142757558</v>
      </c>
    </row>
    <row r="45" spans="1:7" x14ac:dyDescent="0.35">
      <c r="A45">
        <v>89</v>
      </c>
      <c r="B45">
        <f t="shared" si="0"/>
        <v>-1249.3520638224072</v>
      </c>
      <c r="C45">
        <f t="shared" si="1"/>
        <v>1560880.5793773083</v>
      </c>
      <c r="D45">
        <v>26786</v>
      </c>
      <c r="E45">
        <f t="shared" si="2"/>
        <v>2.6785999999999999</v>
      </c>
      <c r="F45">
        <f t="shared" si="3"/>
        <v>-0.70125598335067263</v>
      </c>
      <c r="G45">
        <f t="shared" si="4"/>
        <v>0.49175995418511886</v>
      </c>
    </row>
    <row r="46" spans="1:7" x14ac:dyDescent="0.35">
      <c r="A46">
        <v>89</v>
      </c>
      <c r="B46">
        <f t="shared" si="0"/>
        <v>-1249.3520638224072</v>
      </c>
      <c r="C46">
        <f t="shared" si="1"/>
        <v>1560880.5793773083</v>
      </c>
      <c r="D46">
        <v>24733</v>
      </c>
      <c r="E46">
        <f t="shared" si="2"/>
        <v>2.4733000000000001</v>
      </c>
      <c r="F46">
        <f t="shared" si="3"/>
        <v>-0.90655598335067245</v>
      </c>
      <c r="G46">
        <f t="shared" si="4"/>
        <v>0.82184375094890472</v>
      </c>
    </row>
    <row r="47" spans="1:7" x14ac:dyDescent="0.35">
      <c r="A47">
        <v>89</v>
      </c>
      <c r="B47">
        <f t="shared" si="0"/>
        <v>-1249.3520638224072</v>
      </c>
      <c r="C47">
        <f t="shared" si="1"/>
        <v>1560880.5793773083</v>
      </c>
      <c r="D47">
        <v>23111</v>
      </c>
      <c r="E47">
        <f t="shared" si="2"/>
        <v>2.3111000000000002</v>
      </c>
      <c r="F47">
        <f t="shared" si="3"/>
        <v>-1.0687559833506723</v>
      </c>
      <c r="G47">
        <f t="shared" si="4"/>
        <v>1.1422393519478626</v>
      </c>
    </row>
    <row r="48" spans="1:7" x14ac:dyDescent="0.35">
      <c r="A48">
        <v>89</v>
      </c>
      <c r="B48">
        <f t="shared" si="0"/>
        <v>-1249.3520638224072</v>
      </c>
      <c r="C48">
        <f t="shared" si="1"/>
        <v>1560880.5793773083</v>
      </c>
      <c r="D48">
        <v>21374</v>
      </c>
      <c r="E48">
        <f t="shared" si="2"/>
        <v>2.1374</v>
      </c>
      <c r="F48">
        <f t="shared" si="3"/>
        <v>-1.2424559833506725</v>
      </c>
      <c r="G48">
        <f t="shared" si="4"/>
        <v>1.5436968705638867</v>
      </c>
    </row>
    <row r="49" spans="1:7" x14ac:dyDescent="0.35">
      <c r="A49">
        <v>89</v>
      </c>
      <c r="B49">
        <f t="shared" si="0"/>
        <v>-1249.3520638224072</v>
      </c>
      <c r="C49">
        <f t="shared" si="1"/>
        <v>1560880.5793773083</v>
      </c>
      <c r="D49">
        <v>19598</v>
      </c>
      <c r="E49">
        <f t="shared" si="2"/>
        <v>1.9598</v>
      </c>
      <c r="F49">
        <f t="shared" si="3"/>
        <v>-1.4200559833506725</v>
      </c>
      <c r="G49">
        <f t="shared" si="4"/>
        <v>2.0165589958500454</v>
      </c>
    </row>
    <row r="50" spans="1:7" x14ac:dyDescent="0.35">
      <c r="A50">
        <v>89</v>
      </c>
      <c r="B50">
        <f t="shared" si="0"/>
        <v>-1249.3520638224072</v>
      </c>
      <c r="C50">
        <f t="shared" si="1"/>
        <v>1560880.5793773083</v>
      </c>
      <c r="D50">
        <v>17861</v>
      </c>
      <c r="E50">
        <f t="shared" si="2"/>
        <v>1.7861</v>
      </c>
      <c r="F50">
        <f t="shared" si="3"/>
        <v>-1.5937559833506725</v>
      </c>
      <c r="G50">
        <f t="shared" si="4"/>
        <v>2.5400581344660691</v>
      </c>
    </row>
    <row r="51" spans="1:7" x14ac:dyDescent="0.35">
      <c r="A51">
        <v>89</v>
      </c>
      <c r="B51">
        <f t="shared" si="0"/>
        <v>-1249.3520638224072</v>
      </c>
      <c r="C51">
        <f t="shared" si="1"/>
        <v>1560880.5793773083</v>
      </c>
      <c r="D51">
        <v>15000</v>
      </c>
      <c r="E51">
        <f t="shared" si="2"/>
        <v>1.5</v>
      </c>
      <c r="F51">
        <f t="shared" si="3"/>
        <v>-1.8798559833506725</v>
      </c>
      <c r="G51">
        <f t="shared" si="4"/>
        <v>3.5338585181393238</v>
      </c>
    </row>
    <row r="52" spans="1:7" x14ac:dyDescent="0.35">
      <c r="A52">
        <v>89</v>
      </c>
      <c r="B52">
        <f t="shared" si="0"/>
        <v>-1249.3520638224072</v>
      </c>
      <c r="C52">
        <f t="shared" si="1"/>
        <v>1560880.5793773083</v>
      </c>
      <c r="D52">
        <v>15000</v>
      </c>
      <c r="E52">
        <f t="shared" si="2"/>
        <v>1.5</v>
      </c>
      <c r="F52">
        <f t="shared" si="3"/>
        <v>-1.8798559833506725</v>
      </c>
      <c r="G52">
        <f t="shared" si="4"/>
        <v>3.5338585181393238</v>
      </c>
    </row>
    <row r="53" spans="1:7" x14ac:dyDescent="0.35">
      <c r="A53">
        <v>89</v>
      </c>
      <c r="B53">
        <f t="shared" si="0"/>
        <v>-1249.3520638224072</v>
      </c>
      <c r="C53">
        <f t="shared" si="1"/>
        <v>1560880.5793773083</v>
      </c>
      <c r="D53">
        <v>13942</v>
      </c>
      <c r="E53">
        <f t="shared" si="2"/>
        <v>1.3942000000000001</v>
      </c>
      <c r="F53">
        <f t="shared" si="3"/>
        <v>-1.9856559833506724</v>
      </c>
      <c r="G53">
        <f t="shared" si="4"/>
        <v>3.942829684216326</v>
      </c>
    </row>
    <row r="54" spans="1:7" x14ac:dyDescent="0.35">
      <c r="A54">
        <v>89</v>
      </c>
      <c r="B54">
        <f t="shared" si="0"/>
        <v>-1249.3520638224072</v>
      </c>
      <c r="C54">
        <f t="shared" si="1"/>
        <v>1560880.5793773083</v>
      </c>
      <c r="D54">
        <v>13052</v>
      </c>
      <c r="E54">
        <f t="shared" si="2"/>
        <v>1.3051999999999999</v>
      </c>
      <c r="F54">
        <f t="shared" si="3"/>
        <v>-2.0746559833506728</v>
      </c>
      <c r="G54">
        <f t="shared" si="4"/>
        <v>4.3041974492527473</v>
      </c>
    </row>
    <row r="55" spans="1:7" x14ac:dyDescent="0.35">
      <c r="A55">
        <v>89</v>
      </c>
      <c r="B55">
        <f t="shared" si="0"/>
        <v>-1249.3520638224072</v>
      </c>
      <c r="C55">
        <f t="shared" si="1"/>
        <v>1560880.5793773083</v>
      </c>
      <c r="D55">
        <v>12314</v>
      </c>
      <c r="E55">
        <f t="shared" si="2"/>
        <v>1.2314000000000001</v>
      </c>
      <c r="F55">
        <f t="shared" si="3"/>
        <v>-2.1484559833506722</v>
      </c>
      <c r="G55">
        <f t="shared" si="4"/>
        <v>4.6158631123953038</v>
      </c>
    </row>
    <row r="56" spans="1:7" x14ac:dyDescent="0.35">
      <c r="A56">
        <v>89</v>
      </c>
      <c r="B56">
        <f t="shared" si="0"/>
        <v>-1249.3520638224072</v>
      </c>
      <c r="C56">
        <f t="shared" si="1"/>
        <v>1560880.5793773083</v>
      </c>
      <c r="D56">
        <v>12959</v>
      </c>
      <c r="E56">
        <f t="shared" si="2"/>
        <v>1.2959000000000001</v>
      </c>
      <c r="F56">
        <f t="shared" si="3"/>
        <v>-2.0839559833506724</v>
      </c>
      <c r="G56">
        <f t="shared" si="4"/>
        <v>4.3428725405430679</v>
      </c>
    </row>
    <row r="57" spans="1:7" x14ac:dyDescent="0.35">
      <c r="A57">
        <v>89</v>
      </c>
      <c r="B57">
        <f t="shared" si="0"/>
        <v>-1249.3520638224072</v>
      </c>
      <c r="C57">
        <f t="shared" si="1"/>
        <v>1560880.5793773083</v>
      </c>
      <c r="D57">
        <v>12829</v>
      </c>
      <c r="E57">
        <f t="shared" si="2"/>
        <v>1.2828999999999999</v>
      </c>
      <c r="F57">
        <f t="shared" si="3"/>
        <v>-2.0969559833506723</v>
      </c>
      <c r="G57">
        <f t="shared" si="4"/>
        <v>4.3972243961101851</v>
      </c>
    </row>
    <row r="58" spans="1:7" x14ac:dyDescent="0.35">
      <c r="A58">
        <v>89</v>
      </c>
      <c r="B58">
        <f t="shared" si="0"/>
        <v>-1249.3520638224072</v>
      </c>
      <c r="C58">
        <f t="shared" si="1"/>
        <v>1560880.5793773083</v>
      </c>
      <c r="D58">
        <v>12998</v>
      </c>
      <c r="E58">
        <f t="shared" si="2"/>
        <v>1.2998000000000001</v>
      </c>
      <c r="F58">
        <f t="shared" si="3"/>
        <v>-2.0800559833506727</v>
      </c>
      <c r="G58">
        <f t="shared" si="4"/>
        <v>4.3266328938729339</v>
      </c>
    </row>
    <row r="59" spans="1:7" x14ac:dyDescent="0.35">
      <c r="A59">
        <v>89</v>
      </c>
      <c r="B59">
        <f t="shared" si="0"/>
        <v>-1249.3520638224072</v>
      </c>
      <c r="C59">
        <f t="shared" si="1"/>
        <v>1560880.5793773083</v>
      </c>
      <c r="D59">
        <v>12769</v>
      </c>
      <c r="E59">
        <f t="shared" si="2"/>
        <v>1.2768999999999999</v>
      </c>
      <c r="F59">
        <f t="shared" si="3"/>
        <v>-2.1029559833506726</v>
      </c>
      <c r="G59">
        <f t="shared" si="4"/>
        <v>4.4224238679103944</v>
      </c>
    </row>
    <row r="60" spans="1:7" x14ac:dyDescent="0.35">
      <c r="A60">
        <v>89</v>
      </c>
      <c r="B60">
        <f t="shared" si="0"/>
        <v>-1249.3520638224072</v>
      </c>
      <c r="C60">
        <f t="shared" si="1"/>
        <v>1560880.5793773083</v>
      </c>
      <c r="D60">
        <v>13375</v>
      </c>
      <c r="E60">
        <f t="shared" si="2"/>
        <v>1.3374999999999999</v>
      </c>
      <c r="F60">
        <f t="shared" si="3"/>
        <v>-2.0423559833506726</v>
      </c>
      <c r="G60">
        <f t="shared" si="4"/>
        <v>4.171217962728293</v>
      </c>
    </row>
    <row r="61" spans="1:7" x14ac:dyDescent="0.35">
      <c r="A61">
        <v>89</v>
      </c>
      <c r="B61">
        <f t="shared" si="0"/>
        <v>-1249.3520638224072</v>
      </c>
      <c r="C61">
        <f t="shared" si="1"/>
        <v>1560880.5793773083</v>
      </c>
      <c r="D61">
        <v>13952</v>
      </c>
      <c r="E61">
        <f t="shared" si="2"/>
        <v>1.3952</v>
      </c>
      <c r="F61">
        <f t="shared" si="3"/>
        <v>-1.9846559833506725</v>
      </c>
      <c r="G61">
        <f t="shared" si="4"/>
        <v>3.9388593722496248</v>
      </c>
    </row>
    <row r="62" spans="1:7" x14ac:dyDescent="0.35">
      <c r="A62">
        <v>89</v>
      </c>
      <c r="B62">
        <f t="shared" si="0"/>
        <v>-1249.3520638224072</v>
      </c>
      <c r="C62">
        <f t="shared" si="1"/>
        <v>1560880.5793773083</v>
      </c>
      <c r="D62">
        <v>14594</v>
      </c>
      <c r="E62">
        <f t="shared" si="2"/>
        <v>1.4594</v>
      </c>
      <c r="F62">
        <f t="shared" si="3"/>
        <v>-1.9204559833506725</v>
      </c>
      <c r="G62">
        <f t="shared" si="4"/>
        <v>3.6881511839873982</v>
      </c>
    </row>
    <row r="63" spans="1:7" x14ac:dyDescent="0.35">
      <c r="A63">
        <v>89</v>
      </c>
      <c r="B63">
        <f t="shared" si="0"/>
        <v>-1249.3520638224072</v>
      </c>
      <c r="C63">
        <f t="shared" si="1"/>
        <v>1560880.5793773083</v>
      </c>
      <c r="D63">
        <v>15305</v>
      </c>
      <c r="E63">
        <f t="shared" si="2"/>
        <v>1.5305</v>
      </c>
      <c r="F63">
        <f t="shared" si="3"/>
        <v>-1.8493559833506725</v>
      </c>
      <c r="G63">
        <f t="shared" si="4"/>
        <v>3.4201175531549328</v>
      </c>
    </row>
    <row r="64" spans="1:7" x14ac:dyDescent="0.35">
      <c r="A64">
        <v>89</v>
      </c>
      <c r="B64">
        <f t="shared" si="0"/>
        <v>-1249.3520638224072</v>
      </c>
      <c r="C64">
        <f t="shared" si="1"/>
        <v>1560880.5793773083</v>
      </c>
      <c r="D64">
        <v>16081</v>
      </c>
      <c r="E64">
        <f t="shared" si="2"/>
        <v>1.6081000000000001</v>
      </c>
      <c r="F64">
        <f t="shared" si="3"/>
        <v>-1.7717559833506724</v>
      </c>
      <c r="G64">
        <f t="shared" si="4"/>
        <v>3.1391192645389081</v>
      </c>
    </row>
    <row r="65" spans="1:7" x14ac:dyDescent="0.35">
      <c r="A65">
        <v>89</v>
      </c>
      <c r="B65">
        <f t="shared" si="0"/>
        <v>-1249.3520638224072</v>
      </c>
      <c r="C65">
        <f t="shared" si="1"/>
        <v>1560880.5793773083</v>
      </c>
      <c r="D65">
        <v>16667</v>
      </c>
      <c r="E65">
        <f t="shared" si="2"/>
        <v>1.6667000000000001</v>
      </c>
      <c r="F65">
        <f t="shared" si="3"/>
        <v>-1.7131559833506724</v>
      </c>
      <c r="G65">
        <f t="shared" si="4"/>
        <v>2.9349034232902094</v>
      </c>
    </row>
    <row r="66" spans="1:7" x14ac:dyDescent="0.35">
      <c r="A66">
        <v>89</v>
      </c>
      <c r="B66">
        <f t="shared" si="0"/>
        <v>-1249.3520638224072</v>
      </c>
      <c r="C66">
        <f t="shared" si="1"/>
        <v>1560880.5793773083</v>
      </c>
      <c r="D66">
        <v>17778</v>
      </c>
      <c r="E66">
        <f t="shared" si="2"/>
        <v>1.7778</v>
      </c>
      <c r="F66">
        <f t="shared" si="3"/>
        <v>-1.6020559833506725</v>
      </c>
      <c r="G66">
        <f t="shared" si="4"/>
        <v>2.5665833737896899</v>
      </c>
    </row>
    <row r="67" spans="1:7" x14ac:dyDescent="0.35">
      <c r="A67">
        <v>89</v>
      </c>
      <c r="B67">
        <f t="shared" ref="B67:B130" si="5">A67-$J$1</f>
        <v>-1249.3520638224072</v>
      </c>
      <c r="C67">
        <f t="shared" ref="C67:C130" si="6">B67^2</f>
        <v>1560880.5793773083</v>
      </c>
      <c r="D67">
        <v>17778</v>
      </c>
      <c r="E67">
        <f t="shared" ref="E67:E130" si="7">D67/10000</f>
        <v>1.7778</v>
      </c>
      <c r="F67">
        <f t="shared" ref="F67:F130" si="8">E67-$J$2</f>
        <v>-1.6020559833506725</v>
      </c>
      <c r="G67">
        <f t="shared" ref="G67:G130" si="9">F67^2</f>
        <v>2.5665833737896899</v>
      </c>
    </row>
    <row r="68" spans="1:7" x14ac:dyDescent="0.35">
      <c r="A68">
        <v>89</v>
      </c>
      <c r="B68">
        <f t="shared" si="5"/>
        <v>-1249.3520638224072</v>
      </c>
      <c r="C68">
        <f t="shared" si="6"/>
        <v>1560880.5793773083</v>
      </c>
      <c r="D68">
        <v>17579</v>
      </c>
      <c r="E68">
        <f t="shared" si="7"/>
        <v>1.7579</v>
      </c>
      <c r="F68">
        <f t="shared" si="8"/>
        <v>-1.6219559833506725</v>
      </c>
      <c r="G68">
        <f t="shared" si="9"/>
        <v>2.630741211927047</v>
      </c>
    </row>
    <row r="69" spans="1:7" x14ac:dyDescent="0.35">
      <c r="A69">
        <v>89</v>
      </c>
      <c r="B69">
        <f t="shared" si="5"/>
        <v>-1249.3520638224072</v>
      </c>
      <c r="C69">
        <f t="shared" si="6"/>
        <v>1560880.5793773083</v>
      </c>
      <c r="D69">
        <v>17502</v>
      </c>
      <c r="E69">
        <f t="shared" si="7"/>
        <v>1.7502</v>
      </c>
      <c r="F69">
        <f t="shared" si="8"/>
        <v>-1.6296559833506725</v>
      </c>
      <c r="G69">
        <f t="shared" si="9"/>
        <v>2.6557786240706474</v>
      </c>
    </row>
    <row r="70" spans="1:7" x14ac:dyDescent="0.35">
      <c r="A70">
        <v>1010</v>
      </c>
      <c r="B70">
        <f t="shared" si="5"/>
        <v>-328.35206382240722</v>
      </c>
      <c r="C70">
        <f t="shared" si="6"/>
        <v>107815.07781643418</v>
      </c>
      <c r="D70">
        <v>8333</v>
      </c>
      <c r="E70">
        <f t="shared" si="7"/>
        <v>0.83330000000000004</v>
      </c>
      <c r="F70">
        <f t="shared" si="8"/>
        <v>-2.5465559833506726</v>
      </c>
      <c r="G70">
        <f t="shared" si="9"/>
        <v>6.484947376339111</v>
      </c>
    </row>
    <row r="71" spans="1:7" x14ac:dyDescent="0.35">
      <c r="A71">
        <v>1010</v>
      </c>
      <c r="B71">
        <f t="shared" si="5"/>
        <v>-328.35206382240722</v>
      </c>
      <c r="C71">
        <f t="shared" si="6"/>
        <v>107815.07781643418</v>
      </c>
      <c r="D71">
        <v>8333</v>
      </c>
      <c r="E71">
        <f t="shared" si="7"/>
        <v>0.83330000000000004</v>
      </c>
      <c r="F71">
        <f t="shared" si="8"/>
        <v>-2.5465559833506726</v>
      </c>
      <c r="G71">
        <f t="shared" si="9"/>
        <v>6.484947376339111</v>
      </c>
    </row>
    <row r="72" spans="1:7" x14ac:dyDescent="0.35">
      <c r="A72">
        <v>1010</v>
      </c>
      <c r="B72">
        <f t="shared" si="5"/>
        <v>-328.35206382240722</v>
      </c>
      <c r="C72">
        <f t="shared" si="6"/>
        <v>107815.07781643418</v>
      </c>
      <c r="D72">
        <v>6667</v>
      </c>
      <c r="E72">
        <f t="shared" si="7"/>
        <v>0.66669999999999996</v>
      </c>
      <c r="F72">
        <f t="shared" si="8"/>
        <v>-2.7131559833506724</v>
      </c>
      <c r="G72">
        <f t="shared" si="9"/>
        <v>7.3612153899915542</v>
      </c>
    </row>
    <row r="73" spans="1:7" x14ac:dyDescent="0.35">
      <c r="A73">
        <v>1010</v>
      </c>
      <c r="B73">
        <f t="shared" si="5"/>
        <v>-328.35206382240722</v>
      </c>
      <c r="C73">
        <f t="shared" si="6"/>
        <v>107815.07781643418</v>
      </c>
      <c r="D73">
        <v>7500</v>
      </c>
      <c r="E73">
        <f t="shared" si="7"/>
        <v>0.75</v>
      </c>
      <c r="F73">
        <f t="shared" si="8"/>
        <v>-2.6298559833506725</v>
      </c>
      <c r="G73">
        <f t="shared" si="9"/>
        <v>6.9161424931653324</v>
      </c>
    </row>
    <row r="74" spans="1:7" x14ac:dyDescent="0.35">
      <c r="A74">
        <v>1010</v>
      </c>
      <c r="B74">
        <f t="shared" si="5"/>
        <v>-328.35206382240722</v>
      </c>
      <c r="C74">
        <f t="shared" si="6"/>
        <v>107815.07781643418</v>
      </c>
      <c r="D74">
        <v>9512</v>
      </c>
      <c r="E74">
        <f t="shared" si="7"/>
        <v>0.95120000000000005</v>
      </c>
      <c r="F74">
        <f t="shared" si="8"/>
        <v>-2.4286559833506725</v>
      </c>
      <c r="G74">
        <f t="shared" si="9"/>
        <v>5.8983698854650219</v>
      </c>
    </row>
    <row r="75" spans="1:7" x14ac:dyDescent="0.35">
      <c r="A75">
        <v>1010</v>
      </c>
      <c r="B75">
        <f t="shared" si="5"/>
        <v>-328.35206382240722</v>
      </c>
      <c r="C75">
        <f t="shared" si="6"/>
        <v>107815.07781643418</v>
      </c>
      <c r="D75">
        <v>10000</v>
      </c>
      <c r="E75">
        <f t="shared" si="7"/>
        <v>1</v>
      </c>
      <c r="F75">
        <f t="shared" si="8"/>
        <v>-2.3798559833506725</v>
      </c>
      <c r="G75">
        <f t="shared" si="9"/>
        <v>5.6637145014899968</v>
      </c>
    </row>
    <row r="76" spans="1:7" x14ac:dyDescent="0.35">
      <c r="A76">
        <v>1010</v>
      </c>
      <c r="B76">
        <f t="shared" si="5"/>
        <v>-328.35206382240722</v>
      </c>
      <c r="C76">
        <f t="shared" si="6"/>
        <v>107815.07781643418</v>
      </c>
      <c r="D76">
        <v>9106</v>
      </c>
      <c r="E76">
        <f t="shared" si="7"/>
        <v>0.91059999999999997</v>
      </c>
      <c r="F76">
        <f t="shared" si="8"/>
        <v>-2.4692559833506724</v>
      </c>
      <c r="G76">
        <f t="shared" si="9"/>
        <v>6.0972251113130964</v>
      </c>
    </row>
    <row r="77" spans="1:7" x14ac:dyDescent="0.35">
      <c r="A77">
        <v>1010</v>
      </c>
      <c r="B77">
        <f t="shared" si="5"/>
        <v>-328.35206382240722</v>
      </c>
      <c r="C77">
        <f t="shared" si="6"/>
        <v>107815.07781643418</v>
      </c>
      <c r="D77">
        <v>8000</v>
      </c>
      <c r="E77">
        <f t="shared" si="7"/>
        <v>0.8</v>
      </c>
      <c r="F77">
        <f t="shared" si="8"/>
        <v>-2.5798559833506722</v>
      </c>
      <c r="G77">
        <f t="shared" si="9"/>
        <v>6.6556568948302637</v>
      </c>
    </row>
    <row r="78" spans="1:7" x14ac:dyDescent="0.35">
      <c r="A78">
        <v>1010</v>
      </c>
      <c r="B78">
        <f t="shared" si="5"/>
        <v>-328.35206382240722</v>
      </c>
      <c r="C78">
        <f t="shared" si="6"/>
        <v>107815.07781643418</v>
      </c>
      <c r="D78">
        <v>8750</v>
      </c>
      <c r="E78">
        <f t="shared" si="7"/>
        <v>0.875</v>
      </c>
      <c r="F78">
        <f t="shared" si="8"/>
        <v>-2.5048559833506725</v>
      </c>
      <c r="G78">
        <f t="shared" si="9"/>
        <v>6.2743034973276641</v>
      </c>
    </row>
    <row r="79" spans="1:7" x14ac:dyDescent="0.35">
      <c r="A79">
        <v>1010</v>
      </c>
      <c r="B79">
        <f t="shared" si="5"/>
        <v>-328.35206382240722</v>
      </c>
      <c r="C79">
        <f t="shared" si="6"/>
        <v>107815.07781643418</v>
      </c>
      <c r="D79">
        <v>14615</v>
      </c>
      <c r="E79">
        <f t="shared" si="7"/>
        <v>1.4615</v>
      </c>
      <c r="F79">
        <f t="shared" si="8"/>
        <v>-1.9183559833506725</v>
      </c>
      <c r="G79">
        <f t="shared" si="9"/>
        <v>3.6800896788573256</v>
      </c>
    </row>
    <row r="80" spans="1:7" x14ac:dyDescent="0.35">
      <c r="A80">
        <v>1010</v>
      </c>
      <c r="B80">
        <f t="shared" si="5"/>
        <v>-328.35206382240722</v>
      </c>
      <c r="C80">
        <f t="shared" si="6"/>
        <v>107815.07781643418</v>
      </c>
      <c r="D80">
        <v>17500</v>
      </c>
      <c r="E80">
        <f t="shared" si="7"/>
        <v>1.75</v>
      </c>
      <c r="F80">
        <f t="shared" si="8"/>
        <v>-1.6298559833506725</v>
      </c>
      <c r="G80">
        <f t="shared" si="9"/>
        <v>2.6564305264639878</v>
      </c>
    </row>
    <row r="81" spans="1:7" x14ac:dyDescent="0.35">
      <c r="A81">
        <v>1010</v>
      </c>
      <c r="B81">
        <f t="shared" si="5"/>
        <v>-328.35206382240722</v>
      </c>
      <c r="C81">
        <f t="shared" si="6"/>
        <v>107815.07781643418</v>
      </c>
      <c r="D81">
        <v>20000</v>
      </c>
      <c r="E81">
        <f t="shared" si="7"/>
        <v>2</v>
      </c>
      <c r="F81">
        <f t="shared" si="8"/>
        <v>-1.3798559833506725</v>
      </c>
      <c r="G81">
        <f t="shared" si="9"/>
        <v>1.9040025347886513</v>
      </c>
    </row>
    <row r="82" spans="1:7" x14ac:dyDescent="0.35">
      <c r="A82">
        <v>1010</v>
      </c>
      <c r="B82">
        <f t="shared" si="5"/>
        <v>-328.35206382240722</v>
      </c>
      <c r="C82">
        <f t="shared" si="6"/>
        <v>107815.07781643418</v>
      </c>
      <c r="D82">
        <v>20000</v>
      </c>
      <c r="E82">
        <f t="shared" si="7"/>
        <v>2</v>
      </c>
      <c r="F82">
        <f t="shared" si="8"/>
        <v>-1.3798559833506725</v>
      </c>
      <c r="G82">
        <f t="shared" si="9"/>
        <v>1.9040025347886513</v>
      </c>
    </row>
    <row r="83" spans="1:7" x14ac:dyDescent="0.35">
      <c r="A83">
        <v>1010</v>
      </c>
      <c r="B83">
        <f t="shared" si="5"/>
        <v>-328.35206382240722</v>
      </c>
      <c r="C83">
        <f t="shared" si="6"/>
        <v>107815.07781643418</v>
      </c>
      <c r="D83">
        <v>14235</v>
      </c>
      <c r="E83">
        <f t="shared" si="7"/>
        <v>1.4235</v>
      </c>
      <c r="F83">
        <f t="shared" si="8"/>
        <v>-1.9563559833506725</v>
      </c>
      <c r="G83">
        <f t="shared" si="9"/>
        <v>3.827328733591977</v>
      </c>
    </row>
    <row r="84" spans="1:7" x14ac:dyDescent="0.35">
      <c r="A84">
        <v>1010</v>
      </c>
      <c r="B84">
        <f t="shared" si="5"/>
        <v>-328.35206382240722</v>
      </c>
      <c r="C84">
        <f t="shared" si="6"/>
        <v>107815.07781643418</v>
      </c>
      <c r="D84">
        <v>13454</v>
      </c>
      <c r="E84">
        <f t="shared" si="7"/>
        <v>1.3453999999999999</v>
      </c>
      <c r="F84">
        <f t="shared" si="8"/>
        <v>-2.0344559833506723</v>
      </c>
      <c r="G84">
        <f t="shared" si="9"/>
        <v>4.1390111481913516</v>
      </c>
    </row>
    <row r="85" spans="1:7" x14ac:dyDescent="0.35">
      <c r="A85">
        <v>1010</v>
      </c>
      <c r="B85">
        <f t="shared" si="5"/>
        <v>-328.35206382240722</v>
      </c>
      <c r="C85">
        <f t="shared" si="6"/>
        <v>107815.07781643418</v>
      </c>
      <c r="D85">
        <v>13701</v>
      </c>
      <c r="E85">
        <f t="shared" si="7"/>
        <v>1.3701000000000001</v>
      </c>
      <c r="F85">
        <f t="shared" si="8"/>
        <v>-2.0097559833506722</v>
      </c>
      <c r="G85">
        <f t="shared" si="9"/>
        <v>4.0391191126138271</v>
      </c>
    </row>
    <row r="86" spans="1:7" x14ac:dyDescent="0.35">
      <c r="A86">
        <v>1010</v>
      </c>
      <c r="B86">
        <f t="shared" si="5"/>
        <v>-328.35206382240722</v>
      </c>
      <c r="C86">
        <f t="shared" si="6"/>
        <v>107815.07781643418</v>
      </c>
      <c r="D86">
        <v>13198</v>
      </c>
      <c r="E86">
        <f t="shared" si="7"/>
        <v>1.3198000000000001</v>
      </c>
      <c r="F86">
        <f t="shared" si="8"/>
        <v>-2.0600559833506722</v>
      </c>
      <c r="G86">
        <f t="shared" si="9"/>
        <v>4.2438306545389048</v>
      </c>
    </row>
    <row r="87" spans="1:7" x14ac:dyDescent="0.35">
      <c r="A87">
        <v>1010</v>
      </c>
      <c r="B87">
        <f t="shared" si="5"/>
        <v>-328.35206382240722</v>
      </c>
      <c r="C87">
        <f t="shared" si="6"/>
        <v>107815.07781643418</v>
      </c>
      <c r="D87">
        <v>11584</v>
      </c>
      <c r="E87">
        <f t="shared" si="7"/>
        <v>1.1584000000000001</v>
      </c>
      <c r="F87">
        <f t="shared" si="8"/>
        <v>-2.2214559833506726</v>
      </c>
      <c r="G87">
        <f t="shared" si="9"/>
        <v>4.9348666859645043</v>
      </c>
    </row>
    <row r="88" spans="1:7" x14ac:dyDescent="0.35">
      <c r="A88">
        <v>1010</v>
      </c>
      <c r="B88">
        <f t="shared" si="5"/>
        <v>-328.35206382240722</v>
      </c>
      <c r="C88">
        <f t="shared" si="6"/>
        <v>107815.07781643418</v>
      </c>
      <c r="D88">
        <v>6977</v>
      </c>
      <c r="E88">
        <f t="shared" si="7"/>
        <v>0.69769999999999999</v>
      </c>
      <c r="F88">
        <f t="shared" si="8"/>
        <v>-2.6821559833506727</v>
      </c>
      <c r="G88">
        <f t="shared" si="9"/>
        <v>7.1939607190238144</v>
      </c>
    </row>
    <row r="89" spans="1:7" x14ac:dyDescent="0.35">
      <c r="A89">
        <v>1010</v>
      </c>
      <c r="B89">
        <f t="shared" si="5"/>
        <v>-328.35206382240722</v>
      </c>
      <c r="C89">
        <f t="shared" si="6"/>
        <v>107815.07781643418</v>
      </c>
      <c r="D89">
        <v>4947</v>
      </c>
      <c r="E89">
        <f t="shared" si="7"/>
        <v>0.49469999999999997</v>
      </c>
      <c r="F89">
        <f t="shared" si="8"/>
        <v>-2.8851559833506726</v>
      </c>
      <c r="G89">
        <f t="shared" si="9"/>
        <v>8.324125048264186</v>
      </c>
    </row>
    <row r="90" spans="1:7" x14ac:dyDescent="0.35">
      <c r="A90">
        <v>1010</v>
      </c>
      <c r="B90">
        <f t="shared" si="5"/>
        <v>-328.35206382240722</v>
      </c>
      <c r="C90">
        <f t="shared" si="6"/>
        <v>107815.07781643418</v>
      </c>
      <c r="D90">
        <v>5143</v>
      </c>
      <c r="E90">
        <f t="shared" si="7"/>
        <v>0.51429999999999998</v>
      </c>
      <c r="F90">
        <f t="shared" si="8"/>
        <v>-2.8655559833506725</v>
      </c>
      <c r="G90">
        <f t="shared" si="9"/>
        <v>8.2114110937168405</v>
      </c>
    </row>
    <row r="91" spans="1:7" x14ac:dyDescent="0.35">
      <c r="A91">
        <v>1010</v>
      </c>
      <c r="B91">
        <f t="shared" si="5"/>
        <v>-328.35206382240722</v>
      </c>
      <c r="C91">
        <f t="shared" si="6"/>
        <v>107815.07781643418</v>
      </c>
      <c r="D91">
        <v>5084</v>
      </c>
      <c r="E91">
        <f t="shared" si="7"/>
        <v>0.50839999999999996</v>
      </c>
      <c r="F91">
        <f t="shared" si="8"/>
        <v>-2.8714559833506725</v>
      </c>
      <c r="G91">
        <f t="shared" si="9"/>
        <v>8.2452594643203785</v>
      </c>
    </row>
    <row r="92" spans="1:7" x14ac:dyDescent="0.35">
      <c r="A92">
        <v>1010</v>
      </c>
      <c r="B92">
        <f t="shared" si="5"/>
        <v>-328.35206382240722</v>
      </c>
      <c r="C92">
        <f t="shared" si="6"/>
        <v>107815.07781643418</v>
      </c>
      <c r="D92">
        <v>6028</v>
      </c>
      <c r="E92">
        <f t="shared" si="7"/>
        <v>0.6028</v>
      </c>
      <c r="F92">
        <f t="shared" si="8"/>
        <v>-2.7770559833506727</v>
      </c>
      <c r="G92">
        <f t="shared" si="9"/>
        <v>7.712039934663772</v>
      </c>
    </row>
    <row r="93" spans="1:7" x14ac:dyDescent="0.35">
      <c r="A93">
        <v>1010</v>
      </c>
      <c r="B93">
        <f t="shared" si="5"/>
        <v>-328.35206382240722</v>
      </c>
      <c r="C93">
        <f t="shared" si="6"/>
        <v>107815.07781643418</v>
      </c>
      <c r="D93">
        <v>7403</v>
      </c>
      <c r="E93">
        <f t="shared" si="7"/>
        <v>0.74029999999999996</v>
      </c>
      <c r="F93">
        <f t="shared" si="8"/>
        <v>-2.6395559833506725</v>
      </c>
      <c r="G93">
        <f t="shared" si="9"/>
        <v>6.9672557892423361</v>
      </c>
    </row>
    <row r="94" spans="1:7" x14ac:dyDescent="0.35">
      <c r="A94">
        <v>1010</v>
      </c>
      <c r="B94">
        <f t="shared" si="5"/>
        <v>-328.35206382240722</v>
      </c>
      <c r="C94">
        <f t="shared" si="6"/>
        <v>107815.07781643418</v>
      </c>
      <c r="D94">
        <v>8914</v>
      </c>
      <c r="E94">
        <f t="shared" si="7"/>
        <v>0.89139999999999997</v>
      </c>
      <c r="F94">
        <f t="shared" si="8"/>
        <v>-2.4884559833506725</v>
      </c>
      <c r="G94">
        <f t="shared" si="9"/>
        <v>6.1924131810737624</v>
      </c>
    </row>
    <row r="95" spans="1:7" x14ac:dyDescent="0.35">
      <c r="A95">
        <v>1010</v>
      </c>
      <c r="B95">
        <f t="shared" si="5"/>
        <v>-328.35206382240722</v>
      </c>
      <c r="C95">
        <f t="shared" si="6"/>
        <v>107815.07781643418</v>
      </c>
      <c r="D95">
        <v>7703</v>
      </c>
      <c r="E95">
        <f t="shared" si="7"/>
        <v>0.77029999999999998</v>
      </c>
      <c r="F95">
        <f t="shared" si="8"/>
        <v>-2.6095559833506723</v>
      </c>
      <c r="G95">
        <f t="shared" si="9"/>
        <v>6.8097824302412944</v>
      </c>
    </row>
    <row r="96" spans="1:7" x14ac:dyDescent="0.35">
      <c r="A96">
        <v>1010</v>
      </c>
      <c r="B96">
        <f t="shared" si="5"/>
        <v>-328.35206382240722</v>
      </c>
      <c r="C96">
        <f t="shared" si="6"/>
        <v>107815.07781643418</v>
      </c>
      <c r="D96">
        <v>12744</v>
      </c>
      <c r="E96">
        <f t="shared" si="7"/>
        <v>1.2744</v>
      </c>
      <c r="F96">
        <f t="shared" si="8"/>
        <v>-2.1054559833506725</v>
      </c>
      <c r="G96">
        <f t="shared" si="9"/>
        <v>4.4329448978271477</v>
      </c>
    </row>
    <row r="97" spans="1:7" x14ac:dyDescent="0.35">
      <c r="A97">
        <v>1010</v>
      </c>
      <c r="B97">
        <f t="shared" si="5"/>
        <v>-328.35206382240722</v>
      </c>
      <c r="C97">
        <f t="shared" si="6"/>
        <v>107815.07781643418</v>
      </c>
      <c r="D97">
        <v>14064</v>
      </c>
      <c r="E97">
        <f t="shared" si="7"/>
        <v>1.4064000000000001</v>
      </c>
      <c r="F97">
        <f t="shared" si="8"/>
        <v>-1.9734559833506724</v>
      </c>
      <c r="G97">
        <f t="shared" si="9"/>
        <v>3.8945285182225695</v>
      </c>
    </row>
    <row r="98" spans="1:7" x14ac:dyDescent="0.35">
      <c r="A98">
        <v>1010</v>
      </c>
      <c r="B98">
        <f t="shared" si="5"/>
        <v>-328.35206382240722</v>
      </c>
      <c r="C98">
        <f t="shared" si="6"/>
        <v>107815.07781643418</v>
      </c>
      <c r="D98">
        <v>15068</v>
      </c>
      <c r="E98">
        <f t="shared" si="7"/>
        <v>1.5067999999999999</v>
      </c>
      <c r="F98">
        <f t="shared" si="8"/>
        <v>-1.8730559833506726</v>
      </c>
      <c r="G98">
        <f t="shared" si="9"/>
        <v>3.5083387167657549</v>
      </c>
    </row>
    <row r="99" spans="1:7" x14ac:dyDescent="0.35">
      <c r="A99">
        <v>1010</v>
      </c>
      <c r="B99">
        <f t="shared" si="5"/>
        <v>-328.35206382240722</v>
      </c>
      <c r="C99">
        <f t="shared" si="6"/>
        <v>107815.07781643418</v>
      </c>
      <c r="D99">
        <v>15477</v>
      </c>
      <c r="E99">
        <f t="shared" si="7"/>
        <v>1.5477000000000001</v>
      </c>
      <c r="F99">
        <f t="shared" si="8"/>
        <v>-1.8321559833506724</v>
      </c>
      <c r="G99">
        <f t="shared" si="9"/>
        <v>3.3567955473276694</v>
      </c>
    </row>
    <row r="100" spans="1:7" x14ac:dyDescent="0.35">
      <c r="A100">
        <v>591</v>
      </c>
      <c r="B100">
        <f t="shared" si="5"/>
        <v>-747.35206382240722</v>
      </c>
      <c r="C100">
        <f t="shared" si="6"/>
        <v>558535.10729961144</v>
      </c>
      <c r="D100">
        <v>36782</v>
      </c>
      <c r="E100">
        <f t="shared" si="7"/>
        <v>3.6781999999999999</v>
      </c>
      <c r="F100">
        <f t="shared" si="8"/>
        <v>0.29834401664932741</v>
      </c>
      <c r="G100">
        <f t="shared" si="9"/>
        <v>8.9009152270454153E-2</v>
      </c>
    </row>
    <row r="101" spans="1:7" x14ac:dyDescent="0.35">
      <c r="A101">
        <v>591</v>
      </c>
      <c r="B101">
        <f t="shared" si="5"/>
        <v>-747.35206382240722</v>
      </c>
      <c r="C101">
        <f t="shared" si="6"/>
        <v>558535.10729961144</v>
      </c>
      <c r="D101">
        <v>38849</v>
      </c>
      <c r="E101">
        <f t="shared" si="7"/>
        <v>3.8849</v>
      </c>
      <c r="F101">
        <f t="shared" si="8"/>
        <v>0.50504401664932752</v>
      </c>
      <c r="G101">
        <f t="shared" si="9"/>
        <v>0.25506945875328624</v>
      </c>
    </row>
    <row r="102" spans="1:7" x14ac:dyDescent="0.35">
      <c r="A102">
        <v>591</v>
      </c>
      <c r="B102">
        <f t="shared" si="5"/>
        <v>-747.35206382240722</v>
      </c>
      <c r="C102">
        <f t="shared" si="6"/>
        <v>558535.10729961144</v>
      </c>
      <c r="D102">
        <v>39185</v>
      </c>
      <c r="E102">
        <f t="shared" si="7"/>
        <v>3.9184999999999999</v>
      </c>
      <c r="F102">
        <f t="shared" si="8"/>
        <v>0.53864401664932737</v>
      </c>
      <c r="G102">
        <f t="shared" si="9"/>
        <v>0.29013737667212086</v>
      </c>
    </row>
    <row r="103" spans="1:7" x14ac:dyDescent="0.35">
      <c r="A103">
        <v>591</v>
      </c>
      <c r="B103">
        <f t="shared" si="5"/>
        <v>-747.35206382240722</v>
      </c>
      <c r="C103">
        <f t="shared" si="6"/>
        <v>558535.10729961144</v>
      </c>
      <c r="D103">
        <v>46711</v>
      </c>
      <c r="E103">
        <f t="shared" si="7"/>
        <v>4.6711</v>
      </c>
      <c r="F103">
        <f t="shared" si="8"/>
        <v>1.2912440166493275</v>
      </c>
      <c r="G103">
        <f t="shared" si="9"/>
        <v>1.6673111105326888</v>
      </c>
    </row>
    <row r="104" spans="1:7" x14ac:dyDescent="0.35">
      <c r="A104">
        <v>591</v>
      </c>
      <c r="B104">
        <f t="shared" si="5"/>
        <v>-747.35206382240722</v>
      </c>
      <c r="C104">
        <f t="shared" si="6"/>
        <v>558535.10729961144</v>
      </c>
      <c r="D104">
        <v>36709</v>
      </c>
      <c r="E104">
        <f t="shared" si="7"/>
        <v>3.6709000000000001</v>
      </c>
      <c r="F104">
        <f t="shared" si="8"/>
        <v>0.29104401664932755</v>
      </c>
      <c r="G104">
        <f t="shared" si="9"/>
        <v>8.4706619627374052E-2</v>
      </c>
    </row>
    <row r="105" spans="1:7" x14ac:dyDescent="0.35">
      <c r="A105">
        <v>591</v>
      </c>
      <c r="B105">
        <f t="shared" si="5"/>
        <v>-747.35206382240722</v>
      </c>
      <c r="C105">
        <f t="shared" si="6"/>
        <v>558535.10729961144</v>
      </c>
      <c r="D105">
        <v>40294</v>
      </c>
      <c r="E105">
        <f t="shared" si="7"/>
        <v>4.0293999999999999</v>
      </c>
      <c r="F105">
        <f t="shared" si="8"/>
        <v>0.64954401664932737</v>
      </c>
      <c r="G105">
        <f t="shared" si="9"/>
        <v>0.42190742956494165</v>
      </c>
    </row>
    <row r="106" spans="1:7" x14ac:dyDescent="0.35">
      <c r="A106">
        <v>591</v>
      </c>
      <c r="B106">
        <f t="shared" si="5"/>
        <v>-747.35206382240722</v>
      </c>
      <c r="C106">
        <f t="shared" si="6"/>
        <v>558535.10729961144</v>
      </c>
      <c r="D106">
        <v>52075</v>
      </c>
      <c r="E106">
        <f t="shared" si="7"/>
        <v>5.2074999999999996</v>
      </c>
      <c r="F106">
        <f t="shared" si="8"/>
        <v>1.8276440166493271</v>
      </c>
      <c r="G106">
        <f t="shared" si="9"/>
        <v>3.3402826515940856</v>
      </c>
    </row>
    <row r="107" spans="1:7" x14ac:dyDescent="0.35">
      <c r="A107">
        <v>591</v>
      </c>
      <c r="B107">
        <f t="shared" si="5"/>
        <v>-747.35206382240722</v>
      </c>
      <c r="C107">
        <f t="shared" si="6"/>
        <v>558535.10729961144</v>
      </c>
      <c r="D107">
        <v>43559</v>
      </c>
      <c r="E107">
        <f t="shared" si="7"/>
        <v>4.3559000000000001</v>
      </c>
      <c r="F107">
        <f t="shared" si="8"/>
        <v>0.97604401664932761</v>
      </c>
      <c r="G107">
        <f t="shared" si="9"/>
        <v>0.95266192243695291</v>
      </c>
    </row>
    <row r="108" spans="1:7" x14ac:dyDescent="0.35">
      <c r="A108">
        <v>591</v>
      </c>
      <c r="B108">
        <f t="shared" si="5"/>
        <v>-747.35206382240722</v>
      </c>
      <c r="C108">
        <f t="shared" si="6"/>
        <v>558535.10729961144</v>
      </c>
      <c r="D108">
        <v>42989</v>
      </c>
      <c r="E108">
        <f t="shared" si="7"/>
        <v>4.2988999999999997</v>
      </c>
      <c r="F108">
        <f t="shared" si="8"/>
        <v>0.91904401664932722</v>
      </c>
      <c r="G108">
        <f t="shared" si="9"/>
        <v>0.84464190453892884</v>
      </c>
    </row>
    <row r="109" spans="1:7" x14ac:dyDescent="0.35">
      <c r="A109">
        <v>591</v>
      </c>
      <c r="B109">
        <f t="shared" si="5"/>
        <v>-747.35206382240722</v>
      </c>
      <c r="C109">
        <f t="shared" si="6"/>
        <v>558535.10729961144</v>
      </c>
      <c r="D109">
        <v>50306</v>
      </c>
      <c r="E109">
        <f t="shared" si="7"/>
        <v>5.0305999999999997</v>
      </c>
      <c r="F109">
        <f t="shared" si="8"/>
        <v>1.6507440166493272</v>
      </c>
      <c r="G109">
        <f t="shared" si="9"/>
        <v>2.7249558085035543</v>
      </c>
    </row>
    <row r="110" spans="1:7" x14ac:dyDescent="0.35">
      <c r="A110">
        <v>591</v>
      </c>
      <c r="B110">
        <f t="shared" si="5"/>
        <v>-747.35206382240722</v>
      </c>
      <c r="C110">
        <f t="shared" si="6"/>
        <v>558535.10729961144</v>
      </c>
      <c r="D110">
        <v>51031</v>
      </c>
      <c r="E110">
        <f t="shared" si="7"/>
        <v>5.1031000000000004</v>
      </c>
      <c r="F110">
        <f t="shared" si="8"/>
        <v>1.7232440166493279</v>
      </c>
      <c r="G110">
        <f t="shared" si="9"/>
        <v>2.969569940917709</v>
      </c>
    </row>
    <row r="111" spans="1:7" x14ac:dyDescent="0.35">
      <c r="A111">
        <v>591</v>
      </c>
      <c r="B111">
        <f t="shared" si="5"/>
        <v>-747.35206382240722</v>
      </c>
      <c r="C111">
        <f t="shared" si="6"/>
        <v>558535.10729961144</v>
      </c>
      <c r="D111">
        <v>53703</v>
      </c>
      <c r="E111">
        <f t="shared" si="7"/>
        <v>5.3703000000000003</v>
      </c>
      <c r="F111">
        <f t="shared" si="8"/>
        <v>1.9904440166493278</v>
      </c>
      <c r="G111">
        <f t="shared" si="9"/>
        <v>3.9618673834151097</v>
      </c>
    </row>
    <row r="112" spans="1:7" x14ac:dyDescent="0.35">
      <c r="A112">
        <v>591</v>
      </c>
      <c r="B112">
        <f t="shared" si="5"/>
        <v>-747.35206382240722</v>
      </c>
      <c r="C112">
        <f t="shared" si="6"/>
        <v>558535.10729961144</v>
      </c>
      <c r="D112">
        <v>47762</v>
      </c>
      <c r="E112">
        <f t="shared" si="7"/>
        <v>4.7762000000000002</v>
      </c>
      <c r="F112">
        <f t="shared" si="8"/>
        <v>1.3963440166493277</v>
      </c>
      <c r="G112">
        <f t="shared" si="9"/>
        <v>1.9497766128323779</v>
      </c>
    </row>
    <row r="113" spans="1:7" x14ac:dyDescent="0.35">
      <c r="A113">
        <v>591</v>
      </c>
      <c r="B113">
        <f t="shared" si="5"/>
        <v>-747.35206382240722</v>
      </c>
      <c r="C113">
        <f t="shared" si="6"/>
        <v>558535.10729961144</v>
      </c>
      <c r="D113">
        <v>57337</v>
      </c>
      <c r="E113">
        <f t="shared" si="7"/>
        <v>5.7336999999999998</v>
      </c>
      <c r="F113">
        <f t="shared" si="8"/>
        <v>2.3538440166493273</v>
      </c>
      <c r="G113">
        <f t="shared" si="9"/>
        <v>5.5405816547158384</v>
      </c>
    </row>
    <row r="114" spans="1:7" x14ac:dyDescent="0.35">
      <c r="A114">
        <v>591</v>
      </c>
      <c r="B114">
        <f t="shared" si="5"/>
        <v>-747.35206382240722</v>
      </c>
      <c r="C114">
        <f t="shared" si="6"/>
        <v>558535.10729961144</v>
      </c>
      <c r="D114">
        <v>47798</v>
      </c>
      <c r="E114">
        <f t="shared" si="7"/>
        <v>4.7797999999999998</v>
      </c>
      <c r="F114">
        <f t="shared" si="8"/>
        <v>1.3999440166493273</v>
      </c>
      <c r="G114">
        <f t="shared" si="9"/>
        <v>1.959843249752252</v>
      </c>
    </row>
    <row r="115" spans="1:7" x14ac:dyDescent="0.35">
      <c r="A115">
        <v>591</v>
      </c>
      <c r="B115">
        <f t="shared" si="5"/>
        <v>-747.35206382240722</v>
      </c>
      <c r="C115">
        <f t="shared" si="6"/>
        <v>558535.10729961144</v>
      </c>
      <c r="D115">
        <v>57495</v>
      </c>
      <c r="E115">
        <f t="shared" si="7"/>
        <v>5.7495000000000003</v>
      </c>
      <c r="F115">
        <f t="shared" si="8"/>
        <v>2.3696440166493278</v>
      </c>
      <c r="G115">
        <f t="shared" si="9"/>
        <v>5.6152127656419593</v>
      </c>
    </row>
    <row r="116" spans="1:7" x14ac:dyDescent="0.35">
      <c r="A116">
        <v>591</v>
      </c>
      <c r="B116">
        <f t="shared" si="5"/>
        <v>-747.35206382240722</v>
      </c>
      <c r="C116">
        <f t="shared" si="6"/>
        <v>558535.10729961144</v>
      </c>
      <c r="D116">
        <v>57197</v>
      </c>
      <c r="E116">
        <f t="shared" si="7"/>
        <v>5.7196999999999996</v>
      </c>
      <c r="F116">
        <f t="shared" si="8"/>
        <v>2.3398440166493271</v>
      </c>
      <c r="G116">
        <f t="shared" si="9"/>
        <v>5.4748700222496565</v>
      </c>
    </row>
    <row r="117" spans="1:7" x14ac:dyDescent="0.35">
      <c r="A117">
        <v>591</v>
      </c>
      <c r="B117">
        <f t="shared" si="5"/>
        <v>-747.35206382240722</v>
      </c>
      <c r="C117">
        <f t="shared" si="6"/>
        <v>558535.10729961144</v>
      </c>
      <c r="D117">
        <v>62661</v>
      </c>
      <c r="E117">
        <f t="shared" si="7"/>
        <v>6.2660999999999998</v>
      </c>
      <c r="F117">
        <f t="shared" si="8"/>
        <v>2.8862440166493273</v>
      </c>
      <c r="G117">
        <f t="shared" si="9"/>
        <v>8.3304045236440416</v>
      </c>
    </row>
    <row r="118" spans="1:7" x14ac:dyDescent="0.35">
      <c r="A118">
        <v>591</v>
      </c>
      <c r="B118">
        <f t="shared" si="5"/>
        <v>-747.35206382240722</v>
      </c>
      <c r="C118">
        <f t="shared" si="6"/>
        <v>558535.10729961144</v>
      </c>
      <c r="D118">
        <v>60165</v>
      </c>
      <c r="E118">
        <f t="shared" si="7"/>
        <v>6.0164999999999997</v>
      </c>
      <c r="F118">
        <f t="shared" si="8"/>
        <v>2.6366440166493272</v>
      </c>
      <c r="G118">
        <f t="shared" si="9"/>
        <v>6.9518916705326976</v>
      </c>
    </row>
    <row r="119" spans="1:7" x14ac:dyDescent="0.35">
      <c r="A119">
        <v>591</v>
      </c>
      <c r="B119">
        <f t="shared" si="5"/>
        <v>-747.35206382240722</v>
      </c>
      <c r="C119">
        <f t="shared" si="6"/>
        <v>558535.10729961144</v>
      </c>
      <c r="D119">
        <v>70610</v>
      </c>
      <c r="E119">
        <f t="shared" si="7"/>
        <v>7.0609999999999999</v>
      </c>
      <c r="F119">
        <f t="shared" si="8"/>
        <v>3.6811440166493274</v>
      </c>
      <c r="G119">
        <f t="shared" si="9"/>
        <v>13.550821271313144</v>
      </c>
    </row>
    <row r="120" spans="1:7" x14ac:dyDescent="0.35">
      <c r="A120">
        <v>591</v>
      </c>
      <c r="B120">
        <f t="shared" si="5"/>
        <v>-747.35206382240722</v>
      </c>
      <c r="C120">
        <f t="shared" si="6"/>
        <v>558535.10729961144</v>
      </c>
      <c r="D120">
        <v>65604</v>
      </c>
      <c r="E120">
        <f t="shared" si="7"/>
        <v>6.5603999999999996</v>
      </c>
      <c r="F120">
        <f t="shared" si="8"/>
        <v>3.1805440166493271</v>
      </c>
      <c r="G120">
        <f t="shared" si="9"/>
        <v>10.115860241843835</v>
      </c>
    </row>
    <row r="121" spans="1:7" x14ac:dyDescent="0.35">
      <c r="A121">
        <v>591</v>
      </c>
      <c r="B121">
        <f t="shared" si="5"/>
        <v>-747.35206382240722</v>
      </c>
      <c r="C121">
        <f t="shared" si="6"/>
        <v>558535.10729961144</v>
      </c>
      <c r="D121">
        <v>68278</v>
      </c>
      <c r="E121">
        <f t="shared" si="7"/>
        <v>6.8277999999999999</v>
      </c>
      <c r="F121">
        <f t="shared" si="8"/>
        <v>3.4479440166493274</v>
      </c>
      <c r="G121">
        <f t="shared" si="9"/>
        <v>11.888317941947896</v>
      </c>
    </row>
    <row r="122" spans="1:7" x14ac:dyDescent="0.35">
      <c r="A122">
        <v>591</v>
      </c>
      <c r="B122">
        <f t="shared" si="5"/>
        <v>-747.35206382240722</v>
      </c>
      <c r="C122">
        <f t="shared" si="6"/>
        <v>558535.10729961144</v>
      </c>
      <c r="D122">
        <v>68842</v>
      </c>
      <c r="E122">
        <f t="shared" si="7"/>
        <v>6.8841999999999999</v>
      </c>
      <c r="F122">
        <f t="shared" si="8"/>
        <v>3.5043440166493274</v>
      </c>
      <c r="G122">
        <f t="shared" si="9"/>
        <v>12.28042698702594</v>
      </c>
    </row>
    <row r="123" spans="1:7" x14ac:dyDescent="0.35">
      <c r="A123">
        <v>591</v>
      </c>
      <c r="B123">
        <f t="shared" si="5"/>
        <v>-747.35206382240722</v>
      </c>
      <c r="C123">
        <f t="shared" si="6"/>
        <v>558535.10729961144</v>
      </c>
      <c r="D123">
        <v>57646</v>
      </c>
      <c r="E123">
        <f t="shared" si="7"/>
        <v>5.7645999999999997</v>
      </c>
      <c r="F123">
        <f t="shared" si="8"/>
        <v>2.3847440166493272</v>
      </c>
      <c r="G123">
        <f t="shared" si="9"/>
        <v>5.6870040249447671</v>
      </c>
    </row>
    <row r="124" spans="1:7" x14ac:dyDescent="0.35">
      <c r="A124">
        <v>591</v>
      </c>
      <c r="B124">
        <f t="shared" si="5"/>
        <v>-747.35206382240722</v>
      </c>
      <c r="C124">
        <f t="shared" si="6"/>
        <v>558535.10729961144</v>
      </c>
      <c r="D124">
        <v>67901</v>
      </c>
      <c r="E124">
        <f t="shared" si="7"/>
        <v>6.7900999999999998</v>
      </c>
      <c r="F124">
        <f t="shared" si="8"/>
        <v>3.4102440166493273</v>
      </c>
      <c r="G124">
        <f t="shared" si="9"/>
        <v>11.629764253092537</v>
      </c>
    </row>
    <row r="125" spans="1:7" x14ac:dyDescent="0.35">
      <c r="A125">
        <v>591</v>
      </c>
      <c r="B125">
        <f t="shared" si="5"/>
        <v>-747.35206382240722</v>
      </c>
      <c r="C125">
        <f t="shared" si="6"/>
        <v>558535.10729961144</v>
      </c>
      <c r="D125">
        <v>66617</v>
      </c>
      <c r="E125">
        <f t="shared" si="7"/>
        <v>6.6616999999999997</v>
      </c>
      <c r="F125">
        <f t="shared" si="8"/>
        <v>3.2818440166493272</v>
      </c>
      <c r="G125">
        <f t="shared" si="9"/>
        <v>10.770500149616989</v>
      </c>
    </row>
    <row r="126" spans="1:7" x14ac:dyDescent="0.35">
      <c r="A126">
        <v>591</v>
      </c>
      <c r="B126">
        <f t="shared" si="5"/>
        <v>-747.35206382240722</v>
      </c>
      <c r="C126">
        <f t="shared" si="6"/>
        <v>558535.10729961144</v>
      </c>
      <c r="D126">
        <v>67187</v>
      </c>
      <c r="E126">
        <f t="shared" si="7"/>
        <v>6.7187000000000001</v>
      </c>
      <c r="F126">
        <f t="shared" si="8"/>
        <v>3.3388440166493276</v>
      </c>
      <c r="G126">
        <f t="shared" si="9"/>
        <v>11.147879367515015</v>
      </c>
    </row>
    <row r="127" spans="1:7" x14ac:dyDescent="0.35">
      <c r="A127">
        <v>591</v>
      </c>
      <c r="B127">
        <f t="shared" si="5"/>
        <v>-747.35206382240722</v>
      </c>
      <c r="C127">
        <f t="shared" si="6"/>
        <v>558535.10729961144</v>
      </c>
      <c r="D127">
        <v>65042</v>
      </c>
      <c r="E127">
        <f t="shared" si="7"/>
        <v>6.5042</v>
      </c>
      <c r="F127">
        <f t="shared" si="8"/>
        <v>3.1243440166493275</v>
      </c>
      <c r="G127">
        <f t="shared" si="9"/>
        <v>9.7615255343724527</v>
      </c>
    </row>
    <row r="128" spans="1:7" x14ac:dyDescent="0.35">
      <c r="A128">
        <v>591</v>
      </c>
      <c r="B128">
        <f t="shared" si="5"/>
        <v>-747.35206382240722</v>
      </c>
      <c r="C128">
        <f t="shared" si="6"/>
        <v>558535.10729961144</v>
      </c>
      <c r="D128">
        <v>66989</v>
      </c>
      <c r="E128">
        <f t="shared" si="7"/>
        <v>6.6989000000000001</v>
      </c>
      <c r="F128">
        <f t="shared" si="8"/>
        <v>3.3190440166493276</v>
      </c>
      <c r="G128">
        <f t="shared" si="9"/>
        <v>11.016053184455702</v>
      </c>
    </row>
    <row r="129" spans="1:7" x14ac:dyDescent="0.35">
      <c r="A129">
        <v>591</v>
      </c>
      <c r="B129">
        <f t="shared" si="5"/>
        <v>-747.35206382240722</v>
      </c>
      <c r="C129">
        <f t="shared" si="6"/>
        <v>558535.10729961144</v>
      </c>
      <c r="D129">
        <v>67632</v>
      </c>
      <c r="E129">
        <f t="shared" si="7"/>
        <v>6.7632000000000003</v>
      </c>
      <c r="F129">
        <f t="shared" si="8"/>
        <v>3.3833440166493278</v>
      </c>
      <c r="G129">
        <f t="shared" si="9"/>
        <v>11.447016734996808</v>
      </c>
    </row>
    <row r="130" spans="1:7" x14ac:dyDescent="0.35">
      <c r="A130">
        <v>534</v>
      </c>
      <c r="B130">
        <f t="shared" si="5"/>
        <v>-804.35206382240722</v>
      </c>
      <c r="C130">
        <f t="shared" si="6"/>
        <v>646982.24257536582</v>
      </c>
      <c r="D130">
        <v>70936</v>
      </c>
      <c r="E130">
        <f t="shared" si="7"/>
        <v>7.0936000000000003</v>
      </c>
      <c r="F130">
        <f t="shared" si="8"/>
        <v>3.7137440166493279</v>
      </c>
      <c r="G130">
        <f t="shared" si="9"/>
        <v>13.791894621198683</v>
      </c>
    </row>
    <row r="131" spans="1:7" x14ac:dyDescent="0.35">
      <c r="A131">
        <v>534</v>
      </c>
      <c r="B131">
        <f t="shared" ref="B131:B194" si="10">A131-$J$1</f>
        <v>-804.35206382240722</v>
      </c>
      <c r="C131">
        <f t="shared" ref="C131:C194" si="11">B131^2</f>
        <v>646982.24257536582</v>
      </c>
      <c r="D131">
        <v>64750</v>
      </c>
      <c r="E131">
        <f t="shared" ref="E131:E194" si="12">D131/10000</f>
        <v>6.4749999999999996</v>
      </c>
      <c r="F131">
        <f t="shared" ref="F131:F194" si="13">E131-$J$2</f>
        <v>3.0951440166493271</v>
      </c>
      <c r="G131">
        <f t="shared" ref="G131:G194" si="14">F131^2</f>
        <v>9.5799164838001296</v>
      </c>
    </row>
    <row r="132" spans="1:7" x14ac:dyDescent="0.35">
      <c r="A132">
        <v>534</v>
      </c>
      <c r="B132">
        <f t="shared" si="10"/>
        <v>-804.35206382240722</v>
      </c>
      <c r="C132">
        <f t="shared" si="11"/>
        <v>646982.24257536582</v>
      </c>
      <c r="D132">
        <v>57247</v>
      </c>
      <c r="E132">
        <f t="shared" si="12"/>
        <v>5.7247000000000003</v>
      </c>
      <c r="F132">
        <f t="shared" si="13"/>
        <v>2.3448440166493278</v>
      </c>
      <c r="G132">
        <f t="shared" si="14"/>
        <v>5.4982934624161537</v>
      </c>
    </row>
    <row r="133" spans="1:7" x14ac:dyDescent="0.35">
      <c r="A133">
        <v>534</v>
      </c>
      <c r="B133">
        <f t="shared" si="10"/>
        <v>-804.35206382240722</v>
      </c>
      <c r="C133">
        <f t="shared" si="11"/>
        <v>646982.24257536582</v>
      </c>
      <c r="D133">
        <v>82990</v>
      </c>
      <c r="E133">
        <f t="shared" si="12"/>
        <v>8.2989999999999995</v>
      </c>
      <c r="F133">
        <f t="shared" si="13"/>
        <v>4.9191440166493265</v>
      </c>
      <c r="G133">
        <f t="shared" si="14"/>
        <v>24.19797785653687</v>
      </c>
    </row>
    <row r="134" spans="1:7" x14ac:dyDescent="0.35">
      <c r="A134">
        <v>534</v>
      </c>
      <c r="B134">
        <f t="shared" si="10"/>
        <v>-804.35206382240722</v>
      </c>
      <c r="C134">
        <f t="shared" si="11"/>
        <v>646982.24257536582</v>
      </c>
      <c r="D134">
        <v>88000</v>
      </c>
      <c r="E134">
        <f t="shared" si="12"/>
        <v>8.8000000000000007</v>
      </c>
      <c r="F134">
        <f t="shared" si="13"/>
        <v>5.4201440166493278</v>
      </c>
      <c r="G134">
        <f t="shared" si="14"/>
        <v>29.37796116121951</v>
      </c>
    </row>
    <row r="135" spans="1:7" x14ac:dyDescent="0.35">
      <c r="A135">
        <v>534</v>
      </c>
      <c r="B135">
        <f t="shared" si="10"/>
        <v>-804.35206382240722</v>
      </c>
      <c r="C135">
        <f t="shared" si="11"/>
        <v>646982.24257536582</v>
      </c>
      <c r="D135">
        <v>88427</v>
      </c>
      <c r="E135">
        <f t="shared" si="12"/>
        <v>8.8427000000000007</v>
      </c>
      <c r="F135">
        <f t="shared" si="13"/>
        <v>5.4628440166493277</v>
      </c>
      <c r="G135">
        <f t="shared" si="14"/>
        <v>29.842664750241362</v>
      </c>
    </row>
    <row r="136" spans="1:7" x14ac:dyDescent="0.35">
      <c r="A136">
        <v>534</v>
      </c>
      <c r="B136">
        <f t="shared" si="10"/>
        <v>-804.35206382240722</v>
      </c>
      <c r="C136">
        <f t="shared" si="11"/>
        <v>646982.24257536582</v>
      </c>
      <c r="D136">
        <v>88346</v>
      </c>
      <c r="E136">
        <f t="shared" si="12"/>
        <v>8.8346</v>
      </c>
      <c r="F136">
        <f t="shared" si="13"/>
        <v>5.4547440166493271</v>
      </c>
      <c r="G136">
        <f t="shared" si="14"/>
        <v>29.754232287171636</v>
      </c>
    </row>
    <row r="137" spans="1:7" x14ac:dyDescent="0.35">
      <c r="A137">
        <v>534</v>
      </c>
      <c r="B137">
        <f t="shared" si="10"/>
        <v>-804.35206382240722</v>
      </c>
      <c r="C137">
        <f t="shared" si="11"/>
        <v>646982.24257536582</v>
      </c>
      <c r="D137">
        <v>76400</v>
      </c>
      <c r="E137">
        <f t="shared" si="12"/>
        <v>7.64</v>
      </c>
      <c r="F137">
        <f t="shared" si="13"/>
        <v>4.2601440166493276</v>
      </c>
      <c r="G137">
        <f t="shared" si="14"/>
        <v>18.148827042593066</v>
      </c>
    </row>
    <row r="138" spans="1:7" x14ac:dyDescent="0.35">
      <c r="A138">
        <v>534</v>
      </c>
      <c r="B138">
        <f t="shared" si="10"/>
        <v>-804.35206382240722</v>
      </c>
      <c r="C138">
        <f t="shared" si="11"/>
        <v>646982.24257536582</v>
      </c>
      <c r="D138">
        <v>81537</v>
      </c>
      <c r="E138">
        <f t="shared" si="12"/>
        <v>8.1537000000000006</v>
      </c>
      <c r="F138">
        <f t="shared" si="13"/>
        <v>4.7738440166493277</v>
      </c>
      <c r="G138">
        <f t="shared" si="14"/>
        <v>22.789586695298585</v>
      </c>
    </row>
    <row r="139" spans="1:7" x14ac:dyDescent="0.35">
      <c r="A139">
        <v>534</v>
      </c>
      <c r="B139">
        <f t="shared" si="10"/>
        <v>-804.35206382240722</v>
      </c>
      <c r="C139">
        <f t="shared" si="11"/>
        <v>646982.24257536582</v>
      </c>
      <c r="D139">
        <v>88003</v>
      </c>
      <c r="E139">
        <f t="shared" si="12"/>
        <v>8.8003</v>
      </c>
      <c r="F139">
        <f t="shared" si="13"/>
        <v>5.4204440166493271</v>
      </c>
      <c r="G139">
        <f t="shared" si="14"/>
        <v>29.38121333762949</v>
      </c>
    </row>
    <row r="140" spans="1:7" x14ac:dyDescent="0.35">
      <c r="A140">
        <v>534</v>
      </c>
      <c r="B140">
        <f t="shared" si="10"/>
        <v>-804.35206382240722</v>
      </c>
      <c r="C140">
        <f t="shared" si="11"/>
        <v>646982.24257536582</v>
      </c>
      <c r="D140">
        <v>63540</v>
      </c>
      <c r="E140">
        <f t="shared" si="12"/>
        <v>6.3540000000000001</v>
      </c>
      <c r="F140">
        <f t="shared" si="13"/>
        <v>2.9741440166493276</v>
      </c>
      <c r="G140">
        <f t="shared" si="14"/>
        <v>8.845532631770995</v>
      </c>
    </row>
    <row r="141" spans="1:7" x14ac:dyDescent="0.35">
      <c r="A141">
        <v>534</v>
      </c>
      <c r="B141">
        <f t="shared" si="10"/>
        <v>-804.35206382240722</v>
      </c>
      <c r="C141">
        <f t="shared" si="11"/>
        <v>646982.24257536582</v>
      </c>
      <c r="D141">
        <v>83263</v>
      </c>
      <c r="E141">
        <f t="shared" si="12"/>
        <v>8.3262999999999998</v>
      </c>
      <c r="F141">
        <f t="shared" si="13"/>
        <v>4.9464440166493269</v>
      </c>
      <c r="G141">
        <f t="shared" si="14"/>
        <v>24.467308409845927</v>
      </c>
    </row>
    <row r="142" spans="1:7" x14ac:dyDescent="0.35">
      <c r="A142">
        <v>534</v>
      </c>
      <c r="B142">
        <f t="shared" si="10"/>
        <v>-804.35206382240722</v>
      </c>
      <c r="C142">
        <f t="shared" si="11"/>
        <v>646982.24257536582</v>
      </c>
      <c r="D142">
        <v>94256</v>
      </c>
      <c r="E142">
        <f t="shared" si="12"/>
        <v>9.4255999999999993</v>
      </c>
      <c r="F142">
        <f t="shared" si="13"/>
        <v>6.0457440166493264</v>
      </c>
      <c r="G142">
        <f t="shared" si="14"/>
        <v>36.551020714851127</v>
      </c>
    </row>
    <row r="143" spans="1:7" x14ac:dyDescent="0.35">
      <c r="A143">
        <v>534</v>
      </c>
      <c r="B143">
        <f t="shared" si="10"/>
        <v>-804.35206382240722</v>
      </c>
      <c r="C143">
        <f t="shared" si="11"/>
        <v>646982.24257536582</v>
      </c>
      <c r="D143">
        <v>91615</v>
      </c>
      <c r="E143">
        <f t="shared" si="12"/>
        <v>9.1615000000000002</v>
      </c>
      <c r="F143">
        <f t="shared" si="13"/>
        <v>5.7816440166493273</v>
      </c>
      <c r="G143">
        <f t="shared" si="14"/>
        <v>33.427407535256968</v>
      </c>
    </row>
    <row r="144" spans="1:7" x14ac:dyDescent="0.35">
      <c r="A144">
        <v>534</v>
      </c>
      <c r="B144">
        <f t="shared" si="10"/>
        <v>-804.35206382240722</v>
      </c>
      <c r="C144">
        <f t="shared" si="11"/>
        <v>646982.24257536582</v>
      </c>
      <c r="D144">
        <v>82573</v>
      </c>
      <c r="E144">
        <f t="shared" si="12"/>
        <v>8.2573000000000008</v>
      </c>
      <c r="F144">
        <f t="shared" si="13"/>
        <v>4.8774440166493278</v>
      </c>
      <c r="G144">
        <f t="shared" si="14"/>
        <v>23.789460135548328</v>
      </c>
    </row>
    <row r="145" spans="1:7" x14ac:dyDescent="0.35">
      <c r="A145">
        <v>534</v>
      </c>
      <c r="B145">
        <f t="shared" si="10"/>
        <v>-804.35206382240722</v>
      </c>
      <c r="C145">
        <f t="shared" si="11"/>
        <v>646982.24257536582</v>
      </c>
      <c r="D145">
        <v>93071</v>
      </c>
      <c r="E145">
        <f t="shared" si="12"/>
        <v>9.3071000000000002</v>
      </c>
      <c r="F145">
        <f t="shared" si="13"/>
        <v>5.9272440166493272</v>
      </c>
      <c r="G145">
        <f t="shared" si="14"/>
        <v>35.132221632905249</v>
      </c>
    </row>
    <row r="146" spans="1:7" x14ac:dyDescent="0.35">
      <c r="A146">
        <v>534</v>
      </c>
      <c r="B146">
        <f t="shared" si="10"/>
        <v>-804.35206382240722</v>
      </c>
      <c r="C146">
        <f t="shared" si="11"/>
        <v>646982.24257536582</v>
      </c>
      <c r="D146">
        <v>82580</v>
      </c>
      <c r="E146">
        <f t="shared" si="12"/>
        <v>8.2579999999999991</v>
      </c>
      <c r="F146">
        <f t="shared" si="13"/>
        <v>4.8781440166493262</v>
      </c>
      <c r="G146">
        <f t="shared" si="14"/>
        <v>23.796289047171623</v>
      </c>
    </row>
    <row r="147" spans="1:7" x14ac:dyDescent="0.35">
      <c r="A147">
        <v>534</v>
      </c>
      <c r="B147">
        <f t="shared" si="10"/>
        <v>-804.35206382240722</v>
      </c>
      <c r="C147">
        <f t="shared" si="11"/>
        <v>646982.24257536582</v>
      </c>
      <c r="D147">
        <v>83305</v>
      </c>
      <c r="E147">
        <f t="shared" si="12"/>
        <v>8.3305000000000007</v>
      </c>
      <c r="F147">
        <f t="shared" si="13"/>
        <v>4.9506440166493277</v>
      </c>
      <c r="G147">
        <f t="shared" si="14"/>
        <v>24.508876179585791</v>
      </c>
    </row>
    <row r="148" spans="1:7" x14ac:dyDescent="0.35">
      <c r="A148">
        <v>534</v>
      </c>
      <c r="B148">
        <f t="shared" si="10"/>
        <v>-804.35206382240722</v>
      </c>
      <c r="C148">
        <f t="shared" si="11"/>
        <v>646982.24257536582</v>
      </c>
      <c r="D148">
        <v>66168</v>
      </c>
      <c r="E148">
        <f t="shared" si="12"/>
        <v>6.6167999999999996</v>
      </c>
      <c r="F148">
        <f t="shared" si="13"/>
        <v>3.2369440166493271</v>
      </c>
      <c r="G148">
        <f t="shared" si="14"/>
        <v>10.477806566921879</v>
      </c>
    </row>
    <row r="149" spans="1:7" x14ac:dyDescent="0.35">
      <c r="A149">
        <v>534</v>
      </c>
      <c r="B149">
        <f t="shared" si="10"/>
        <v>-804.35206382240722</v>
      </c>
      <c r="C149">
        <f t="shared" si="11"/>
        <v>646982.24257536582</v>
      </c>
      <c r="D149">
        <v>98176</v>
      </c>
      <c r="E149">
        <f t="shared" si="12"/>
        <v>9.8176000000000005</v>
      </c>
      <c r="F149">
        <f t="shared" si="13"/>
        <v>6.4377440166493276</v>
      </c>
      <c r="G149">
        <f t="shared" si="14"/>
        <v>41.444548023904218</v>
      </c>
    </row>
    <row r="150" spans="1:7" x14ac:dyDescent="0.35">
      <c r="A150">
        <v>534</v>
      </c>
      <c r="B150">
        <f t="shared" si="10"/>
        <v>-804.35206382240722</v>
      </c>
      <c r="C150">
        <f t="shared" si="11"/>
        <v>646982.24257536582</v>
      </c>
      <c r="D150">
        <v>82609</v>
      </c>
      <c r="E150">
        <f t="shared" si="12"/>
        <v>8.2608999999999995</v>
      </c>
      <c r="F150">
        <f t="shared" si="13"/>
        <v>4.8810440166493265</v>
      </c>
      <c r="G150">
        <f t="shared" si="14"/>
        <v>23.824590692468192</v>
      </c>
    </row>
    <row r="151" spans="1:7" x14ac:dyDescent="0.35">
      <c r="A151">
        <v>534</v>
      </c>
      <c r="B151">
        <f t="shared" si="10"/>
        <v>-804.35206382240722</v>
      </c>
      <c r="C151">
        <f t="shared" si="11"/>
        <v>646982.24257536582</v>
      </c>
      <c r="D151">
        <v>75988</v>
      </c>
      <c r="E151">
        <f t="shared" si="12"/>
        <v>7.5987999999999998</v>
      </c>
      <c r="F151">
        <f t="shared" si="13"/>
        <v>4.2189440166493277</v>
      </c>
      <c r="G151">
        <f t="shared" si="14"/>
        <v>17.799488615621161</v>
      </c>
    </row>
    <row r="152" spans="1:7" x14ac:dyDescent="0.35">
      <c r="A152">
        <v>534</v>
      </c>
      <c r="B152">
        <f t="shared" si="10"/>
        <v>-804.35206382240722</v>
      </c>
      <c r="C152">
        <f t="shared" si="11"/>
        <v>646982.24257536582</v>
      </c>
      <c r="D152">
        <v>84609</v>
      </c>
      <c r="E152">
        <f t="shared" si="12"/>
        <v>8.4609000000000005</v>
      </c>
      <c r="F152">
        <f t="shared" si="13"/>
        <v>5.0810440166493276</v>
      </c>
      <c r="G152">
        <f t="shared" si="14"/>
        <v>25.817008299127931</v>
      </c>
    </row>
    <row r="153" spans="1:7" x14ac:dyDescent="0.35">
      <c r="A153">
        <v>534</v>
      </c>
      <c r="B153">
        <f t="shared" si="10"/>
        <v>-804.35206382240722</v>
      </c>
      <c r="C153">
        <f t="shared" si="11"/>
        <v>646982.24257536582</v>
      </c>
      <c r="D153">
        <v>103895</v>
      </c>
      <c r="E153">
        <f t="shared" si="12"/>
        <v>10.3895</v>
      </c>
      <c r="F153">
        <f t="shared" si="13"/>
        <v>7.009644016649327</v>
      </c>
      <c r="G153">
        <f t="shared" si="14"/>
        <v>49.135109240147713</v>
      </c>
    </row>
    <row r="154" spans="1:7" x14ac:dyDescent="0.35">
      <c r="A154">
        <v>534</v>
      </c>
      <c r="B154">
        <f t="shared" si="10"/>
        <v>-804.35206382240722</v>
      </c>
      <c r="C154">
        <f t="shared" si="11"/>
        <v>646982.24257536582</v>
      </c>
      <c r="D154">
        <v>95441</v>
      </c>
      <c r="E154">
        <f t="shared" si="12"/>
        <v>9.5441000000000003</v>
      </c>
      <c r="F154">
        <f t="shared" si="13"/>
        <v>6.1642440166493273</v>
      </c>
      <c r="G154">
        <f t="shared" si="14"/>
        <v>37.997904296797032</v>
      </c>
    </row>
    <row r="155" spans="1:7" x14ac:dyDescent="0.35">
      <c r="A155">
        <v>534</v>
      </c>
      <c r="B155">
        <f t="shared" si="10"/>
        <v>-804.35206382240722</v>
      </c>
      <c r="C155">
        <f t="shared" si="11"/>
        <v>646982.24257536582</v>
      </c>
      <c r="D155">
        <v>89098</v>
      </c>
      <c r="E155">
        <f t="shared" si="12"/>
        <v>8.9098000000000006</v>
      </c>
      <c r="F155">
        <f t="shared" si="13"/>
        <v>5.5299440166493277</v>
      </c>
      <c r="G155">
        <f t="shared" si="14"/>
        <v>30.580280827275701</v>
      </c>
    </row>
    <row r="156" spans="1:7" x14ac:dyDescent="0.35">
      <c r="A156">
        <v>534</v>
      </c>
      <c r="B156">
        <f t="shared" si="10"/>
        <v>-804.35206382240722</v>
      </c>
      <c r="C156">
        <f t="shared" si="11"/>
        <v>646982.24257536582</v>
      </c>
      <c r="D156">
        <v>102177</v>
      </c>
      <c r="E156">
        <f t="shared" si="12"/>
        <v>10.217700000000001</v>
      </c>
      <c r="F156">
        <f t="shared" si="13"/>
        <v>6.8378440166493277</v>
      </c>
      <c r="G156">
        <f t="shared" si="14"/>
        <v>46.756110796027009</v>
      </c>
    </row>
    <row r="157" spans="1:7" x14ac:dyDescent="0.35">
      <c r="A157">
        <v>534</v>
      </c>
      <c r="B157">
        <f t="shared" si="10"/>
        <v>-804.35206382240722</v>
      </c>
      <c r="C157">
        <f t="shared" si="11"/>
        <v>646982.24257536582</v>
      </c>
      <c r="D157">
        <v>106827</v>
      </c>
      <c r="E157">
        <f t="shared" si="12"/>
        <v>10.682700000000001</v>
      </c>
      <c r="F157">
        <f t="shared" si="13"/>
        <v>7.3028440166493276</v>
      </c>
      <c r="G157">
        <f t="shared" si="14"/>
        <v>53.331530731510881</v>
      </c>
    </row>
    <row r="158" spans="1:7" x14ac:dyDescent="0.35">
      <c r="A158">
        <v>534</v>
      </c>
      <c r="B158">
        <f t="shared" si="10"/>
        <v>-804.35206382240722</v>
      </c>
      <c r="C158">
        <f t="shared" si="11"/>
        <v>646982.24257536582</v>
      </c>
      <c r="D158">
        <v>99103</v>
      </c>
      <c r="E158">
        <f t="shared" si="12"/>
        <v>9.9102999999999994</v>
      </c>
      <c r="F158">
        <f t="shared" si="13"/>
        <v>6.5304440166493265</v>
      </c>
      <c r="G158">
        <f t="shared" si="14"/>
        <v>42.646699054590989</v>
      </c>
    </row>
    <row r="159" spans="1:7" x14ac:dyDescent="0.35">
      <c r="A159">
        <v>534</v>
      </c>
      <c r="B159">
        <f t="shared" si="10"/>
        <v>-804.35206382240722</v>
      </c>
      <c r="C159">
        <f t="shared" si="11"/>
        <v>646982.24257536582</v>
      </c>
      <c r="D159">
        <v>102889</v>
      </c>
      <c r="E159">
        <f t="shared" si="12"/>
        <v>10.2889</v>
      </c>
      <c r="F159">
        <f t="shared" si="13"/>
        <v>6.909044016649327</v>
      </c>
      <c r="G159">
        <f t="shared" si="14"/>
        <v>47.734889223997868</v>
      </c>
    </row>
    <row r="160" spans="1:7" x14ac:dyDescent="0.35">
      <c r="A160">
        <v>447</v>
      </c>
      <c r="B160">
        <f t="shared" si="10"/>
        <v>-891.35206382240722</v>
      </c>
      <c r="C160">
        <f t="shared" si="11"/>
        <v>794508.50168046472</v>
      </c>
      <c r="D160">
        <v>7292</v>
      </c>
      <c r="E160">
        <f t="shared" si="12"/>
        <v>0.72919999999999996</v>
      </c>
      <c r="F160">
        <f t="shared" si="13"/>
        <v>-2.6506559833506724</v>
      </c>
      <c r="G160">
        <f t="shared" si="14"/>
        <v>7.0259771420727199</v>
      </c>
    </row>
    <row r="161" spans="1:7" x14ac:dyDescent="0.35">
      <c r="A161">
        <v>447</v>
      </c>
      <c r="B161">
        <f t="shared" si="10"/>
        <v>-891.35206382240722</v>
      </c>
      <c r="C161">
        <f t="shared" si="11"/>
        <v>794508.50168046472</v>
      </c>
      <c r="D161">
        <v>9461</v>
      </c>
      <c r="E161">
        <f t="shared" si="12"/>
        <v>0.94610000000000005</v>
      </c>
      <c r="F161">
        <f t="shared" si="13"/>
        <v>-2.4337559833506726</v>
      </c>
      <c r="G161">
        <f t="shared" si="14"/>
        <v>5.9231681864951993</v>
      </c>
    </row>
    <row r="162" spans="1:7" x14ac:dyDescent="0.35">
      <c r="A162">
        <v>447</v>
      </c>
      <c r="B162">
        <f t="shared" si="10"/>
        <v>-891.35206382240722</v>
      </c>
      <c r="C162">
        <f t="shared" si="11"/>
        <v>794508.50168046472</v>
      </c>
      <c r="D162">
        <v>10059</v>
      </c>
      <c r="E162">
        <f t="shared" si="12"/>
        <v>1.0059</v>
      </c>
      <c r="F162">
        <f t="shared" si="13"/>
        <v>-2.3739559833506725</v>
      </c>
      <c r="G162">
        <f t="shared" si="14"/>
        <v>5.6356670108864586</v>
      </c>
    </row>
    <row r="163" spans="1:7" x14ac:dyDescent="0.35">
      <c r="A163">
        <v>447</v>
      </c>
      <c r="B163">
        <f t="shared" si="10"/>
        <v>-891.35206382240722</v>
      </c>
      <c r="C163">
        <f t="shared" si="11"/>
        <v>794508.50168046472</v>
      </c>
      <c r="D163">
        <v>19890</v>
      </c>
      <c r="E163">
        <f t="shared" si="12"/>
        <v>1.9890000000000001</v>
      </c>
      <c r="F163">
        <f t="shared" si="13"/>
        <v>-1.3908559833506724</v>
      </c>
      <c r="G163">
        <f t="shared" si="14"/>
        <v>1.934480366422366</v>
      </c>
    </row>
    <row r="164" spans="1:7" x14ac:dyDescent="0.35">
      <c r="A164">
        <v>447</v>
      </c>
      <c r="B164">
        <f t="shared" si="10"/>
        <v>-891.35206382240722</v>
      </c>
      <c r="C164">
        <f t="shared" si="11"/>
        <v>794508.50168046472</v>
      </c>
      <c r="D164">
        <v>36917</v>
      </c>
      <c r="E164">
        <f t="shared" si="12"/>
        <v>3.6917</v>
      </c>
      <c r="F164">
        <f t="shared" si="13"/>
        <v>0.31184401664932748</v>
      </c>
      <c r="G164">
        <f t="shared" si="14"/>
        <v>9.724669071998604E-2</v>
      </c>
    </row>
    <row r="165" spans="1:7" x14ac:dyDescent="0.35">
      <c r="A165">
        <v>447</v>
      </c>
      <c r="B165">
        <f t="shared" si="10"/>
        <v>-891.35206382240722</v>
      </c>
      <c r="C165">
        <f t="shared" si="11"/>
        <v>794508.50168046472</v>
      </c>
      <c r="D165">
        <v>46082</v>
      </c>
      <c r="E165">
        <f t="shared" si="12"/>
        <v>4.6082000000000001</v>
      </c>
      <c r="F165">
        <f t="shared" si="13"/>
        <v>1.2283440166493276</v>
      </c>
      <c r="G165">
        <f t="shared" si="14"/>
        <v>1.5088290232382036</v>
      </c>
    </row>
    <row r="166" spans="1:7" x14ac:dyDescent="0.35">
      <c r="A166">
        <v>447</v>
      </c>
      <c r="B166">
        <f t="shared" si="10"/>
        <v>-891.35206382240722</v>
      </c>
      <c r="C166">
        <f t="shared" si="11"/>
        <v>794508.50168046472</v>
      </c>
      <c r="D166">
        <v>48046</v>
      </c>
      <c r="E166">
        <f t="shared" si="12"/>
        <v>4.8045999999999998</v>
      </c>
      <c r="F166">
        <f t="shared" si="13"/>
        <v>1.4247440166493273</v>
      </c>
      <c r="G166">
        <f t="shared" si="14"/>
        <v>2.0298955129780585</v>
      </c>
    </row>
    <row r="167" spans="1:7" x14ac:dyDescent="0.35">
      <c r="A167">
        <v>447</v>
      </c>
      <c r="B167">
        <f t="shared" si="10"/>
        <v>-891.35206382240722</v>
      </c>
      <c r="C167">
        <f t="shared" si="11"/>
        <v>794508.50168046472</v>
      </c>
      <c r="D167">
        <v>44415</v>
      </c>
      <c r="E167">
        <f t="shared" si="12"/>
        <v>4.4414999999999996</v>
      </c>
      <c r="F167">
        <f t="shared" si="13"/>
        <v>1.0616440166493271</v>
      </c>
      <c r="G167">
        <f t="shared" si="14"/>
        <v>1.1270880180873166</v>
      </c>
    </row>
    <row r="168" spans="1:7" x14ac:dyDescent="0.35">
      <c r="A168">
        <v>447</v>
      </c>
      <c r="B168">
        <f t="shared" si="10"/>
        <v>-891.35206382240722</v>
      </c>
      <c r="C168">
        <f t="shared" si="11"/>
        <v>794508.50168046472</v>
      </c>
      <c r="D168">
        <v>50191</v>
      </c>
      <c r="E168">
        <f t="shared" si="12"/>
        <v>5.0190999999999999</v>
      </c>
      <c r="F168">
        <f t="shared" si="13"/>
        <v>1.6392440166493274</v>
      </c>
      <c r="G168">
        <f t="shared" si="14"/>
        <v>2.6871209461206202</v>
      </c>
    </row>
    <row r="169" spans="1:7" x14ac:dyDescent="0.35">
      <c r="A169">
        <v>447</v>
      </c>
      <c r="B169">
        <f t="shared" si="10"/>
        <v>-891.35206382240722</v>
      </c>
      <c r="C169">
        <f t="shared" si="11"/>
        <v>794508.50168046472</v>
      </c>
      <c r="D169">
        <v>48495</v>
      </c>
      <c r="E169">
        <f t="shared" si="12"/>
        <v>4.8494999999999999</v>
      </c>
      <c r="F169">
        <f t="shared" si="13"/>
        <v>1.4696440166493274</v>
      </c>
      <c r="G169">
        <f t="shared" si="14"/>
        <v>2.1598535356731685</v>
      </c>
    </row>
    <row r="170" spans="1:7" x14ac:dyDescent="0.35">
      <c r="A170">
        <v>447</v>
      </c>
      <c r="B170">
        <f t="shared" si="10"/>
        <v>-891.35206382240722</v>
      </c>
      <c r="C170">
        <f t="shared" si="11"/>
        <v>794508.50168046472</v>
      </c>
      <c r="D170">
        <v>46532</v>
      </c>
      <c r="E170">
        <f t="shared" si="12"/>
        <v>4.6532</v>
      </c>
      <c r="F170">
        <f t="shared" si="13"/>
        <v>1.2733440166493275</v>
      </c>
      <c r="G170">
        <f t="shared" si="14"/>
        <v>1.6214049847366427</v>
      </c>
    </row>
    <row r="171" spans="1:7" x14ac:dyDescent="0.35">
      <c r="A171">
        <v>447</v>
      </c>
      <c r="B171">
        <f t="shared" si="10"/>
        <v>-891.35206382240722</v>
      </c>
      <c r="C171">
        <f t="shared" si="11"/>
        <v>794508.50168046472</v>
      </c>
      <c r="D171">
        <v>39810</v>
      </c>
      <c r="E171">
        <f t="shared" si="12"/>
        <v>3.9809999999999999</v>
      </c>
      <c r="F171">
        <f t="shared" si="13"/>
        <v>0.60114401664932737</v>
      </c>
      <c r="G171">
        <f t="shared" si="14"/>
        <v>0.36137412875328678</v>
      </c>
    </row>
    <row r="172" spans="1:7" x14ac:dyDescent="0.35">
      <c r="A172">
        <v>447</v>
      </c>
      <c r="B172">
        <f t="shared" si="10"/>
        <v>-891.35206382240722</v>
      </c>
      <c r="C172">
        <f t="shared" si="11"/>
        <v>794508.50168046472</v>
      </c>
      <c r="D172">
        <v>35903</v>
      </c>
      <c r="E172">
        <f t="shared" si="12"/>
        <v>3.5903</v>
      </c>
      <c r="F172">
        <f t="shared" si="13"/>
        <v>0.21044401664932755</v>
      </c>
      <c r="G172">
        <f t="shared" si="14"/>
        <v>4.4286684143502453E-2</v>
      </c>
    </row>
    <row r="173" spans="1:7" x14ac:dyDescent="0.35">
      <c r="A173">
        <v>447</v>
      </c>
      <c r="B173">
        <f t="shared" si="10"/>
        <v>-891.35206382240722</v>
      </c>
      <c r="C173">
        <f t="shared" si="11"/>
        <v>794508.50168046472</v>
      </c>
      <c r="D173">
        <v>42375</v>
      </c>
      <c r="E173">
        <f t="shared" si="12"/>
        <v>4.2374999999999998</v>
      </c>
      <c r="F173">
        <f t="shared" si="13"/>
        <v>0.85764401664932732</v>
      </c>
      <c r="G173">
        <f t="shared" si="14"/>
        <v>0.73555325929439164</v>
      </c>
    </row>
    <row r="174" spans="1:7" x14ac:dyDescent="0.35">
      <c r="A174">
        <v>447</v>
      </c>
      <c r="B174">
        <f t="shared" si="10"/>
        <v>-891.35206382240722</v>
      </c>
      <c r="C174">
        <f t="shared" si="11"/>
        <v>794508.50168046472</v>
      </c>
      <c r="D174">
        <v>33886</v>
      </c>
      <c r="E174">
        <f t="shared" si="12"/>
        <v>3.3885999999999998</v>
      </c>
      <c r="F174">
        <f t="shared" si="13"/>
        <v>8.7440166493273352E-3</v>
      </c>
      <c r="G174">
        <f t="shared" si="14"/>
        <v>7.6457827163713639E-5</v>
      </c>
    </row>
    <row r="175" spans="1:7" x14ac:dyDescent="0.35">
      <c r="A175">
        <v>447</v>
      </c>
      <c r="B175">
        <f t="shared" si="10"/>
        <v>-891.35206382240722</v>
      </c>
      <c r="C175">
        <f t="shared" si="11"/>
        <v>794508.50168046472</v>
      </c>
      <c r="D175">
        <v>27973</v>
      </c>
      <c r="E175">
        <f t="shared" si="12"/>
        <v>2.7972999999999999</v>
      </c>
      <c r="F175">
        <f t="shared" si="13"/>
        <v>-0.5825559833506726</v>
      </c>
      <c r="G175">
        <f t="shared" si="14"/>
        <v>0.33937147373766913</v>
      </c>
    </row>
    <row r="176" spans="1:7" x14ac:dyDescent="0.35">
      <c r="A176">
        <v>447</v>
      </c>
      <c r="B176">
        <f t="shared" si="10"/>
        <v>-891.35206382240722</v>
      </c>
      <c r="C176">
        <f t="shared" si="11"/>
        <v>794508.50168046472</v>
      </c>
      <c r="D176">
        <v>25279</v>
      </c>
      <c r="E176">
        <f t="shared" si="12"/>
        <v>2.5278999999999998</v>
      </c>
      <c r="F176">
        <f t="shared" si="13"/>
        <v>-0.85195598335067269</v>
      </c>
      <c r="G176">
        <f t="shared" si="14"/>
        <v>0.72582899756701169</v>
      </c>
    </row>
    <row r="177" spans="1:7" x14ac:dyDescent="0.35">
      <c r="A177">
        <v>447</v>
      </c>
      <c r="B177">
        <f t="shared" si="10"/>
        <v>-891.35206382240722</v>
      </c>
      <c r="C177">
        <f t="shared" si="11"/>
        <v>794508.50168046472</v>
      </c>
      <c r="D177">
        <v>23963</v>
      </c>
      <c r="E177">
        <f t="shared" si="12"/>
        <v>2.3963000000000001</v>
      </c>
      <c r="F177">
        <f t="shared" si="13"/>
        <v>-0.9835559833506724</v>
      </c>
      <c r="G177">
        <f t="shared" si="14"/>
        <v>0.96738237238490821</v>
      </c>
    </row>
    <row r="178" spans="1:7" x14ac:dyDescent="0.35">
      <c r="A178">
        <v>447</v>
      </c>
      <c r="B178">
        <f t="shared" si="10"/>
        <v>-891.35206382240722</v>
      </c>
      <c r="C178">
        <f t="shared" si="11"/>
        <v>794508.50168046472</v>
      </c>
      <c r="D178">
        <v>20947</v>
      </c>
      <c r="E178">
        <f t="shared" si="12"/>
        <v>2.0947</v>
      </c>
      <c r="F178">
        <f t="shared" si="13"/>
        <v>-1.2851559833506725</v>
      </c>
      <c r="G178">
        <f t="shared" si="14"/>
        <v>1.651625901542034</v>
      </c>
    </row>
    <row r="179" spans="1:7" x14ac:dyDescent="0.35">
      <c r="A179">
        <v>447</v>
      </c>
      <c r="B179">
        <f t="shared" si="10"/>
        <v>-891.35206382240722</v>
      </c>
      <c r="C179">
        <f t="shared" si="11"/>
        <v>794508.50168046472</v>
      </c>
      <c r="D179">
        <v>22249</v>
      </c>
      <c r="E179">
        <f t="shared" si="12"/>
        <v>2.2248999999999999</v>
      </c>
      <c r="F179">
        <f t="shared" si="13"/>
        <v>-1.1549559833506726</v>
      </c>
      <c r="G179">
        <f t="shared" si="14"/>
        <v>1.3339233234775192</v>
      </c>
    </row>
    <row r="180" spans="1:7" x14ac:dyDescent="0.35">
      <c r="A180">
        <v>447</v>
      </c>
      <c r="B180">
        <f t="shared" si="10"/>
        <v>-891.35206382240722</v>
      </c>
      <c r="C180">
        <f t="shared" si="11"/>
        <v>794508.50168046472</v>
      </c>
      <c r="D180">
        <v>22808</v>
      </c>
      <c r="E180">
        <f t="shared" si="12"/>
        <v>2.2808000000000002</v>
      </c>
      <c r="F180">
        <f t="shared" si="13"/>
        <v>-1.0990559833506723</v>
      </c>
      <c r="G180">
        <f t="shared" si="14"/>
        <v>1.2079240545389134</v>
      </c>
    </row>
    <row r="181" spans="1:7" x14ac:dyDescent="0.35">
      <c r="A181">
        <v>447</v>
      </c>
      <c r="B181">
        <f t="shared" si="10"/>
        <v>-891.35206382240722</v>
      </c>
      <c r="C181">
        <f t="shared" si="11"/>
        <v>794508.50168046472</v>
      </c>
      <c r="D181">
        <v>24646</v>
      </c>
      <c r="E181">
        <f t="shared" si="12"/>
        <v>2.4645999999999999</v>
      </c>
      <c r="F181">
        <f t="shared" si="13"/>
        <v>-0.9152559833506726</v>
      </c>
      <c r="G181">
        <f t="shared" si="14"/>
        <v>0.83769351505920664</v>
      </c>
    </row>
    <row r="182" spans="1:7" x14ac:dyDescent="0.35">
      <c r="A182">
        <v>447</v>
      </c>
      <c r="B182">
        <f t="shared" si="10"/>
        <v>-891.35206382240722</v>
      </c>
      <c r="C182">
        <f t="shared" si="11"/>
        <v>794508.50168046472</v>
      </c>
      <c r="D182">
        <v>23696</v>
      </c>
      <c r="E182">
        <f t="shared" si="12"/>
        <v>2.3696000000000002</v>
      </c>
      <c r="F182">
        <f t="shared" si="13"/>
        <v>-1.0102559833506723</v>
      </c>
      <c r="G182">
        <f t="shared" si="14"/>
        <v>1.020617151895834</v>
      </c>
    </row>
    <row r="183" spans="1:7" x14ac:dyDescent="0.35">
      <c r="A183">
        <v>447</v>
      </c>
      <c r="B183">
        <f t="shared" si="10"/>
        <v>-891.35206382240722</v>
      </c>
      <c r="C183">
        <f t="shared" si="11"/>
        <v>794508.50168046472</v>
      </c>
      <c r="D183">
        <v>21538</v>
      </c>
      <c r="E183">
        <f t="shared" si="12"/>
        <v>2.1537999999999999</v>
      </c>
      <c r="F183">
        <f t="shared" si="13"/>
        <v>-1.2260559833506726</v>
      </c>
      <c r="G183">
        <f t="shared" si="14"/>
        <v>1.5032132743099846</v>
      </c>
    </row>
    <row r="184" spans="1:7" x14ac:dyDescent="0.35">
      <c r="A184">
        <v>2666</v>
      </c>
      <c r="B184">
        <f t="shared" si="10"/>
        <v>1327.6479361775928</v>
      </c>
      <c r="C184">
        <f t="shared" si="11"/>
        <v>1762649.0424366214</v>
      </c>
      <c r="D184">
        <v>21693</v>
      </c>
      <c r="E184">
        <f t="shared" si="12"/>
        <v>2.1692999999999998</v>
      </c>
      <c r="F184">
        <f t="shared" si="13"/>
        <v>-1.2105559833506727</v>
      </c>
      <c r="G184">
        <f t="shared" si="14"/>
        <v>1.4654457888261141</v>
      </c>
    </row>
    <row r="185" spans="1:7" x14ac:dyDescent="0.35">
      <c r="A185">
        <v>2666</v>
      </c>
      <c r="B185">
        <f t="shared" si="10"/>
        <v>1327.6479361775928</v>
      </c>
      <c r="C185">
        <f t="shared" si="11"/>
        <v>1762649.0424366214</v>
      </c>
      <c r="D185">
        <v>21783</v>
      </c>
      <c r="E185">
        <f t="shared" si="12"/>
        <v>2.1783000000000001</v>
      </c>
      <c r="F185">
        <f t="shared" si="13"/>
        <v>-1.2015559833506724</v>
      </c>
      <c r="G185">
        <f t="shared" si="14"/>
        <v>1.4437367811258013</v>
      </c>
    </row>
    <row r="186" spans="1:7" x14ac:dyDescent="0.35">
      <c r="A186">
        <v>2666</v>
      </c>
      <c r="B186">
        <f t="shared" si="10"/>
        <v>1327.6479361775928</v>
      </c>
      <c r="C186">
        <f t="shared" si="11"/>
        <v>1762649.0424366214</v>
      </c>
      <c r="D186">
        <v>22399</v>
      </c>
      <c r="E186">
        <f t="shared" si="12"/>
        <v>2.2399</v>
      </c>
      <c r="F186">
        <f t="shared" si="13"/>
        <v>-1.1399559833506725</v>
      </c>
      <c r="G186">
        <f t="shared" si="14"/>
        <v>1.2994996439769988</v>
      </c>
    </row>
    <row r="187" spans="1:7" x14ac:dyDescent="0.35">
      <c r="A187">
        <v>2666</v>
      </c>
      <c r="B187">
        <f t="shared" si="10"/>
        <v>1327.6479361775928</v>
      </c>
      <c r="C187">
        <f t="shared" si="11"/>
        <v>1762649.0424366214</v>
      </c>
      <c r="D187">
        <v>25562</v>
      </c>
      <c r="E187">
        <f t="shared" si="12"/>
        <v>2.5562</v>
      </c>
      <c r="F187">
        <f t="shared" si="13"/>
        <v>-0.82365598335067247</v>
      </c>
      <c r="G187">
        <f t="shared" si="14"/>
        <v>0.67840917890936325</v>
      </c>
    </row>
    <row r="188" spans="1:7" x14ac:dyDescent="0.35">
      <c r="A188">
        <v>2666</v>
      </c>
      <c r="B188">
        <f t="shared" si="10"/>
        <v>1327.6479361775928</v>
      </c>
      <c r="C188">
        <f t="shared" si="11"/>
        <v>1762649.0424366214</v>
      </c>
      <c r="D188">
        <v>25661</v>
      </c>
      <c r="E188">
        <f t="shared" si="12"/>
        <v>2.5661</v>
      </c>
      <c r="F188">
        <f t="shared" si="13"/>
        <v>-0.81375598335067245</v>
      </c>
      <c r="G188">
        <f t="shared" si="14"/>
        <v>0.66219880043901991</v>
      </c>
    </row>
    <row r="189" spans="1:7" x14ac:dyDescent="0.35">
      <c r="A189">
        <v>2666</v>
      </c>
      <c r="B189">
        <f t="shared" si="10"/>
        <v>1327.6479361775928</v>
      </c>
      <c r="C189">
        <f t="shared" si="11"/>
        <v>1762649.0424366214</v>
      </c>
      <c r="D189">
        <v>26592</v>
      </c>
      <c r="E189">
        <f t="shared" si="12"/>
        <v>2.6591999999999998</v>
      </c>
      <c r="F189">
        <f t="shared" si="13"/>
        <v>-0.72065598335067271</v>
      </c>
      <c r="G189">
        <f t="shared" si="14"/>
        <v>0.51934504633912504</v>
      </c>
    </row>
    <row r="190" spans="1:7" x14ac:dyDescent="0.35">
      <c r="A190">
        <v>2666</v>
      </c>
      <c r="B190">
        <f t="shared" si="10"/>
        <v>1327.6479361775928</v>
      </c>
      <c r="C190">
        <f t="shared" si="11"/>
        <v>1762649.0424366214</v>
      </c>
      <c r="D190">
        <v>26893</v>
      </c>
      <c r="E190">
        <f t="shared" si="12"/>
        <v>2.6892999999999998</v>
      </c>
      <c r="F190">
        <f t="shared" si="13"/>
        <v>-0.6905559833506727</v>
      </c>
      <c r="G190">
        <f t="shared" si="14"/>
        <v>0.47686756614141457</v>
      </c>
    </row>
    <row r="191" spans="1:7" x14ac:dyDescent="0.35">
      <c r="A191">
        <v>2666</v>
      </c>
      <c r="B191">
        <f t="shared" si="10"/>
        <v>1327.6479361775928</v>
      </c>
      <c r="C191">
        <f t="shared" si="11"/>
        <v>1762649.0424366214</v>
      </c>
      <c r="D191">
        <v>27185</v>
      </c>
      <c r="E191">
        <f t="shared" si="12"/>
        <v>2.7185000000000001</v>
      </c>
      <c r="F191">
        <f t="shared" si="13"/>
        <v>-0.66135598335067236</v>
      </c>
      <c r="G191">
        <f t="shared" si="14"/>
        <v>0.43739173671373482</v>
      </c>
    </row>
    <row r="192" spans="1:7" x14ac:dyDescent="0.35">
      <c r="A192">
        <v>2666</v>
      </c>
      <c r="B192">
        <f t="shared" si="10"/>
        <v>1327.6479361775928</v>
      </c>
      <c r="C192">
        <f t="shared" si="11"/>
        <v>1762649.0424366214</v>
      </c>
      <c r="D192">
        <v>25328</v>
      </c>
      <c r="E192">
        <f t="shared" si="12"/>
        <v>2.5327999999999999</v>
      </c>
      <c r="F192">
        <f t="shared" si="13"/>
        <v>-0.84705598335067256</v>
      </c>
      <c r="G192">
        <f t="shared" si="14"/>
        <v>0.71750383893017489</v>
      </c>
    </row>
    <row r="193" spans="1:7" x14ac:dyDescent="0.35">
      <c r="A193">
        <v>2666</v>
      </c>
      <c r="B193">
        <f t="shared" si="10"/>
        <v>1327.6479361775928</v>
      </c>
      <c r="C193">
        <f t="shared" si="11"/>
        <v>1762649.0424366214</v>
      </c>
      <c r="D193">
        <v>26527</v>
      </c>
      <c r="E193">
        <f t="shared" si="12"/>
        <v>2.6526999999999998</v>
      </c>
      <c r="F193">
        <f t="shared" si="13"/>
        <v>-0.72715598335067266</v>
      </c>
      <c r="G193">
        <f t="shared" si="14"/>
        <v>0.52875582412268374</v>
      </c>
    </row>
    <row r="194" spans="1:7" x14ac:dyDescent="0.35">
      <c r="A194">
        <v>2666</v>
      </c>
      <c r="B194">
        <f t="shared" si="10"/>
        <v>1327.6479361775928</v>
      </c>
      <c r="C194">
        <f t="shared" si="11"/>
        <v>1762649.0424366214</v>
      </c>
      <c r="D194">
        <v>27629</v>
      </c>
      <c r="E194">
        <f t="shared" si="12"/>
        <v>2.7629000000000001</v>
      </c>
      <c r="F194">
        <f t="shared" si="13"/>
        <v>-0.61695598335067237</v>
      </c>
      <c r="G194">
        <f t="shared" si="14"/>
        <v>0.38063468539219514</v>
      </c>
    </row>
    <row r="195" spans="1:7" x14ac:dyDescent="0.35">
      <c r="A195">
        <v>2666</v>
      </c>
      <c r="B195">
        <f t="shared" ref="B195:B258" si="15">A195-$J$1</f>
        <v>1327.6479361775928</v>
      </c>
      <c r="C195">
        <f t="shared" ref="C195:C258" si="16">B195^2</f>
        <v>1762649.0424366214</v>
      </c>
      <c r="D195">
        <v>27431</v>
      </c>
      <c r="E195">
        <f t="shared" ref="E195:E258" si="17">D195/10000</f>
        <v>2.7431000000000001</v>
      </c>
      <c r="F195">
        <f t="shared" ref="F195:F258" si="18">E195-$J$2</f>
        <v>-0.63675598335067241</v>
      </c>
      <c r="G195">
        <f t="shared" ref="G195:G258" si="19">F195^2</f>
        <v>0.40545818233288178</v>
      </c>
    </row>
    <row r="196" spans="1:7" x14ac:dyDescent="0.35">
      <c r="A196">
        <v>2666</v>
      </c>
      <c r="B196">
        <f t="shared" si="15"/>
        <v>1327.6479361775928</v>
      </c>
      <c r="C196">
        <f t="shared" si="16"/>
        <v>1762649.0424366214</v>
      </c>
      <c r="D196">
        <v>29358</v>
      </c>
      <c r="E196">
        <f t="shared" si="17"/>
        <v>2.9358</v>
      </c>
      <c r="F196">
        <f t="shared" si="18"/>
        <v>-0.44405598335067253</v>
      </c>
      <c r="G196">
        <f t="shared" si="19"/>
        <v>0.19718571634953277</v>
      </c>
    </row>
    <row r="197" spans="1:7" x14ac:dyDescent="0.35">
      <c r="A197">
        <v>2666</v>
      </c>
      <c r="B197">
        <f t="shared" si="15"/>
        <v>1327.6479361775928</v>
      </c>
      <c r="C197">
        <f t="shared" si="16"/>
        <v>1762649.0424366214</v>
      </c>
      <c r="D197">
        <v>32139</v>
      </c>
      <c r="E197">
        <f t="shared" si="17"/>
        <v>3.2139000000000002</v>
      </c>
      <c r="F197">
        <f t="shared" si="18"/>
        <v>-0.1659559833506723</v>
      </c>
      <c r="G197">
        <f t="shared" si="19"/>
        <v>2.754138840988862E-2</v>
      </c>
    </row>
    <row r="198" spans="1:7" x14ac:dyDescent="0.35">
      <c r="A198">
        <v>2666</v>
      </c>
      <c r="B198">
        <f t="shared" si="15"/>
        <v>1327.6479361775928</v>
      </c>
      <c r="C198">
        <f t="shared" si="16"/>
        <v>1762649.0424366214</v>
      </c>
      <c r="D198">
        <v>34836</v>
      </c>
      <c r="E198">
        <f t="shared" si="17"/>
        <v>3.4836</v>
      </c>
      <c r="F198">
        <f t="shared" si="18"/>
        <v>0.10374401664932753</v>
      </c>
      <c r="G198">
        <f t="shared" si="19"/>
        <v>1.0762820990535948E-2</v>
      </c>
    </row>
    <row r="199" spans="1:7" x14ac:dyDescent="0.35">
      <c r="A199">
        <v>2666</v>
      </c>
      <c r="B199">
        <f t="shared" si="15"/>
        <v>1327.6479361775928</v>
      </c>
      <c r="C199">
        <f t="shared" si="16"/>
        <v>1762649.0424366214</v>
      </c>
      <c r="D199">
        <v>34020</v>
      </c>
      <c r="E199">
        <f t="shared" si="17"/>
        <v>3.4020000000000001</v>
      </c>
      <c r="F199">
        <f t="shared" si="18"/>
        <v>2.2144016649327636E-2</v>
      </c>
      <c r="G199">
        <f t="shared" si="19"/>
        <v>4.9035747336569958E-4</v>
      </c>
    </row>
    <row r="200" spans="1:7" x14ac:dyDescent="0.35">
      <c r="A200">
        <v>2666</v>
      </c>
      <c r="B200">
        <f t="shared" si="15"/>
        <v>1327.6479361775928</v>
      </c>
      <c r="C200">
        <f t="shared" si="16"/>
        <v>1762649.0424366214</v>
      </c>
      <c r="D200">
        <v>34902</v>
      </c>
      <c r="E200">
        <f t="shared" si="17"/>
        <v>3.4902000000000002</v>
      </c>
      <c r="F200">
        <f t="shared" si="18"/>
        <v>0.11034401664932769</v>
      </c>
      <c r="G200">
        <f t="shared" si="19"/>
        <v>1.2175802010307107E-2</v>
      </c>
    </row>
    <row r="201" spans="1:7" x14ac:dyDescent="0.35">
      <c r="A201">
        <v>2666</v>
      </c>
      <c r="B201">
        <f t="shared" si="15"/>
        <v>1327.6479361775928</v>
      </c>
      <c r="C201">
        <f t="shared" si="16"/>
        <v>1762649.0424366214</v>
      </c>
      <c r="D201">
        <v>35359</v>
      </c>
      <c r="E201">
        <f t="shared" si="17"/>
        <v>3.5358999999999998</v>
      </c>
      <c r="F201">
        <f t="shared" si="18"/>
        <v>0.15604401664932732</v>
      </c>
      <c r="G201">
        <f t="shared" si="19"/>
        <v>2.4349735132055541E-2</v>
      </c>
    </row>
    <row r="202" spans="1:7" x14ac:dyDescent="0.35">
      <c r="A202">
        <v>2666</v>
      </c>
      <c r="B202">
        <f t="shared" si="15"/>
        <v>1327.6479361775928</v>
      </c>
      <c r="C202">
        <f t="shared" si="16"/>
        <v>1762649.0424366214</v>
      </c>
      <c r="D202">
        <v>37814</v>
      </c>
      <c r="E202">
        <f t="shared" si="17"/>
        <v>3.7814000000000001</v>
      </c>
      <c r="F202">
        <f t="shared" si="18"/>
        <v>0.4015440166493276</v>
      </c>
      <c r="G202">
        <f t="shared" si="19"/>
        <v>0.16123759730687548</v>
      </c>
    </row>
    <row r="203" spans="1:7" x14ac:dyDescent="0.35">
      <c r="A203">
        <v>2666</v>
      </c>
      <c r="B203">
        <f t="shared" si="15"/>
        <v>1327.6479361775928</v>
      </c>
      <c r="C203">
        <f t="shared" si="16"/>
        <v>1762649.0424366214</v>
      </c>
      <c r="D203">
        <v>38541</v>
      </c>
      <c r="E203">
        <f t="shared" si="17"/>
        <v>3.8540999999999999</v>
      </c>
      <c r="F203">
        <f t="shared" si="18"/>
        <v>0.47424401664932736</v>
      </c>
      <c r="G203">
        <f t="shared" si="19"/>
        <v>0.22490738732768747</v>
      </c>
    </row>
    <row r="204" spans="1:7" x14ac:dyDescent="0.35">
      <c r="A204">
        <v>2666</v>
      </c>
      <c r="B204">
        <f t="shared" si="15"/>
        <v>1327.6479361775928</v>
      </c>
      <c r="C204">
        <f t="shared" si="16"/>
        <v>1762649.0424366214</v>
      </c>
      <c r="D204">
        <v>40833</v>
      </c>
      <c r="E204">
        <f t="shared" si="17"/>
        <v>4.0833000000000004</v>
      </c>
      <c r="F204">
        <f t="shared" si="18"/>
        <v>0.70344401664932787</v>
      </c>
      <c r="G204">
        <f t="shared" si="19"/>
        <v>0.49483348455973986</v>
      </c>
    </row>
    <row r="205" spans="1:7" x14ac:dyDescent="0.35">
      <c r="A205">
        <v>2666</v>
      </c>
      <c r="B205">
        <f t="shared" si="15"/>
        <v>1327.6479361775928</v>
      </c>
      <c r="C205">
        <f t="shared" si="16"/>
        <v>1762649.0424366214</v>
      </c>
      <c r="D205">
        <v>41441</v>
      </c>
      <c r="E205">
        <f t="shared" si="17"/>
        <v>4.1440999999999999</v>
      </c>
      <c r="F205">
        <f t="shared" si="18"/>
        <v>0.7642440166493274</v>
      </c>
      <c r="G205">
        <f t="shared" si="19"/>
        <v>0.58406891698429741</v>
      </c>
    </row>
    <row r="206" spans="1:7" x14ac:dyDescent="0.35">
      <c r="A206">
        <v>2666</v>
      </c>
      <c r="B206">
        <f t="shared" si="15"/>
        <v>1327.6479361775928</v>
      </c>
      <c r="C206">
        <f t="shared" si="16"/>
        <v>1762649.0424366214</v>
      </c>
      <c r="D206">
        <v>42404</v>
      </c>
      <c r="E206">
        <f t="shared" si="17"/>
        <v>4.2404000000000002</v>
      </c>
      <c r="F206">
        <f t="shared" si="18"/>
        <v>0.86054401664932767</v>
      </c>
      <c r="G206">
        <f t="shared" si="19"/>
        <v>0.74053600459095836</v>
      </c>
    </row>
    <row r="207" spans="1:7" x14ac:dyDescent="0.35">
      <c r="A207">
        <v>2666</v>
      </c>
      <c r="B207">
        <f t="shared" si="15"/>
        <v>1327.6479361775928</v>
      </c>
      <c r="C207">
        <f t="shared" si="16"/>
        <v>1762649.0424366214</v>
      </c>
      <c r="D207">
        <v>43422</v>
      </c>
      <c r="E207">
        <f t="shared" si="17"/>
        <v>4.3422000000000001</v>
      </c>
      <c r="F207">
        <f t="shared" si="18"/>
        <v>0.96234401664932756</v>
      </c>
      <c r="G207">
        <f t="shared" si="19"/>
        <v>0.92610600638076124</v>
      </c>
    </row>
    <row r="208" spans="1:7" x14ac:dyDescent="0.35">
      <c r="A208">
        <v>2666</v>
      </c>
      <c r="B208">
        <f t="shared" si="15"/>
        <v>1327.6479361775928</v>
      </c>
      <c r="C208">
        <f t="shared" si="16"/>
        <v>1762649.0424366214</v>
      </c>
      <c r="D208">
        <v>43917</v>
      </c>
      <c r="E208">
        <f t="shared" si="17"/>
        <v>4.3917000000000002</v>
      </c>
      <c r="F208">
        <f t="shared" si="18"/>
        <v>1.0118440166493277</v>
      </c>
      <c r="G208">
        <f t="shared" si="19"/>
        <v>1.023828314029045</v>
      </c>
    </row>
    <row r="209" spans="1:7" x14ac:dyDescent="0.35">
      <c r="A209">
        <v>2666</v>
      </c>
      <c r="B209">
        <f t="shared" si="15"/>
        <v>1327.6479361775928</v>
      </c>
      <c r="C209">
        <f t="shared" si="16"/>
        <v>1762649.0424366214</v>
      </c>
      <c r="D209">
        <v>44206</v>
      </c>
      <c r="E209">
        <f t="shared" si="17"/>
        <v>4.4206000000000003</v>
      </c>
      <c r="F209">
        <f t="shared" si="18"/>
        <v>1.0407440166493278</v>
      </c>
      <c r="G209">
        <f t="shared" si="19"/>
        <v>1.0831481081913763</v>
      </c>
    </row>
    <row r="210" spans="1:7" x14ac:dyDescent="0.35">
      <c r="A210">
        <v>2666</v>
      </c>
      <c r="B210">
        <f t="shared" si="15"/>
        <v>1327.6479361775928</v>
      </c>
      <c r="C210">
        <f t="shared" si="16"/>
        <v>1762649.0424366214</v>
      </c>
      <c r="D210">
        <v>45317</v>
      </c>
      <c r="E210">
        <f t="shared" si="17"/>
        <v>4.5316999999999998</v>
      </c>
      <c r="F210">
        <f t="shared" si="18"/>
        <v>1.1518440166493273</v>
      </c>
      <c r="G210">
        <f t="shared" si="19"/>
        <v>1.3267446386908559</v>
      </c>
    </row>
    <row r="211" spans="1:7" x14ac:dyDescent="0.35">
      <c r="A211">
        <v>2666</v>
      </c>
      <c r="B211">
        <f t="shared" si="15"/>
        <v>1327.6479361775928</v>
      </c>
      <c r="C211">
        <f t="shared" si="16"/>
        <v>1762649.0424366214</v>
      </c>
      <c r="D211">
        <v>46226</v>
      </c>
      <c r="E211">
        <f t="shared" si="17"/>
        <v>4.6226000000000003</v>
      </c>
      <c r="F211">
        <f t="shared" si="18"/>
        <v>1.2427440166493278</v>
      </c>
      <c r="G211">
        <f t="shared" si="19"/>
        <v>1.5444126909177047</v>
      </c>
    </row>
    <row r="212" spans="1:7" x14ac:dyDescent="0.35">
      <c r="A212">
        <v>2666</v>
      </c>
      <c r="B212">
        <f t="shared" si="15"/>
        <v>1327.6479361775928</v>
      </c>
      <c r="C212">
        <f t="shared" si="16"/>
        <v>1762649.0424366214</v>
      </c>
      <c r="D212">
        <v>45093</v>
      </c>
      <c r="E212">
        <f t="shared" si="17"/>
        <v>4.5092999999999996</v>
      </c>
      <c r="F212">
        <f t="shared" si="18"/>
        <v>1.1294440166493271</v>
      </c>
      <c r="G212">
        <f t="shared" si="19"/>
        <v>1.2756437867449655</v>
      </c>
    </row>
    <row r="213" spans="1:7" x14ac:dyDescent="0.35">
      <c r="A213">
        <v>2666</v>
      </c>
      <c r="B213">
        <f t="shared" si="15"/>
        <v>1327.6479361775928</v>
      </c>
      <c r="C213">
        <f t="shared" si="16"/>
        <v>1762649.0424366214</v>
      </c>
      <c r="D213">
        <v>46188</v>
      </c>
      <c r="E213">
        <f t="shared" si="17"/>
        <v>4.6188000000000002</v>
      </c>
      <c r="F213">
        <f t="shared" si="18"/>
        <v>1.2389440166493277</v>
      </c>
      <c r="G213">
        <f t="shared" si="19"/>
        <v>1.5349822763911698</v>
      </c>
    </row>
    <row r="214" spans="1:7" x14ac:dyDescent="0.35">
      <c r="A214">
        <v>1705</v>
      </c>
      <c r="B214">
        <f t="shared" si="15"/>
        <v>366.64793617759278</v>
      </c>
      <c r="C214">
        <f t="shared" si="16"/>
        <v>134430.70910328816</v>
      </c>
      <c r="D214">
        <v>22749</v>
      </c>
      <c r="E214">
        <f t="shared" si="17"/>
        <v>2.2749000000000001</v>
      </c>
      <c r="F214">
        <f t="shared" si="18"/>
        <v>-1.1049559833506724</v>
      </c>
      <c r="G214">
        <f t="shared" si="19"/>
        <v>1.2209277251424513</v>
      </c>
    </row>
    <row r="215" spans="1:7" x14ac:dyDescent="0.35">
      <c r="A215">
        <v>1705</v>
      </c>
      <c r="B215">
        <f t="shared" si="15"/>
        <v>366.64793617759278</v>
      </c>
      <c r="C215">
        <f t="shared" si="16"/>
        <v>134430.70910328816</v>
      </c>
      <c r="D215">
        <v>28784</v>
      </c>
      <c r="E215">
        <f t="shared" si="17"/>
        <v>2.8784000000000001</v>
      </c>
      <c r="F215">
        <f t="shared" si="18"/>
        <v>-0.50145598335067243</v>
      </c>
      <c r="G215">
        <f t="shared" si="19"/>
        <v>0.25145810323818985</v>
      </c>
    </row>
    <row r="216" spans="1:7" x14ac:dyDescent="0.35">
      <c r="A216">
        <v>1705</v>
      </c>
      <c r="B216">
        <f t="shared" si="15"/>
        <v>366.64793617759278</v>
      </c>
      <c r="C216">
        <f t="shared" si="16"/>
        <v>134430.70910328816</v>
      </c>
      <c r="D216">
        <v>25517</v>
      </c>
      <c r="E216">
        <f t="shared" si="17"/>
        <v>2.5516999999999999</v>
      </c>
      <c r="F216">
        <f t="shared" si="18"/>
        <v>-0.82815598335067264</v>
      </c>
      <c r="G216">
        <f t="shared" si="19"/>
        <v>0.68584233275951956</v>
      </c>
    </row>
    <row r="217" spans="1:7" x14ac:dyDescent="0.35">
      <c r="A217">
        <v>1705</v>
      </c>
      <c r="B217">
        <f t="shared" si="15"/>
        <v>366.64793617759278</v>
      </c>
      <c r="C217">
        <f t="shared" si="16"/>
        <v>134430.70910328816</v>
      </c>
      <c r="D217">
        <v>12117</v>
      </c>
      <c r="E217">
        <f t="shared" si="17"/>
        <v>1.2117</v>
      </c>
      <c r="F217">
        <f t="shared" si="18"/>
        <v>-2.1681559833506725</v>
      </c>
      <c r="G217">
        <f t="shared" si="19"/>
        <v>4.7009003681393216</v>
      </c>
    </row>
    <row r="218" spans="1:7" x14ac:dyDescent="0.35">
      <c r="A218">
        <v>1705</v>
      </c>
      <c r="B218">
        <f t="shared" si="15"/>
        <v>366.64793617759278</v>
      </c>
      <c r="C218">
        <f t="shared" si="16"/>
        <v>134430.70910328816</v>
      </c>
      <c r="D218">
        <v>14419</v>
      </c>
      <c r="E218">
        <f t="shared" si="17"/>
        <v>1.4419</v>
      </c>
      <c r="F218">
        <f t="shared" si="18"/>
        <v>-1.9379559833506725</v>
      </c>
      <c r="G218">
        <f t="shared" si="19"/>
        <v>3.7556733934046722</v>
      </c>
    </row>
    <row r="219" spans="1:7" x14ac:dyDescent="0.35">
      <c r="A219">
        <v>1705</v>
      </c>
      <c r="B219">
        <f t="shared" si="15"/>
        <v>366.64793617759278</v>
      </c>
      <c r="C219">
        <f t="shared" si="16"/>
        <v>134430.70910328816</v>
      </c>
      <c r="D219">
        <v>12896</v>
      </c>
      <c r="E219">
        <f t="shared" si="17"/>
        <v>1.2896000000000001</v>
      </c>
      <c r="F219">
        <f t="shared" si="18"/>
        <v>-2.0902559833506724</v>
      </c>
      <c r="G219">
        <f t="shared" si="19"/>
        <v>4.3691700759332868</v>
      </c>
    </row>
    <row r="220" spans="1:7" x14ac:dyDescent="0.35">
      <c r="A220">
        <v>1705</v>
      </c>
      <c r="B220">
        <f t="shared" si="15"/>
        <v>366.64793617759278</v>
      </c>
      <c r="C220">
        <f t="shared" si="16"/>
        <v>134430.70910328816</v>
      </c>
      <c r="D220">
        <v>22756</v>
      </c>
      <c r="E220">
        <f t="shared" si="17"/>
        <v>2.2755999999999998</v>
      </c>
      <c r="F220">
        <f t="shared" si="18"/>
        <v>-1.1042559833506727</v>
      </c>
      <c r="G220">
        <f t="shared" si="19"/>
        <v>1.219381276765761</v>
      </c>
    </row>
    <row r="221" spans="1:7" x14ac:dyDescent="0.35">
      <c r="A221">
        <v>1705</v>
      </c>
      <c r="B221">
        <f t="shared" si="15"/>
        <v>366.64793617759278</v>
      </c>
      <c r="C221">
        <f t="shared" si="16"/>
        <v>134430.70910328816</v>
      </c>
      <c r="D221">
        <v>21874</v>
      </c>
      <c r="E221">
        <f t="shared" si="17"/>
        <v>2.1873999999999998</v>
      </c>
      <c r="F221">
        <f t="shared" si="18"/>
        <v>-1.1924559833506727</v>
      </c>
      <c r="G221">
        <f t="shared" si="19"/>
        <v>1.4219512722288199</v>
      </c>
    </row>
    <row r="222" spans="1:7" x14ac:dyDescent="0.35">
      <c r="A222">
        <v>1705</v>
      </c>
      <c r="B222">
        <f t="shared" si="15"/>
        <v>366.64793617759278</v>
      </c>
      <c r="C222">
        <f t="shared" si="16"/>
        <v>134430.70910328816</v>
      </c>
      <c r="D222">
        <v>15005</v>
      </c>
      <c r="E222">
        <f t="shared" si="17"/>
        <v>1.5004999999999999</v>
      </c>
      <c r="F222">
        <f t="shared" si="18"/>
        <v>-1.8793559833506726</v>
      </c>
      <c r="G222">
        <f t="shared" si="19"/>
        <v>3.5319789121559735</v>
      </c>
    </row>
    <row r="223" spans="1:7" x14ac:dyDescent="0.35">
      <c r="A223">
        <v>1705</v>
      </c>
      <c r="B223">
        <f t="shared" si="15"/>
        <v>366.64793617759278</v>
      </c>
      <c r="C223">
        <f t="shared" si="16"/>
        <v>134430.70910328816</v>
      </c>
      <c r="D223">
        <v>19521</v>
      </c>
      <c r="E223">
        <f t="shared" si="17"/>
        <v>1.9520999999999999</v>
      </c>
      <c r="F223">
        <f t="shared" si="18"/>
        <v>-1.4277559833506726</v>
      </c>
      <c r="G223">
        <f t="shared" si="19"/>
        <v>2.0384871479936462</v>
      </c>
    </row>
    <row r="224" spans="1:7" x14ac:dyDescent="0.35">
      <c r="A224">
        <v>1705</v>
      </c>
      <c r="B224">
        <f t="shared" si="15"/>
        <v>366.64793617759278</v>
      </c>
      <c r="C224">
        <f t="shared" si="16"/>
        <v>134430.70910328816</v>
      </c>
      <c r="D224">
        <v>22010</v>
      </c>
      <c r="E224">
        <f t="shared" si="17"/>
        <v>2.2010000000000001</v>
      </c>
      <c r="F224">
        <f t="shared" si="18"/>
        <v>-1.1788559833506724</v>
      </c>
      <c r="G224">
        <f t="shared" si="19"/>
        <v>1.389701429481681</v>
      </c>
    </row>
    <row r="225" spans="1:7" x14ac:dyDescent="0.35">
      <c r="A225">
        <v>1705</v>
      </c>
      <c r="B225">
        <f t="shared" si="15"/>
        <v>366.64793617759278</v>
      </c>
      <c r="C225">
        <f t="shared" si="16"/>
        <v>134430.70910328816</v>
      </c>
      <c r="D225">
        <v>26767</v>
      </c>
      <c r="E225">
        <f t="shared" si="17"/>
        <v>2.6766999999999999</v>
      </c>
      <c r="F225">
        <f t="shared" si="18"/>
        <v>-0.70315598335067264</v>
      </c>
      <c r="G225">
        <f t="shared" si="19"/>
        <v>0.4944283369218514</v>
      </c>
    </row>
    <row r="226" spans="1:7" x14ac:dyDescent="0.35">
      <c r="A226">
        <v>1705</v>
      </c>
      <c r="B226">
        <f t="shared" si="15"/>
        <v>366.64793617759278</v>
      </c>
      <c r="C226">
        <f t="shared" si="16"/>
        <v>134430.70910328816</v>
      </c>
      <c r="D226">
        <v>18107</v>
      </c>
      <c r="E226">
        <f t="shared" si="17"/>
        <v>1.8107</v>
      </c>
      <c r="F226">
        <f t="shared" si="18"/>
        <v>-1.5691559833506725</v>
      </c>
      <c r="G226">
        <f t="shared" si="19"/>
        <v>2.462250500085216</v>
      </c>
    </row>
    <row r="227" spans="1:7" x14ac:dyDescent="0.35">
      <c r="A227">
        <v>1705</v>
      </c>
      <c r="B227">
        <f t="shared" si="15"/>
        <v>366.64793617759278</v>
      </c>
      <c r="C227">
        <f t="shared" si="16"/>
        <v>134430.70910328816</v>
      </c>
      <c r="D227">
        <v>27409</v>
      </c>
      <c r="E227">
        <f t="shared" si="17"/>
        <v>2.7408999999999999</v>
      </c>
      <c r="F227">
        <f t="shared" si="18"/>
        <v>-0.63895598335067261</v>
      </c>
      <c r="G227">
        <f t="shared" si="19"/>
        <v>0.40826474865962503</v>
      </c>
    </row>
    <row r="228" spans="1:7" x14ac:dyDescent="0.35">
      <c r="A228">
        <v>1705</v>
      </c>
      <c r="B228">
        <f t="shared" si="15"/>
        <v>366.64793617759278</v>
      </c>
      <c r="C228">
        <f t="shared" si="16"/>
        <v>134430.70910328816</v>
      </c>
      <c r="D228">
        <v>27172</v>
      </c>
      <c r="E228">
        <f t="shared" si="17"/>
        <v>2.7172000000000001</v>
      </c>
      <c r="F228">
        <f t="shared" si="18"/>
        <v>-0.66265598335067244</v>
      </c>
      <c r="G228">
        <f t="shared" si="19"/>
        <v>0.43911295227044667</v>
      </c>
    </row>
    <row r="229" spans="1:7" x14ac:dyDescent="0.35">
      <c r="A229">
        <v>1705</v>
      </c>
      <c r="B229">
        <f t="shared" si="15"/>
        <v>366.64793617759278</v>
      </c>
      <c r="C229">
        <f t="shared" si="16"/>
        <v>134430.70910328816</v>
      </c>
      <c r="D229">
        <v>30137</v>
      </c>
      <c r="E229">
        <f t="shared" si="17"/>
        <v>3.0137</v>
      </c>
      <c r="F229">
        <f t="shared" si="18"/>
        <v>-0.36615598335067245</v>
      </c>
      <c r="G229">
        <f t="shared" si="19"/>
        <v>0.13407020414349793</v>
      </c>
    </row>
    <row r="230" spans="1:7" x14ac:dyDescent="0.35">
      <c r="A230">
        <v>1705</v>
      </c>
      <c r="B230">
        <f t="shared" si="15"/>
        <v>366.64793617759278</v>
      </c>
      <c r="C230">
        <f t="shared" si="16"/>
        <v>134430.70910328816</v>
      </c>
      <c r="D230">
        <v>22935</v>
      </c>
      <c r="E230">
        <f t="shared" si="17"/>
        <v>2.2934999999999999</v>
      </c>
      <c r="F230">
        <f t="shared" si="18"/>
        <v>-1.0863559833506726</v>
      </c>
      <c r="G230">
        <f t="shared" si="19"/>
        <v>1.1801693225618068</v>
      </c>
    </row>
    <row r="231" spans="1:7" x14ac:dyDescent="0.35">
      <c r="A231">
        <v>1705</v>
      </c>
      <c r="B231">
        <f t="shared" si="15"/>
        <v>366.64793617759278</v>
      </c>
      <c r="C231">
        <f t="shared" si="16"/>
        <v>134430.70910328816</v>
      </c>
      <c r="D231">
        <v>33294</v>
      </c>
      <c r="E231">
        <f t="shared" si="17"/>
        <v>3.3294000000000001</v>
      </c>
      <c r="F231">
        <f t="shared" si="18"/>
        <v>-5.0455983350672362E-2</v>
      </c>
      <c r="G231">
        <f t="shared" si="19"/>
        <v>2.5458062558833265E-3</v>
      </c>
    </row>
    <row r="232" spans="1:7" x14ac:dyDescent="0.35">
      <c r="A232">
        <v>1705</v>
      </c>
      <c r="B232">
        <f t="shared" si="15"/>
        <v>366.64793617759278</v>
      </c>
      <c r="C232">
        <f t="shared" si="16"/>
        <v>134430.70910328816</v>
      </c>
      <c r="D232">
        <v>46984</v>
      </c>
      <c r="E232">
        <f t="shared" si="17"/>
        <v>4.6984000000000004</v>
      </c>
      <c r="F232">
        <f t="shared" si="18"/>
        <v>1.3185440166493279</v>
      </c>
      <c r="G232">
        <f t="shared" si="19"/>
        <v>1.738558323841743</v>
      </c>
    </row>
    <row r="233" spans="1:7" x14ac:dyDescent="0.35">
      <c r="A233">
        <v>1705</v>
      </c>
      <c r="B233">
        <f t="shared" si="15"/>
        <v>366.64793617759278</v>
      </c>
      <c r="C233">
        <f t="shared" si="16"/>
        <v>134430.70910328816</v>
      </c>
      <c r="D233">
        <v>40697</v>
      </c>
      <c r="E233">
        <f t="shared" si="17"/>
        <v>4.0697000000000001</v>
      </c>
      <c r="F233">
        <f t="shared" si="18"/>
        <v>0.6898440166493276</v>
      </c>
      <c r="G233">
        <f t="shared" si="19"/>
        <v>0.47588476730687779</v>
      </c>
    </row>
    <row r="234" spans="1:7" x14ac:dyDescent="0.35">
      <c r="A234">
        <v>1705</v>
      </c>
      <c r="B234">
        <f t="shared" si="15"/>
        <v>366.64793617759278</v>
      </c>
      <c r="C234">
        <f t="shared" si="16"/>
        <v>134430.70910328816</v>
      </c>
      <c r="D234">
        <v>47872</v>
      </c>
      <c r="E234">
        <f t="shared" si="17"/>
        <v>4.7872000000000003</v>
      </c>
      <c r="F234">
        <f t="shared" si="18"/>
        <v>1.4073440166493278</v>
      </c>
      <c r="G234">
        <f t="shared" si="19"/>
        <v>1.9806171811986635</v>
      </c>
    </row>
    <row r="235" spans="1:7" x14ac:dyDescent="0.35">
      <c r="A235">
        <v>1705</v>
      </c>
      <c r="B235">
        <f t="shared" si="15"/>
        <v>366.64793617759278</v>
      </c>
      <c r="C235">
        <f t="shared" si="16"/>
        <v>134430.70910328816</v>
      </c>
      <c r="D235">
        <v>34749</v>
      </c>
      <c r="E235">
        <f t="shared" si="17"/>
        <v>3.4748999999999999</v>
      </c>
      <c r="F235">
        <f t="shared" si="18"/>
        <v>9.5044016649327379E-2</v>
      </c>
      <c r="G235">
        <f t="shared" si="19"/>
        <v>9.0333651008376193E-3</v>
      </c>
    </row>
    <row r="236" spans="1:7" x14ac:dyDescent="0.35">
      <c r="A236">
        <v>1705</v>
      </c>
      <c r="B236">
        <f t="shared" si="15"/>
        <v>366.64793617759278</v>
      </c>
      <c r="C236">
        <f t="shared" si="16"/>
        <v>134430.70910328816</v>
      </c>
      <c r="D236">
        <v>45021</v>
      </c>
      <c r="E236">
        <f t="shared" si="17"/>
        <v>4.5021000000000004</v>
      </c>
      <c r="F236">
        <f t="shared" si="18"/>
        <v>1.1222440166493279</v>
      </c>
      <c r="G236">
        <f t="shared" si="19"/>
        <v>1.2594316329052171</v>
      </c>
    </row>
    <row r="237" spans="1:7" x14ac:dyDescent="0.35">
      <c r="A237">
        <v>1705</v>
      </c>
      <c r="B237">
        <f t="shared" si="15"/>
        <v>366.64793617759278</v>
      </c>
      <c r="C237">
        <f t="shared" si="16"/>
        <v>134430.70910328816</v>
      </c>
      <c r="D237">
        <v>44538</v>
      </c>
      <c r="E237">
        <f t="shared" si="17"/>
        <v>4.4538000000000002</v>
      </c>
      <c r="F237">
        <f t="shared" si="18"/>
        <v>1.0739440166493277</v>
      </c>
      <c r="G237">
        <f t="shared" si="19"/>
        <v>1.1533557508968915</v>
      </c>
    </row>
    <row r="238" spans="1:7" x14ac:dyDescent="0.35">
      <c r="A238">
        <v>1705</v>
      </c>
      <c r="B238">
        <f t="shared" si="15"/>
        <v>366.64793617759278</v>
      </c>
      <c r="C238">
        <f t="shared" si="16"/>
        <v>134430.70910328816</v>
      </c>
      <c r="D238">
        <v>42831</v>
      </c>
      <c r="E238">
        <f t="shared" si="17"/>
        <v>4.2831000000000001</v>
      </c>
      <c r="F238">
        <f t="shared" si="18"/>
        <v>0.90324401664932763</v>
      </c>
      <c r="G238">
        <f t="shared" si="19"/>
        <v>0.81584975361281087</v>
      </c>
    </row>
    <row r="239" spans="1:7" x14ac:dyDescent="0.35">
      <c r="A239">
        <v>1705</v>
      </c>
      <c r="B239">
        <f t="shared" si="15"/>
        <v>366.64793617759278</v>
      </c>
      <c r="C239">
        <f t="shared" si="16"/>
        <v>134430.70910328816</v>
      </c>
      <c r="D239">
        <v>45437</v>
      </c>
      <c r="E239">
        <f t="shared" si="17"/>
        <v>4.5437000000000003</v>
      </c>
      <c r="F239">
        <f t="shared" si="18"/>
        <v>1.1638440166493278</v>
      </c>
      <c r="G239">
        <f t="shared" si="19"/>
        <v>1.3545328950904407</v>
      </c>
    </row>
    <row r="240" spans="1:7" x14ac:dyDescent="0.35">
      <c r="A240">
        <v>1705</v>
      </c>
      <c r="B240">
        <f t="shared" si="15"/>
        <v>366.64793617759278</v>
      </c>
      <c r="C240">
        <f t="shared" si="16"/>
        <v>134430.70910328816</v>
      </c>
      <c r="D240">
        <v>52229</v>
      </c>
      <c r="E240">
        <f t="shared" si="17"/>
        <v>5.2229000000000001</v>
      </c>
      <c r="F240">
        <f t="shared" si="18"/>
        <v>1.8430440166493276</v>
      </c>
      <c r="G240">
        <f t="shared" si="19"/>
        <v>3.396811247306887</v>
      </c>
    </row>
    <row r="241" spans="1:7" x14ac:dyDescent="0.35">
      <c r="A241">
        <v>1705</v>
      </c>
      <c r="B241">
        <f t="shared" si="15"/>
        <v>366.64793617759278</v>
      </c>
      <c r="C241">
        <f t="shared" si="16"/>
        <v>134430.70910328816</v>
      </c>
      <c r="D241">
        <v>46309</v>
      </c>
      <c r="E241">
        <f t="shared" si="17"/>
        <v>4.6308999999999996</v>
      </c>
      <c r="F241">
        <f t="shared" si="18"/>
        <v>1.2510440166493271</v>
      </c>
      <c r="G241">
        <f t="shared" si="19"/>
        <v>1.5651111315940818</v>
      </c>
    </row>
    <row r="242" spans="1:7" x14ac:dyDescent="0.35">
      <c r="A242">
        <v>1705</v>
      </c>
      <c r="B242">
        <f t="shared" si="15"/>
        <v>366.64793617759278</v>
      </c>
      <c r="C242">
        <f t="shared" si="16"/>
        <v>134430.70910328816</v>
      </c>
      <c r="D242">
        <v>42422</v>
      </c>
      <c r="E242">
        <f t="shared" si="17"/>
        <v>4.2422000000000004</v>
      </c>
      <c r="F242">
        <f t="shared" si="18"/>
        <v>0.86234401664932792</v>
      </c>
      <c r="G242">
        <f t="shared" si="19"/>
        <v>0.74363720305089631</v>
      </c>
    </row>
    <row r="243" spans="1:7" x14ac:dyDescent="0.35">
      <c r="A243">
        <v>1705</v>
      </c>
      <c r="B243">
        <f t="shared" si="15"/>
        <v>366.64793617759278</v>
      </c>
      <c r="C243">
        <f t="shared" si="16"/>
        <v>134430.70910328816</v>
      </c>
      <c r="D243">
        <v>47752</v>
      </c>
      <c r="E243">
        <f t="shared" si="17"/>
        <v>4.7751999999999999</v>
      </c>
      <c r="F243">
        <f t="shared" si="18"/>
        <v>1.3953440166493274</v>
      </c>
      <c r="G243">
        <f t="shared" si="19"/>
        <v>1.9469849247990785</v>
      </c>
    </row>
    <row r="244" spans="1:7" x14ac:dyDescent="0.35">
      <c r="A244">
        <v>1039</v>
      </c>
      <c r="B244">
        <f t="shared" si="15"/>
        <v>-299.35206382240722</v>
      </c>
      <c r="C244">
        <f t="shared" si="16"/>
        <v>89611.658114734557</v>
      </c>
      <c r="D244">
        <v>12783</v>
      </c>
      <c r="E244">
        <f t="shared" si="17"/>
        <v>1.2783</v>
      </c>
      <c r="F244">
        <f t="shared" si="18"/>
        <v>-2.1015559833506723</v>
      </c>
      <c r="G244">
        <f t="shared" si="19"/>
        <v>4.4165375511570115</v>
      </c>
    </row>
    <row r="245" spans="1:7" x14ac:dyDescent="0.35">
      <c r="A245">
        <v>1039</v>
      </c>
      <c r="B245">
        <f t="shared" si="15"/>
        <v>-299.35206382240722</v>
      </c>
      <c r="C245">
        <f t="shared" si="16"/>
        <v>89611.658114734557</v>
      </c>
      <c r="D245">
        <v>12119</v>
      </c>
      <c r="E245">
        <f t="shared" si="17"/>
        <v>1.2119</v>
      </c>
      <c r="F245">
        <f t="shared" si="18"/>
        <v>-2.1679559833506725</v>
      </c>
      <c r="G245">
        <f t="shared" si="19"/>
        <v>4.7000331457459819</v>
      </c>
    </row>
    <row r="246" spans="1:7" x14ac:dyDescent="0.35">
      <c r="A246">
        <v>1039</v>
      </c>
      <c r="B246">
        <f t="shared" si="15"/>
        <v>-299.35206382240722</v>
      </c>
      <c r="C246">
        <f t="shared" si="16"/>
        <v>89611.658114734557</v>
      </c>
      <c r="D246">
        <v>11704</v>
      </c>
      <c r="E246">
        <f t="shared" si="17"/>
        <v>1.1704000000000001</v>
      </c>
      <c r="F246">
        <f t="shared" si="18"/>
        <v>-2.2094559833506722</v>
      </c>
      <c r="G246">
        <f t="shared" si="19"/>
        <v>4.8816957423640854</v>
      </c>
    </row>
    <row r="247" spans="1:7" x14ac:dyDescent="0.35">
      <c r="A247">
        <v>1039</v>
      </c>
      <c r="B247">
        <f t="shared" si="15"/>
        <v>-299.35206382240722</v>
      </c>
      <c r="C247">
        <f t="shared" si="16"/>
        <v>89611.658114734557</v>
      </c>
      <c r="D247">
        <v>13752</v>
      </c>
      <c r="E247">
        <f t="shared" si="17"/>
        <v>1.3752</v>
      </c>
      <c r="F247">
        <f t="shared" si="18"/>
        <v>-2.0046559833506725</v>
      </c>
      <c r="G247">
        <f t="shared" si="19"/>
        <v>4.0186456115836515</v>
      </c>
    </row>
    <row r="248" spans="1:7" x14ac:dyDescent="0.35">
      <c r="A248">
        <v>1039</v>
      </c>
      <c r="B248">
        <f t="shared" si="15"/>
        <v>-299.35206382240722</v>
      </c>
      <c r="C248">
        <f t="shared" si="16"/>
        <v>89611.658114734557</v>
      </c>
      <c r="D248">
        <v>13961</v>
      </c>
      <c r="E248">
        <f t="shared" si="17"/>
        <v>1.3960999999999999</v>
      </c>
      <c r="F248">
        <f t="shared" si="18"/>
        <v>-1.9837559833506726</v>
      </c>
      <c r="G248">
        <f t="shared" si="19"/>
        <v>3.935287801479594</v>
      </c>
    </row>
    <row r="249" spans="1:7" x14ac:dyDescent="0.35">
      <c r="A249">
        <v>1039</v>
      </c>
      <c r="B249">
        <f t="shared" si="15"/>
        <v>-299.35206382240722</v>
      </c>
      <c r="C249">
        <f t="shared" si="16"/>
        <v>89611.658114734557</v>
      </c>
      <c r="D249">
        <v>13423</v>
      </c>
      <c r="E249">
        <f t="shared" si="17"/>
        <v>1.3423</v>
      </c>
      <c r="F249">
        <f t="shared" si="18"/>
        <v>-2.0375559833506722</v>
      </c>
      <c r="G249">
        <f t="shared" si="19"/>
        <v>4.1516343852881246</v>
      </c>
    </row>
    <row r="250" spans="1:7" x14ac:dyDescent="0.35">
      <c r="A250">
        <v>1039</v>
      </c>
      <c r="B250">
        <f t="shared" si="15"/>
        <v>-299.35206382240722</v>
      </c>
      <c r="C250">
        <f t="shared" si="16"/>
        <v>89611.658114734557</v>
      </c>
      <c r="D250">
        <v>13344</v>
      </c>
      <c r="E250">
        <f t="shared" si="17"/>
        <v>1.3344</v>
      </c>
      <c r="F250">
        <f t="shared" si="18"/>
        <v>-2.0454559833506725</v>
      </c>
      <c r="G250">
        <f t="shared" si="19"/>
        <v>4.1838901798250667</v>
      </c>
    </row>
    <row r="251" spans="1:7" x14ac:dyDescent="0.35">
      <c r="A251">
        <v>1039</v>
      </c>
      <c r="B251">
        <f t="shared" si="15"/>
        <v>-299.35206382240722</v>
      </c>
      <c r="C251">
        <f t="shared" si="16"/>
        <v>89611.658114734557</v>
      </c>
      <c r="D251">
        <v>13177</v>
      </c>
      <c r="E251">
        <f t="shared" si="17"/>
        <v>1.3177000000000001</v>
      </c>
      <c r="F251">
        <f t="shared" si="18"/>
        <v>-2.0621559833506726</v>
      </c>
      <c r="G251">
        <f t="shared" si="19"/>
        <v>4.2524872996689798</v>
      </c>
    </row>
    <row r="252" spans="1:7" x14ac:dyDescent="0.35">
      <c r="A252">
        <v>1039</v>
      </c>
      <c r="B252">
        <f t="shared" si="15"/>
        <v>-299.35206382240722</v>
      </c>
      <c r="C252">
        <f t="shared" si="16"/>
        <v>89611.658114734557</v>
      </c>
      <c r="D252">
        <v>15666</v>
      </c>
      <c r="E252">
        <f t="shared" si="17"/>
        <v>1.5666</v>
      </c>
      <c r="F252">
        <f t="shared" si="18"/>
        <v>-1.8132559833506725</v>
      </c>
      <c r="G252">
        <f t="shared" si="19"/>
        <v>3.2878972611570143</v>
      </c>
    </row>
    <row r="253" spans="1:7" x14ac:dyDescent="0.35">
      <c r="A253">
        <v>1039</v>
      </c>
      <c r="B253">
        <f t="shared" si="15"/>
        <v>-299.35206382240722</v>
      </c>
      <c r="C253">
        <f t="shared" si="16"/>
        <v>89611.658114734557</v>
      </c>
      <c r="D253">
        <v>16654</v>
      </c>
      <c r="E253">
        <f t="shared" si="17"/>
        <v>1.6654</v>
      </c>
      <c r="F253">
        <f t="shared" si="18"/>
        <v>-1.7144559833506725</v>
      </c>
      <c r="G253">
        <f t="shared" si="19"/>
        <v>2.9393593188469214</v>
      </c>
    </row>
    <row r="254" spans="1:7" x14ac:dyDescent="0.35">
      <c r="A254">
        <v>1039</v>
      </c>
      <c r="B254">
        <f t="shared" si="15"/>
        <v>-299.35206382240722</v>
      </c>
      <c r="C254">
        <f t="shared" si="16"/>
        <v>89611.658114734557</v>
      </c>
      <c r="D254">
        <v>18498</v>
      </c>
      <c r="E254">
        <f t="shared" si="17"/>
        <v>1.8498000000000001</v>
      </c>
      <c r="F254">
        <f t="shared" si="18"/>
        <v>-1.5300559833506724</v>
      </c>
      <c r="G254">
        <f t="shared" si="19"/>
        <v>2.3410713121871929</v>
      </c>
    </row>
    <row r="255" spans="1:7" x14ac:dyDescent="0.35">
      <c r="A255">
        <v>1039</v>
      </c>
      <c r="B255">
        <f t="shared" si="15"/>
        <v>-299.35206382240722</v>
      </c>
      <c r="C255">
        <f t="shared" si="16"/>
        <v>89611.658114734557</v>
      </c>
      <c r="D255">
        <v>18827</v>
      </c>
      <c r="E255">
        <f t="shared" si="17"/>
        <v>1.8827</v>
      </c>
      <c r="F255">
        <f t="shared" si="18"/>
        <v>-1.4971559833506725</v>
      </c>
      <c r="G255">
        <f t="shared" si="19"/>
        <v>2.2414760384827188</v>
      </c>
    </row>
    <row r="256" spans="1:7" x14ac:dyDescent="0.35">
      <c r="A256">
        <v>1039</v>
      </c>
      <c r="B256">
        <f t="shared" si="15"/>
        <v>-299.35206382240722</v>
      </c>
      <c r="C256">
        <f t="shared" si="16"/>
        <v>89611.658114734557</v>
      </c>
      <c r="D256">
        <v>20822</v>
      </c>
      <c r="E256">
        <f t="shared" si="17"/>
        <v>2.0821999999999998</v>
      </c>
      <c r="F256">
        <f t="shared" si="18"/>
        <v>-1.2976559833506727</v>
      </c>
      <c r="G256">
        <f t="shared" si="19"/>
        <v>1.6839110511258013</v>
      </c>
    </row>
    <row r="257" spans="1:7" x14ac:dyDescent="0.35">
      <c r="A257">
        <v>1039</v>
      </c>
      <c r="B257">
        <f t="shared" si="15"/>
        <v>-299.35206382240722</v>
      </c>
      <c r="C257">
        <f t="shared" si="16"/>
        <v>89611.658114734557</v>
      </c>
      <c r="D257">
        <v>19384</v>
      </c>
      <c r="E257">
        <f t="shared" si="17"/>
        <v>1.9383999999999999</v>
      </c>
      <c r="F257">
        <f t="shared" si="18"/>
        <v>-1.4414559833506726</v>
      </c>
      <c r="G257">
        <f t="shared" si="19"/>
        <v>2.0777953519374543</v>
      </c>
    </row>
    <row r="258" spans="1:7" x14ac:dyDescent="0.35">
      <c r="A258">
        <v>1039</v>
      </c>
      <c r="B258">
        <f t="shared" si="15"/>
        <v>-299.35206382240722</v>
      </c>
      <c r="C258">
        <f t="shared" si="16"/>
        <v>89611.658114734557</v>
      </c>
      <c r="D258">
        <v>21114</v>
      </c>
      <c r="E258">
        <f t="shared" si="17"/>
        <v>2.1114000000000002</v>
      </c>
      <c r="F258">
        <f t="shared" si="18"/>
        <v>-1.2684559833506723</v>
      </c>
      <c r="G258">
        <f t="shared" si="19"/>
        <v>1.6089805816981211</v>
      </c>
    </row>
    <row r="259" spans="1:7" x14ac:dyDescent="0.35">
      <c r="A259">
        <v>1039</v>
      </c>
      <c r="B259">
        <f t="shared" ref="B259:B322" si="20">A259-$J$1</f>
        <v>-299.35206382240722</v>
      </c>
      <c r="C259">
        <f t="shared" ref="C259:C322" si="21">B259^2</f>
        <v>89611.658114734557</v>
      </c>
      <c r="D259">
        <v>20714</v>
      </c>
      <c r="E259">
        <f t="shared" ref="E259:E322" si="22">D259/10000</f>
        <v>2.0714000000000001</v>
      </c>
      <c r="F259">
        <f t="shared" ref="F259:F322" si="23">E259-$J$2</f>
        <v>-1.3084559833506724</v>
      </c>
      <c r="G259">
        <f t="shared" ref="G259:G322" si="24">F259^2</f>
        <v>1.7120570603661751</v>
      </c>
    </row>
    <row r="260" spans="1:7" x14ac:dyDescent="0.35">
      <c r="A260">
        <v>1039</v>
      </c>
      <c r="B260">
        <f t="shared" si="20"/>
        <v>-299.35206382240722</v>
      </c>
      <c r="C260">
        <f t="shared" si="21"/>
        <v>89611.658114734557</v>
      </c>
      <c r="D260">
        <v>21961</v>
      </c>
      <c r="E260">
        <f t="shared" si="22"/>
        <v>2.1960999999999999</v>
      </c>
      <c r="F260">
        <f t="shared" si="23"/>
        <v>-1.1837559833506726</v>
      </c>
      <c r="G260">
        <f t="shared" si="24"/>
        <v>1.4012782281185179</v>
      </c>
    </row>
    <row r="261" spans="1:7" x14ac:dyDescent="0.35">
      <c r="A261">
        <v>1039</v>
      </c>
      <c r="B261">
        <f t="shared" si="20"/>
        <v>-299.35206382240722</v>
      </c>
      <c r="C261">
        <f t="shared" si="21"/>
        <v>89611.658114734557</v>
      </c>
      <c r="D261">
        <v>26137</v>
      </c>
      <c r="E261">
        <f t="shared" si="22"/>
        <v>2.6137000000000001</v>
      </c>
      <c r="F261">
        <f t="shared" si="23"/>
        <v>-0.76615598335067236</v>
      </c>
      <c r="G261">
        <f t="shared" si="24"/>
        <v>0.58699499082403572</v>
      </c>
    </row>
    <row r="262" spans="1:7" x14ac:dyDescent="0.35">
      <c r="A262">
        <v>1039</v>
      </c>
      <c r="B262">
        <f t="shared" si="20"/>
        <v>-299.35206382240722</v>
      </c>
      <c r="C262">
        <f t="shared" si="21"/>
        <v>89611.658114734557</v>
      </c>
      <c r="D262">
        <v>27100</v>
      </c>
      <c r="E262">
        <f t="shared" si="22"/>
        <v>2.71</v>
      </c>
      <c r="F262">
        <f t="shared" si="23"/>
        <v>-0.66985598335067253</v>
      </c>
      <c r="G262">
        <f t="shared" si="24"/>
        <v>0.44870703843069648</v>
      </c>
    </row>
    <row r="263" spans="1:7" x14ac:dyDescent="0.35">
      <c r="A263">
        <v>1039</v>
      </c>
      <c r="B263">
        <f t="shared" si="20"/>
        <v>-299.35206382240722</v>
      </c>
      <c r="C263">
        <f t="shared" si="21"/>
        <v>89611.658114734557</v>
      </c>
      <c r="D263">
        <v>23678</v>
      </c>
      <c r="E263">
        <f t="shared" si="22"/>
        <v>2.3677999999999999</v>
      </c>
      <c r="F263">
        <f t="shared" si="23"/>
        <v>-1.0120559833506726</v>
      </c>
      <c r="G263">
        <f t="shared" si="24"/>
        <v>1.024257313435897</v>
      </c>
    </row>
    <row r="264" spans="1:7" x14ac:dyDescent="0.35">
      <c r="A264">
        <v>1039</v>
      </c>
      <c r="B264">
        <f t="shared" si="20"/>
        <v>-299.35206382240722</v>
      </c>
      <c r="C264">
        <f t="shared" si="21"/>
        <v>89611.658114734557</v>
      </c>
      <c r="D264">
        <v>26633</v>
      </c>
      <c r="E264">
        <f t="shared" si="22"/>
        <v>2.6633</v>
      </c>
      <c r="F264">
        <f t="shared" si="23"/>
        <v>-0.7165559833506725</v>
      </c>
      <c r="G264">
        <f t="shared" si="24"/>
        <v>0.51345247727564924</v>
      </c>
    </row>
    <row r="265" spans="1:7" x14ac:dyDescent="0.35">
      <c r="A265">
        <v>1039</v>
      </c>
      <c r="B265">
        <f t="shared" si="20"/>
        <v>-299.35206382240722</v>
      </c>
      <c r="C265">
        <f t="shared" si="21"/>
        <v>89611.658114734557</v>
      </c>
      <c r="D265">
        <v>32850</v>
      </c>
      <c r="E265">
        <f t="shared" si="22"/>
        <v>3.2850000000000001</v>
      </c>
      <c r="F265">
        <f t="shared" si="23"/>
        <v>-9.4855983350672357E-2</v>
      </c>
      <c r="G265">
        <f t="shared" si="24"/>
        <v>8.9976575774230322E-3</v>
      </c>
    </row>
    <row r="266" spans="1:7" x14ac:dyDescent="0.35">
      <c r="A266">
        <v>1039</v>
      </c>
      <c r="B266">
        <f t="shared" si="20"/>
        <v>-299.35206382240722</v>
      </c>
      <c r="C266">
        <f t="shared" si="21"/>
        <v>89611.658114734557</v>
      </c>
      <c r="D266">
        <v>37395</v>
      </c>
      <c r="E266">
        <f t="shared" si="22"/>
        <v>3.7395</v>
      </c>
      <c r="F266">
        <f t="shared" si="23"/>
        <v>0.35964401664932755</v>
      </c>
      <c r="G266">
        <f t="shared" si="24"/>
        <v>0.12934381871166178</v>
      </c>
    </row>
    <row r="267" spans="1:7" x14ac:dyDescent="0.35">
      <c r="A267">
        <v>1039</v>
      </c>
      <c r="B267">
        <f t="shared" si="20"/>
        <v>-299.35206382240722</v>
      </c>
      <c r="C267">
        <f t="shared" si="21"/>
        <v>89611.658114734557</v>
      </c>
      <c r="D267">
        <v>26558</v>
      </c>
      <c r="E267">
        <f t="shared" si="22"/>
        <v>2.6558000000000002</v>
      </c>
      <c r="F267">
        <f t="shared" si="23"/>
        <v>-0.72405598335067234</v>
      </c>
      <c r="G267">
        <f t="shared" si="24"/>
        <v>0.52425706702590913</v>
      </c>
    </row>
    <row r="268" spans="1:7" x14ac:dyDescent="0.35">
      <c r="A268">
        <v>1039</v>
      </c>
      <c r="B268">
        <f t="shared" si="20"/>
        <v>-299.35206382240722</v>
      </c>
      <c r="C268">
        <f t="shared" si="21"/>
        <v>89611.658114734557</v>
      </c>
      <c r="D268">
        <v>39362</v>
      </c>
      <c r="E268">
        <f t="shared" si="22"/>
        <v>3.9361999999999999</v>
      </c>
      <c r="F268">
        <f t="shared" si="23"/>
        <v>0.55634401664932742</v>
      </c>
      <c r="G268">
        <f t="shared" si="24"/>
        <v>0.30951866486150709</v>
      </c>
    </row>
    <row r="269" spans="1:7" x14ac:dyDescent="0.35">
      <c r="A269">
        <v>1039</v>
      </c>
      <c r="B269">
        <f t="shared" si="20"/>
        <v>-299.35206382240722</v>
      </c>
      <c r="C269">
        <f t="shared" si="21"/>
        <v>89611.658114734557</v>
      </c>
      <c r="D269">
        <v>32960</v>
      </c>
      <c r="E269">
        <f t="shared" si="22"/>
        <v>3.2959999999999998</v>
      </c>
      <c r="F269">
        <f t="shared" si="23"/>
        <v>-8.385598335067268E-2</v>
      </c>
      <c r="G269">
        <f t="shared" si="24"/>
        <v>7.031825943708294E-3</v>
      </c>
    </row>
    <row r="270" spans="1:7" x14ac:dyDescent="0.35">
      <c r="A270">
        <v>1039</v>
      </c>
      <c r="B270">
        <f t="shared" si="20"/>
        <v>-299.35206382240722</v>
      </c>
      <c r="C270">
        <f t="shared" si="21"/>
        <v>89611.658114734557</v>
      </c>
      <c r="D270">
        <v>32960</v>
      </c>
      <c r="E270">
        <f t="shared" si="22"/>
        <v>3.2959999999999998</v>
      </c>
      <c r="F270">
        <f t="shared" si="23"/>
        <v>-8.385598335067268E-2</v>
      </c>
      <c r="G270">
        <f t="shared" si="24"/>
        <v>7.031825943708294E-3</v>
      </c>
    </row>
    <row r="271" spans="1:7" x14ac:dyDescent="0.35">
      <c r="A271">
        <v>1039</v>
      </c>
      <c r="B271">
        <f t="shared" si="20"/>
        <v>-299.35206382240722</v>
      </c>
      <c r="C271">
        <f t="shared" si="21"/>
        <v>89611.658114734557</v>
      </c>
      <c r="D271">
        <v>31393</v>
      </c>
      <c r="E271">
        <f t="shared" si="22"/>
        <v>3.1393</v>
      </c>
      <c r="F271">
        <f t="shared" si="23"/>
        <v>-0.24055598335067252</v>
      </c>
      <c r="G271">
        <f t="shared" si="24"/>
        <v>5.7867181125809034E-2</v>
      </c>
    </row>
    <row r="272" spans="1:7" x14ac:dyDescent="0.35">
      <c r="A272">
        <v>1039</v>
      </c>
      <c r="B272">
        <f t="shared" si="20"/>
        <v>-299.35206382240722</v>
      </c>
      <c r="C272">
        <f t="shared" si="21"/>
        <v>89611.658114734557</v>
      </c>
      <c r="D272">
        <v>31285</v>
      </c>
      <c r="E272">
        <f t="shared" si="22"/>
        <v>3.1284999999999998</v>
      </c>
      <c r="F272">
        <f t="shared" si="23"/>
        <v>-0.25135598335067266</v>
      </c>
      <c r="G272">
        <f t="shared" si="24"/>
        <v>6.3179830366183631E-2</v>
      </c>
    </row>
    <row r="273" spans="1:7" x14ac:dyDescent="0.35">
      <c r="A273">
        <v>1039</v>
      </c>
      <c r="B273">
        <f t="shared" si="20"/>
        <v>-299.35206382240722</v>
      </c>
      <c r="C273">
        <f t="shared" si="21"/>
        <v>89611.658114734557</v>
      </c>
      <c r="D273">
        <v>34174</v>
      </c>
      <c r="E273">
        <f t="shared" si="22"/>
        <v>3.4174000000000002</v>
      </c>
      <c r="F273">
        <f t="shared" si="23"/>
        <v>3.7544016649327716E-2</v>
      </c>
      <c r="G273">
        <f t="shared" si="24"/>
        <v>1.4095531861649969E-3</v>
      </c>
    </row>
    <row r="274" spans="1:7" x14ac:dyDescent="0.35">
      <c r="A274">
        <v>2200</v>
      </c>
      <c r="B274">
        <f t="shared" si="20"/>
        <v>861.64793617759278</v>
      </c>
      <c r="C274">
        <f t="shared" si="21"/>
        <v>742437.16591910506</v>
      </c>
      <c r="D274">
        <v>19375</v>
      </c>
      <c r="E274">
        <f t="shared" si="22"/>
        <v>1.9375</v>
      </c>
      <c r="F274">
        <f t="shared" si="23"/>
        <v>-1.4423559833506725</v>
      </c>
      <c r="G274">
        <f t="shared" si="24"/>
        <v>2.0803907827074855</v>
      </c>
    </row>
    <row r="275" spans="1:7" x14ac:dyDescent="0.35">
      <c r="A275">
        <v>2200</v>
      </c>
      <c r="B275">
        <f t="shared" si="20"/>
        <v>861.64793617759278</v>
      </c>
      <c r="C275">
        <f t="shared" si="21"/>
        <v>742437.16591910506</v>
      </c>
      <c r="D275">
        <v>18000</v>
      </c>
      <c r="E275">
        <f t="shared" si="22"/>
        <v>1.8</v>
      </c>
      <c r="F275">
        <f t="shared" si="23"/>
        <v>-1.5798559833506725</v>
      </c>
      <c r="G275">
        <f t="shared" si="24"/>
        <v>2.4959449281289201</v>
      </c>
    </row>
    <row r="276" spans="1:7" x14ac:dyDescent="0.35">
      <c r="A276">
        <v>2200</v>
      </c>
      <c r="B276">
        <f t="shared" si="20"/>
        <v>861.64793617759278</v>
      </c>
      <c r="C276">
        <f t="shared" si="21"/>
        <v>742437.16591910506</v>
      </c>
      <c r="D276">
        <v>17568</v>
      </c>
      <c r="E276">
        <f t="shared" si="22"/>
        <v>1.7567999999999999</v>
      </c>
      <c r="F276">
        <f t="shared" si="23"/>
        <v>-1.6230559833506726</v>
      </c>
      <c r="G276">
        <f t="shared" si="24"/>
        <v>2.634310725090419</v>
      </c>
    </row>
    <row r="277" spans="1:7" x14ac:dyDescent="0.35">
      <c r="A277">
        <v>2200</v>
      </c>
      <c r="B277">
        <f t="shared" si="20"/>
        <v>861.64793617759278</v>
      </c>
      <c r="C277">
        <f t="shared" si="21"/>
        <v>742437.16591910506</v>
      </c>
      <c r="D277">
        <v>16538</v>
      </c>
      <c r="E277">
        <f t="shared" si="22"/>
        <v>1.6537999999999999</v>
      </c>
      <c r="F277">
        <f t="shared" si="23"/>
        <v>-1.7260559833506726</v>
      </c>
      <c r="G277">
        <f t="shared" si="24"/>
        <v>2.9792692576606572</v>
      </c>
    </row>
    <row r="278" spans="1:7" x14ac:dyDescent="0.35">
      <c r="A278">
        <v>2200</v>
      </c>
      <c r="B278">
        <f t="shared" si="20"/>
        <v>861.64793617759278</v>
      </c>
      <c r="C278">
        <f t="shared" si="21"/>
        <v>742437.16591910506</v>
      </c>
      <c r="D278">
        <v>20976</v>
      </c>
      <c r="E278">
        <f t="shared" si="22"/>
        <v>2.0975999999999999</v>
      </c>
      <c r="F278">
        <f t="shared" si="23"/>
        <v>-1.2822559833506726</v>
      </c>
      <c r="G278">
        <f t="shared" si="24"/>
        <v>1.6441804068386003</v>
      </c>
    </row>
    <row r="279" spans="1:7" x14ac:dyDescent="0.35">
      <c r="A279">
        <v>2200</v>
      </c>
      <c r="B279">
        <f t="shared" si="20"/>
        <v>861.64793617759278</v>
      </c>
      <c r="C279">
        <f t="shared" si="21"/>
        <v>742437.16591910506</v>
      </c>
      <c r="D279">
        <v>12702</v>
      </c>
      <c r="E279">
        <f t="shared" si="22"/>
        <v>1.2702</v>
      </c>
      <c r="F279">
        <f t="shared" si="23"/>
        <v>-2.1096559833506725</v>
      </c>
      <c r="G279">
        <f t="shared" si="24"/>
        <v>4.4506483680872932</v>
      </c>
    </row>
    <row r="280" spans="1:7" x14ac:dyDescent="0.35">
      <c r="A280">
        <v>2200</v>
      </c>
      <c r="B280">
        <f t="shared" si="20"/>
        <v>861.64793617759278</v>
      </c>
      <c r="C280">
        <f t="shared" si="21"/>
        <v>742437.16591910506</v>
      </c>
      <c r="D280">
        <v>13491</v>
      </c>
      <c r="E280">
        <f t="shared" si="22"/>
        <v>1.3491</v>
      </c>
      <c r="F280">
        <f t="shared" si="23"/>
        <v>-2.0307559833506725</v>
      </c>
      <c r="G280">
        <f t="shared" si="24"/>
        <v>4.1239698639145566</v>
      </c>
    </row>
    <row r="281" spans="1:7" x14ac:dyDescent="0.35">
      <c r="A281">
        <v>2200</v>
      </c>
      <c r="B281">
        <f t="shared" si="20"/>
        <v>861.64793617759278</v>
      </c>
      <c r="C281">
        <f t="shared" si="21"/>
        <v>742437.16591910506</v>
      </c>
      <c r="D281">
        <v>14704</v>
      </c>
      <c r="E281">
        <f t="shared" si="22"/>
        <v>1.4703999999999999</v>
      </c>
      <c r="F281">
        <f t="shared" si="23"/>
        <v>-1.9094559833506726</v>
      </c>
      <c r="G281">
        <f t="shared" si="24"/>
        <v>3.6460221523536838</v>
      </c>
    </row>
    <row r="282" spans="1:7" x14ac:dyDescent="0.35">
      <c r="A282">
        <v>2200</v>
      </c>
      <c r="B282">
        <f t="shared" si="20"/>
        <v>861.64793617759278</v>
      </c>
      <c r="C282">
        <f t="shared" si="21"/>
        <v>742437.16591910506</v>
      </c>
      <c r="D282">
        <v>16071</v>
      </c>
      <c r="E282">
        <f t="shared" si="22"/>
        <v>1.6071</v>
      </c>
      <c r="F282">
        <f t="shared" si="23"/>
        <v>-1.7727559833506725</v>
      </c>
      <c r="G282">
        <f t="shared" si="24"/>
        <v>3.1426637765056098</v>
      </c>
    </row>
    <row r="283" spans="1:7" x14ac:dyDescent="0.35">
      <c r="A283">
        <v>2200</v>
      </c>
      <c r="B283">
        <f t="shared" si="20"/>
        <v>861.64793617759278</v>
      </c>
      <c r="C283">
        <f t="shared" si="21"/>
        <v>742437.16591910506</v>
      </c>
      <c r="D283">
        <v>16667</v>
      </c>
      <c r="E283">
        <f t="shared" si="22"/>
        <v>1.6667000000000001</v>
      </c>
      <c r="F283">
        <f t="shared" si="23"/>
        <v>-1.7131559833506724</v>
      </c>
      <c r="G283">
        <f t="shared" si="24"/>
        <v>2.9349034232902094</v>
      </c>
    </row>
    <row r="284" spans="1:7" x14ac:dyDescent="0.35">
      <c r="A284">
        <v>2200</v>
      </c>
      <c r="B284">
        <f t="shared" si="20"/>
        <v>861.64793617759278</v>
      </c>
      <c r="C284">
        <f t="shared" si="21"/>
        <v>742437.16591910506</v>
      </c>
      <c r="D284">
        <v>16570</v>
      </c>
      <c r="E284">
        <f t="shared" si="22"/>
        <v>1.657</v>
      </c>
      <c r="F284">
        <f t="shared" si="23"/>
        <v>-1.7228559833506725</v>
      </c>
      <c r="G284">
        <f t="shared" si="24"/>
        <v>2.9682327393672128</v>
      </c>
    </row>
    <row r="285" spans="1:7" x14ac:dyDescent="0.35">
      <c r="A285">
        <v>2200</v>
      </c>
      <c r="B285">
        <f t="shared" si="20"/>
        <v>861.64793617759278</v>
      </c>
      <c r="C285">
        <f t="shared" si="21"/>
        <v>742437.16591910506</v>
      </c>
      <c r="D285">
        <v>17214</v>
      </c>
      <c r="E285">
        <f t="shared" si="22"/>
        <v>1.7214</v>
      </c>
      <c r="F285">
        <f t="shared" si="23"/>
        <v>-1.6584559833506725</v>
      </c>
      <c r="G285">
        <f t="shared" si="24"/>
        <v>2.7504762487116459</v>
      </c>
    </row>
    <row r="286" spans="1:7" x14ac:dyDescent="0.35">
      <c r="A286">
        <v>2200</v>
      </c>
      <c r="B286">
        <f t="shared" si="20"/>
        <v>861.64793617759278</v>
      </c>
      <c r="C286">
        <f t="shared" si="21"/>
        <v>742437.16591910506</v>
      </c>
      <c r="D286">
        <v>17892</v>
      </c>
      <c r="E286">
        <f t="shared" si="22"/>
        <v>1.7891999999999999</v>
      </c>
      <c r="F286">
        <f t="shared" si="23"/>
        <v>-1.5906559833506726</v>
      </c>
      <c r="G286">
        <f t="shared" si="24"/>
        <v>2.5301864573692954</v>
      </c>
    </row>
    <row r="287" spans="1:7" x14ac:dyDescent="0.35">
      <c r="A287">
        <v>2200</v>
      </c>
      <c r="B287">
        <f t="shared" si="20"/>
        <v>861.64793617759278</v>
      </c>
      <c r="C287">
        <f t="shared" si="21"/>
        <v>742437.16591910506</v>
      </c>
      <c r="D287">
        <v>18471</v>
      </c>
      <c r="E287">
        <f t="shared" si="22"/>
        <v>1.8471</v>
      </c>
      <c r="F287">
        <f t="shared" si="23"/>
        <v>-1.5327559833506725</v>
      </c>
      <c r="G287">
        <f t="shared" si="24"/>
        <v>2.3493409044972871</v>
      </c>
    </row>
    <row r="288" spans="1:7" x14ac:dyDescent="0.35">
      <c r="A288">
        <v>2200</v>
      </c>
      <c r="B288">
        <f t="shared" si="20"/>
        <v>861.64793617759278</v>
      </c>
      <c r="C288">
        <f t="shared" si="21"/>
        <v>742437.16591910506</v>
      </c>
      <c r="D288">
        <v>17038</v>
      </c>
      <c r="E288">
        <f t="shared" si="22"/>
        <v>1.7038</v>
      </c>
      <c r="F288">
        <f t="shared" si="23"/>
        <v>-1.6760559833506725</v>
      </c>
      <c r="G288">
        <f t="shared" si="24"/>
        <v>2.80916365932559</v>
      </c>
    </row>
    <row r="289" spans="1:7" x14ac:dyDescent="0.35">
      <c r="A289">
        <v>2200</v>
      </c>
      <c r="B289">
        <f t="shared" si="20"/>
        <v>861.64793617759278</v>
      </c>
      <c r="C289">
        <f t="shared" si="21"/>
        <v>742437.16591910506</v>
      </c>
      <c r="D289">
        <v>17391</v>
      </c>
      <c r="E289">
        <f t="shared" si="22"/>
        <v>1.7391000000000001</v>
      </c>
      <c r="F289">
        <f t="shared" si="23"/>
        <v>-1.6407559833506724</v>
      </c>
      <c r="G289">
        <f t="shared" si="24"/>
        <v>2.6920801969010322</v>
      </c>
    </row>
    <row r="290" spans="1:7" x14ac:dyDescent="0.35">
      <c r="A290">
        <v>2200</v>
      </c>
      <c r="B290">
        <f t="shared" si="20"/>
        <v>861.64793617759278</v>
      </c>
      <c r="C290">
        <f t="shared" si="21"/>
        <v>742437.16591910506</v>
      </c>
      <c r="D290">
        <v>19987</v>
      </c>
      <c r="E290">
        <f t="shared" si="22"/>
        <v>1.9986999999999999</v>
      </c>
      <c r="F290">
        <f t="shared" si="23"/>
        <v>-1.3811559833506726</v>
      </c>
      <c r="G290">
        <f t="shared" si="24"/>
        <v>1.9075918503453633</v>
      </c>
    </row>
    <row r="291" spans="1:7" x14ac:dyDescent="0.35">
      <c r="A291">
        <v>2200</v>
      </c>
      <c r="B291">
        <f t="shared" si="20"/>
        <v>861.64793617759278</v>
      </c>
      <c r="C291">
        <f t="shared" si="21"/>
        <v>742437.16591910506</v>
      </c>
      <c r="D291">
        <v>28816</v>
      </c>
      <c r="E291">
        <f t="shared" si="22"/>
        <v>2.8816000000000002</v>
      </c>
      <c r="F291">
        <f t="shared" si="23"/>
        <v>-0.49825598335067234</v>
      </c>
      <c r="G291">
        <f t="shared" si="24"/>
        <v>0.24825902494474547</v>
      </c>
    </row>
    <row r="292" spans="1:7" x14ac:dyDescent="0.35">
      <c r="A292">
        <v>2200</v>
      </c>
      <c r="B292">
        <f t="shared" si="20"/>
        <v>861.64793617759278</v>
      </c>
      <c r="C292">
        <f t="shared" si="21"/>
        <v>742437.16591910506</v>
      </c>
      <c r="D292">
        <v>26896</v>
      </c>
      <c r="E292">
        <f t="shared" si="22"/>
        <v>2.6896</v>
      </c>
      <c r="F292">
        <f t="shared" si="23"/>
        <v>-0.69025598335067251</v>
      </c>
      <c r="G292">
        <f t="shared" si="24"/>
        <v>0.47645332255140388</v>
      </c>
    </row>
    <row r="293" spans="1:7" x14ac:dyDescent="0.35">
      <c r="A293">
        <v>2200</v>
      </c>
      <c r="B293">
        <f t="shared" si="20"/>
        <v>861.64793617759278</v>
      </c>
      <c r="C293">
        <f t="shared" si="21"/>
        <v>742437.16591910506</v>
      </c>
      <c r="D293">
        <v>27461</v>
      </c>
      <c r="E293">
        <f t="shared" si="22"/>
        <v>2.7461000000000002</v>
      </c>
      <c r="F293">
        <f t="shared" si="23"/>
        <v>-0.63375598335067229</v>
      </c>
      <c r="G293">
        <f t="shared" si="24"/>
        <v>0.40164664643277759</v>
      </c>
    </row>
    <row r="294" spans="1:7" x14ac:dyDescent="0.35">
      <c r="A294">
        <v>2200</v>
      </c>
      <c r="B294">
        <f t="shared" si="20"/>
        <v>861.64793617759278</v>
      </c>
      <c r="C294">
        <f t="shared" si="21"/>
        <v>742437.16591910506</v>
      </c>
      <c r="D294">
        <v>27043</v>
      </c>
      <c r="E294">
        <f t="shared" si="22"/>
        <v>2.7042999999999999</v>
      </c>
      <c r="F294">
        <f t="shared" si="23"/>
        <v>-0.67555598335067257</v>
      </c>
      <c r="G294">
        <f t="shared" si="24"/>
        <v>0.45637588664089418</v>
      </c>
    </row>
    <row r="295" spans="1:7" x14ac:dyDescent="0.35">
      <c r="A295">
        <v>2200</v>
      </c>
      <c r="B295">
        <f t="shared" si="20"/>
        <v>861.64793617759278</v>
      </c>
      <c r="C295">
        <f t="shared" si="21"/>
        <v>742437.16591910506</v>
      </c>
      <c r="D295">
        <v>39983</v>
      </c>
      <c r="E295">
        <f t="shared" si="22"/>
        <v>3.9983</v>
      </c>
      <c r="F295">
        <f t="shared" si="23"/>
        <v>0.61844401664932747</v>
      </c>
      <c r="G295">
        <f t="shared" si="24"/>
        <v>0.38247300172935361</v>
      </c>
    </row>
    <row r="296" spans="1:7" x14ac:dyDescent="0.35">
      <c r="A296">
        <v>2200</v>
      </c>
      <c r="B296">
        <f t="shared" si="20"/>
        <v>861.64793617759278</v>
      </c>
      <c r="C296">
        <f t="shared" si="21"/>
        <v>742437.16591910506</v>
      </c>
      <c r="D296">
        <v>27993</v>
      </c>
      <c r="E296">
        <f t="shared" si="22"/>
        <v>2.7993000000000001</v>
      </c>
      <c r="F296">
        <f t="shared" si="23"/>
        <v>-0.58055598335067238</v>
      </c>
      <c r="G296">
        <f t="shared" si="24"/>
        <v>0.3370452498042662</v>
      </c>
    </row>
    <row r="297" spans="1:7" x14ac:dyDescent="0.35">
      <c r="A297">
        <v>2200</v>
      </c>
      <c r="B297">
        <f t="shared" si="20"/>
        <v>861.64793617759278</v>
      </c>
      <c r="C297">
        <f t="shared" si="21"/>
        <v>742437.16591910506</v>
      </c>
      <c r="D297">
        <v>31400</v>
      </c>
      <c r="E297">
        <f t="shared" si="22"/>
        <v>3.14</v>
      </c>
      <c r="F297">
        <f t="shared" si="23"/>
        <v>-0.23985598335067237</v>
      </c>
      <c r="G297">
        <f t="shared" si="24"/>
        <v>5.7530892749118025E-2</v>
      </c>
    </row>
    <row r="298" spans="1:7" x14ac:dyDescent="0.35">
      <c r="A298">
        <v>2200</v>
      </c>
      <c r="B298">
        <f t="shared" si="20"/>
        <v>861.64793617759278</v>
      </c>
      <c r="C298">
        <f t="shared" si="21"/>
        <v>742437.16591910506</v>
      </c>
      <c r="D298">
        <v>32382</v>
      </c>
      <c r="E298">
        <f t="shared" si="22"/>
        <v>3.2382</v>
      </c>
      <c r="F298">
        <f t="shared" si="23"/>
        <v>-0.14165598335067253</v>
      </c>
      <c r="G298">
        <f t="shared" si="24"/>
        <v>2.0066417619046012E-2</v>
      </c>
    </row>
    <row r="299" spans="1:7" x14ac:dyDescent="0.35">
      <c r="A299">
        <v>2200</v>
      </c>
      <c r="B299">
        <f t="shared" si="20"/>
        <v>861.64793617759278</v>
      </c>
      <c r="C299">
        <f t="shared" si="21"/>
        <v>742437.16591910506</v>
      </c>
      <c r="D299">
        <v>36893</v>
      </c>
      <c r="E299">
        <f t="shared" si="22"/>
        <v>3.6892999999999998</v>
      </c>
      <c r="F299">
        <f t="shared" si="23"/>
        <v>0.3094440166493273</v>
      </c>
      <c r="G299">
        <f t="shared" si="24"/>
        <v>9.5755599440069158E-2</v>
      </c>
    </row>
    <row r="300" spans="1:7" x14ac:dyDescent="0.35">
      <c r="A300">
        <v>2200</v>
      </c>
      <c r="B300">
        <f t="shared" si="20"/>
        <v>861.64793617759278</v>
      </c>
      <c r="C300">
        <f t="shared" si="21"/>
        <v>742437.16591910506</v>
      </c>
      <c r="D300">
        <v>36985</v>
      </c>
      <c r="E300">
        <f t="shared" si="22"/>
        <v>3.6985000000000001</v>
      </c>
      <c r="F300">
        <f t="shared" si="23"/>
        <v>0.31864401664932762</v>
      </c>
      <c r="G300">
        <f t="shared" si="24"/>
        <v>0.10153400934641697</v>
      </c>
    </row>
    <row r="301" spans="1:7" x14ac:dyDescent="0.35">
      <c r="A301">
        <v>2200</v>
      </c>
      <c r="B301">
        <f t="shared" si="20"/>
        <v>861.64793617759278</v>
      </c>
      <c r="C301">
        <f t="shared" si="21"/>
        <v>742437.16591910506</v>
      </c>
      <c r="D301">
        <v>37635</v>
      </c>
      <c r="E301">
        <f t="shared" si="22"/>
        <v>3.7635000000000001</v>
      </c>
      <c r="F301">
        <f t="shared" si="23"/>
        <v>0.38364401664932757</v>
      </c>
      <c r="G301">
        <f t="shared" si="24"/>
        <v>0.14718273151082953</v>
      </c>
    </row>
    <row r="302" spans="1:7" x14ac:dyDescent="0.35">
      <c r="A302">
        <v>2200</v>
      </c>
      <c r="B302">
        <f t="shared" si="20"/>
        <v>861.64793617759278</v>
      </c>
      <c r="C302">
        <f t="shared" si="21"/>
        <v>742437.16591910506</v>
      </c>
      <c r="D302">
        <v>38061</v>
      </c>
      <c r="E302">
        <f t="shared" si="22"/>
        <v>3.8060999999999998</v>
      </c>
      <c r="F302">
        <f t="shared" si="23"/>
        <v>0.42624401664932732</v>
      </c>
      <c r="G302">
        <f t="shared" si="24"/>
        <v>0.18168396172935203</v>
      </c>
    </row>
    <row r="303" spans="1:7" x14ac:dyDescent="0.35">
      <c r="A303">
        <v>2200</v>
      </c>
      <c r="B303">
        <f t="shared" si="20"/>
        <v>861.64793617759278</v>
      </c>
      <c r="C303">
        <f t="shared" si="21"/>
        <v>742437.16591910506</v>
      </c>
      <c r="D303">
        <v>39556</v>
      </c>
      <c r="E303">
        <f t="shared" si="22"/>
        <v>3.9556</v>
      </c>
      <c r="F303">
        <f t="shared" si="23"/>
        <v>0.57574401664932751</v>
      </c>
      <c r="G303">
        <f t="shared" si="24"/>
        <v>0.3314811727075011</v>
      </c>
    </row>
    <row r="304" spans="1:7" x14ac:dyDescent="0.35">
      <c r="A304">
        <v>1761</v>
      </c>
      <c r="B304">
        <f t="shared" si="20"/>
        <v>422.64793617759278</v>
      </c>
      <c r="C304">
        <f t="shared" si="21"/>
        <v>178631.27795517855</v>
      </c>
      <c r="D304">
        <v>18980</v>
      </c>
      <c r="E304">
        <f t="shared" si="22"/>
        <v>1.8979999999999999</v>
      </c>
      <c r="F304">
        <f t="shared" si="23"/>
        <v>-1.4818559833506726</v>
      </c>
      <c r="G304">
        <f t="shared" si="24"/>
        <v>2.1958971553921889</v>
      </c>
    </row>
    <row r="305" spans="1:7" x14ac:dyDescent="0.35">
      <c r="A305">
        <v>1761</v>
      </c>
      <c r="B305">
        <f t="shared" si="20"/>
        <v>422.64793617759278</v>
      </c>
      <c r="C305">
        <f t="shared" si="21"/>
        <v>178631.27795517855</v>
      </c>
      <c r="D305">
        <v>18610</v>
      </c>
      <c r="E305">
        <f t="shared" si="22"/>
        <v>1.861</v>
      </c>
      <c r="F305">
        <f t="shared" si="23"/>
        <v>-1.5188559833506725</v>
      </c>
      <c r="G305">
        <f t="shared" si="24"/>
        <v>2.3069234981601383</v>
      </c>
    </row>
    <row r="306" spans="1:7" x14ac:dyDescent="0.35">
      <c r="A306">
        <v>1761</v>
      </c>
      <c r="B306">
        <f t="shared" si="20"/>
        <v>422.64793617759278</v>
      </c>
      <c r="C306">
        <f t="shared" si="21"/>
        <v>178631.27795517855</v>
      </c>
      <c r="D306">
        <v>17375</v>
      </c>
      <c r="E306">
        <f t="shared" si="22"/>
        <v>1.7375</v>
      </c>
      <c r="F306">
        <f t="shared" si="23"/>
        <v>-1.6423559833506725</v>
      </c>
      <c r="G306">
        <f t="shared" si="24"/>
        <v>2.6973331760477541</v>
      </c>
    </row>
    <row r="307" spans="1:7" x14ac:dyDescent="0.35">
      <c r="A307">
        <v>1761</v>
      </c>
      <c r="B307">
        <f t="shared" si="20"/>
        <v>422.64793617759278</v>
      </c>
      <c r="C307">
        <f t="shared" si="21"/>
        <v>178631.27795517855</v>
      </c>
      <c r="D307">
        <v>20993</v>
      </c>
      <c r="E307">
        <f t="shared" si="22"/>
        <v>2.0992999999999999</v>
      </c>
      <c r="F307">
        <f t="shared" si="23"/>
        <v>-1.2805559833506726</v>
      </c>
      <c r="G307">
        <f t="shared" si="24"/>
        <v>1.639823626495208</v>
      </c>
    </row>
    <row r="308" spans="1:7" x14ac:dyDescent="0.35">
      <c r="A308">
        <v>1761</v>
      </c>
      <c r="B308">
        <f t="shared" si="20"/>
        <v>422.64793617759278</v>
      </c>
      <c r="C308">
        <f t="shared" si="21"/>
        <v>178631.27795517855</v>
      </c>
      <c r="D308">
        <v>18803</v>
      </c>
      <c r="E308">
        <f t="shared" si="22"/>
        <v>1.8803000000000001</v>
      </c>
      <c r="F308">
        <f t="shared" si="23"/>
        <v>-1.4995559833506724</v>
      </c>
      <c r="G308">
        <f t="shared" si="24"/>
        <v>2.2486681472028023</v>
      </c>
    </row>
    <row r="309" spans="1:7" x14ac:dyDescent="0.35">
      <c r="A309">
        <v>1761</v>
      </c>
      <c r="B309">
        <f t="shared" si="20"/>
        <v>422.64793617759278</v>
      </c>
      <c r="C309">
        <f t="shared" si="21"/>
        <v>178631.27795517855</v>
      </c>
      <c r="D309">
        <v>23020</v>
      </c>
      <c r="E309">
        <f t="shared" si="22"/>
        <v>2.302</v>
      </c>
      <c r="F309">
        <f t="shared" si="23"/>
        <v>-1.0778559833506725</v>
      </c>
      <c r="G309">
        <f t="shared" si="24"/>
        <v>1.1617735208448452</v>
      </c>
    </row>
    <row r="310" spans="1:7" x14ac:dyDescent="0.35">
      <c r="A310">
        <v>1761</v>
      </c>
      <c r="B310">
        <f t="shared" si="20"/>
        <v>422.64793617759278</v>
      </c>
      <c r="C310">
        <f t="shared" si="21"/>
        <v>178631.27795517855</v>
      </c>
      <c r="D310">
        <v>21349</v>
      </c>
      <c r="E310">
        <f t="shared" si="22"/>
        <v>2.1349</v>
      </c>
      <c r="F310">
        <f t="shared" si="23"/>
        <v>-1.2449559833506725</v>
      </c>
      <c r="G310">
        <f t="shared" si="24"/>
        <v>1.5499154004806399</v>
      </c>
    </row>
    <row r="311" spans="1:7" x14ac:dyDescent="0.35">
      <c r="A311">
        <v>1761</v>
      </c>
      <c r="B311">
        <f t="shared" si="20"/>
        <v>422.64793617759278</v>
      </c>
      <c r="C311">
        <f t="shared" si="21"/>
        <v>178631.27795517855</v>
      </c>
      <c r="D311">
        <v>22912</v>
      </c>
      <c r="E311">
        <f t="shared" si="22"/>
        <v>2.2911999999999999</v>
      </c>
      <c r="F311">
        <f t="shared" si="23"/>
        <v>-1.0886559833506726</v>
      </c>
      <c r="G311">
        <f t="shared" si="24"/>
        <v>1.18517185008522</v>
      </c>
    </row>
    <row r="312" spans="1:7" x14ac:dyDescent="0.35">
      <c r="A312">
        <v>1761</v>
      </c>
      <c r="B312">
        <f t="shared" si="20"/>
        <v>422.64793617759278</v>
      </c>
      <c r="C312">
        <f t="shared" si="21"/>
        <v>178631.27795517855</v>
      </c>
      <c r="D312">
        <v>23876</v>
      </c>
      <c r="E312">
        <f t="shared" si="22"/>
        <v>2.3875999999999999</v>
      </c>
      <c r="F312">
        <f t="shared" si="23"/>
        <v>-0.99225598335067255</v>
      </c>
      <c r="G312">
        <f t="shared" si="24"/>
        <v>0.98457193649521013</v>
      </c>
    </row>
    <row r="313" spans="1:7" x14ac:dyDescent="0.35">
      <c r="A313">
        <v>1761</v>
      </c>
      <c r="B313">
        <f t="shared" si="20"/>
        <v>422.64793617759278</v>
      </c>
      <c r="C313">
        <f t="shared" si="21"/>
        <v>178631.27795517855</v>
      </c>
      <c r="D313">
        <v>25668</v>
      </c>
      <c r="E313">
        <f t="shared" si="22"/>
        <v>2.5668000000000002</v>
      </c>
      <c r="F313">
        <f t="shared" si="23"/>
        <v>-0.81305598335067231</v>
      </c>
      <c r="G313">
        <f t="shared" si="24"/>
        <v>0.66106003206232877</v>
      </c>
    </row>
    <row r="314" spans="1:7" x14ac:dyDescent="0.35">
      <c r="A314">
        <v>1761</v>
      </c>
      <c r="B314">
        <f t="shared" si="20"/>
        <v>422.64793617759278</v>
      </c>
      <c r="C314">
        <f t="shared" si="21"/>
        <v>178631.27795517855</v>
      </c>
      <c r="D314">
        <v>26578</v>
      </c>
      <c r="E314">
        <f t="shared" si="22"/>
        <v>2.6577999999999999</v>
      </c>
      <c r="F314">
        <f t="shared" si="23"/>
        <v>-0.72205598335067256</v>
      </c>
      <c r="G314">
        <f t="shared" si="24"/>
        <v>0.52136484309250675</v>
      </c>
    </row>
    <row r="315" spans="1:7" x14ac:dyDescent="0.35">
      <c r="A315">
        <v>1761</v>
      </c>
      <c r="B315">
        <f t="shared" si="20"/>
        <v>422.64793617759278</v>
      </c>
      <c r="C315">
        <f t="shared" si="21"/>
        <v>178631.27795517855</v>
      </c>
      <c r="D315">
        <v>27310</v>
      </c>
      <c r="E315">
        <f t="shared" si="22"/>
        <v>2.7309999999999999</v>
      </c>
      <c r="F315">
        <f t="shared" si="23"/>
        <v>-0.64885598335067263</v>
      </c>
      <c r="G315">
        <f t="shared" si="24"/>
        <v>0.42101408712996835</v>
      </c>
    </row>
    <row r="316" spans="1:7" x14ac:dyDescent="0.35">
      <c r="A316">
        <v>1761</v>
      </c>
      <c r="B316">
        <f t="shared" si="20"/>
        <v>422.64793617759278</v>
      </c>
      <c r="C316">
        <f t="shared" si="21"/>
        <v>178631.27795517855</v>
      </c>
      <c r="D316">
        <v>25198</v>
      </c>
      <c r="E316">
        <f t="shared" si="22"/>
        <v>2.5198</v>
      </c>
      <c r="F316">
        <f t="shared" si="23"/>
        <v>-0.86005598335067246</v>
      </c>
      <c r="G316">
        <f t="shared" si="24"/>
        <v>0.73969629449729213</v>
      </c>
    </row>
    <row r="317" spans="1:7" x14ac:dyDescent="0.35">
      <c r="A317">
        <v>1761</v>
      </c>
      <c r="B317">
        <f t="shared" si="20"/>
        <v>422.64793617759278</v>
      </c>
      <c r="C317">
        <f t="shared" si="21"/>
        <v>178631.27795517855</v>
      </c>
      <c r="D317">
        <v>30708</v>
      </c>
      <c r="E317">
        <f t="shared" si="22"/>
        <v>3.0708000000000002</v>
      </c>
      <c r="F317">
        <f t="shared" si="23"/>
        <v>-0.3090559833506723</v>
      </c>
      <c r="G317">
        <f t="shared" si="24"/>
        <v>9.5515600844851042E-2</v>
      </c>
    </row>
    <row r="318" spans="1:7" x14ac:dyDescent="0.35">
      <c r="A318">
        <v>1761</v>
      </c>
      <c r="B318">
        <f t="shared" si="20"/>
        <v>422.64793617759278</v>
      </c>
      <c r="C318">
        <f t="shared" si="21"/>
        <v>178631.27795517855</v>
      </c>
      <c r="D318">
        <v>30382</v>
      </c>
      <c r="E318">
        <f t="shared" si="22"/>
        <v>3.0381999999999998</v>
      </c>
      <c r="F318">
        <f t="shared" si="23"/>
        <v>-0.34165598335067271</v>
      </c>
      <c r="G318">
        <f t="shared" si="24"/>
        <v>0.11672881095931514</v>
      </c>
    </row>
    <row r="319" spans="1:7" x14ac:dyDescent="0.35">
      <c r="A319">
        <v>1761</v>
      </c>
      <c r="B319">
        <f t="shared" si="20"/>
        <v>422.64793617759278</v>
      </c>
      <c r="C319">
        <f t="shared" si="21"/>
        <v>178631.27795517855</v>
      </c>
      <c r="D319">
        <v>32405</v>
      </c>
      <c r="E319">
        <f t="shared" si="22"/>
        <v>3.2404999999999999</v>
      </c>
      <c r="F319">
        <f t="shared" si="23"/>
        <v>-0.13935598335067256</v>
      </c>
      <c r="G319">
        <f t="shared" si="24"/>
        <v>1.942009009563293E-2</v>
      </c>
    </row>
    <row r="320" spans="1:7" x14ac:dyDescent="0.35">
      <c r="A320">
        <v>1761</v>
      </c>
      <c r="B320">
        <f t="shared" si="20"/>
        <v>422.64793617759278</v>
      </c>
      <c r="C320">
        <f t="shared" si="21"/>
        <v>178631.27795517855</v>
      </c>
      <c r="D320">
        <v>33246</v>
      </c>
      <c r="E320">
        <f t="shared" si="22"/>
        <v>3.3246000000000002</v>
      </c>
      <c r="F320">
        <f t="shared" si="23"/>
        <v>-5.5255983350672278E-2</v>
      </c>
      <c r="G320">
        <f t="shared" si="24"/>
        <v>3.0532236960497719E-3</v>
      </c>
    </row>
    <row r="321" spans="1:7" x14ac:dyDescent="0.35">
      <c r="A321">
        <v>1761</v>
      </c>
      <c r="B321">
        <f t="shared" si="20"/>
        <v>422.64793617759278</v>
      </c>
      <c r="C321">
        <f t="shared" si="21"/>
        <v>178631.27795517855</v>
      </c>
      <c r="D321">
        <v>35565</v>
      </c>
      <c r="E321">
        <f t="shared" si="22"/>
        <v>3.5565000000000002</v>
      </c>
      <c r="F321">
        <f t="shared" si="23"/>
        <v>0.17664401664932772</v>
      </c>
      <c r="G321">
        <f t="shared" si="24"/>
        <v>3.1203108618007968E-2</v>
      </c>
    </row>
    <row r="322" spans="1:7" x14ac:dyDescent="0.35">
      <c r="A322">
        <v>1761</v>
      </c>
      <c r="B322">
        <f t="shared" si="20"/>
        <v>422.64793617759278</v>
      </c>
      <c r="C322">
        <f t="shared" si="21"/>
        <v>178631.27795517855</v>
      </c>
      <c r="D322">
        <v>33691</v>
      </c>
      <c r="E322">
        <f t="shared" si="22"/>
        <v>3.3691</v>
      </c>
      <c r="F322">
        <f t="shared" si="23"/>
        <v>-1.0755983350672516E-2</v>
      </c>
      <c r="G322">
        <f t="shared" si="24"/>
        <v>1.1569117783994435E-4</v>
      </c>
    </row>
    <row r="323" spans="1:7" x14ac:dyDescent="0.35">
      <c r="A323">
        <v>1761</v>
      </c>
      <c r="B323">
        <f t="shared" ref="B323:B386" si="25">A323-$J$1</f>
        <v>422.64793617759278</v>
      </c>
      <c r="C323">
        <f t="shared" ref="C323:C386" si="26">B323^2</f>
        <v>178631.27795517855</v>
      </c>
      <c r="D323">
        <v>38798</v>
      </c>
      <c r="E323">
        <f t="shared" ref="E323:E386" si="27">D323/10000</f>
        <v>3.8797999999999999</v>
      </c>
      <c r="F323">
        <f t="shared" ref="F323:F386" si="28">E323-$J$2</f>
        <v>0.49994401664932742</v>
      </c>
      <c r="G323">
        <f t="shared" ref="G323:G386" si="29">F323^2</f>
        <v>0.24994401978346298</v>
      </c>
    </row>
    <row r="324" spans="1:7" x14ac:dyDescent="0.35">
      <c r="A324">
        <v>1761</v>
      </c>
      <c r="B324">
        <f t="shared" si="25"/>
        <v>422.64793617759278</v>
      </c>
      <c r="C324">
        <f t="shared" si="26"/>
        <v>178631.27795517855</v>
      </c>
      <c r="D324">
        <v>38260</v>
      </c>
      <c r="E324">
        <f t="shared" si="27"/>
        <v>3.8260000000000001</v>
      </c>
      <c r="F324">
        <f t="shared" si="28"/>
        <v>0.44614401664932757</v>
      </c>
      <c r="G324">
        <f t="shared" si="29"/>
        <v>0.19904448359199547</v>
      </c>
    </row>
    <row r="325" spans="1:7" x14ac:dyDescent="0.35">
      <c r="A325">
        <v>1761</v>
      </c>
      <c r="B325">
        <f t="shared" si="25"/>
        <v>422.64793617759278</v>
      </c>
      <c r="C325">
        <f t="shared" si="26"/>
        <v>178631.27795517855</v>
      </c>
      <c r="D325">
        <v>42311</v>
      </c>
      <c r="E325">
        <f t="shared" si="27"/>
        <v>4.2310999999999996</v>
      </c>
      <c r="F325">
        <f t="shared" si="28"/>
        <v>0.85124401664932714</v>
      </c>
      <c r="G325">
        <f t="shared" si="29"/>
        <v>0.72461637588127992</v>
      </c>
    </row>
    <row r="326" spans="1:7" x14ac:dyDescent="0.35">
      <c r="A326">
        <v>1761</v>
      </c>
      <c r="B326">
        <f t="shared" si="25"/>
        <v>422.64793617759278</v>
      </c>
      <c r="C326">
        <f t="shared" si="26"/>
        <v>178631.27795517855</v>
      </c>
      <c r="D326">
        <v>44049</v>
      </c>
      <c r="E326">
        <f t="shared" si="27"/>
        <v>4.4048999999999996</v>
      </c>
      <c r="F326">
        <f t="shared" si="28"/>
        <v>1.0250440166493271</v>
      </c>
      <c r="G326">
        <f t="shared" si="29"/>
        <v>1.0507152360685859</v>
      </c>
    </row>
    <row r="327" spans="1:7" x14ac:dyDescent="0.35">
      <c r="A327">
        <v>1761</v>
      </c>
      <c r="B327">
        <f t="shared" si="25"/>
        <v>422.64793617759278</v>
      </c>
      <c r="C327">
        <f t="shared" si="26"/>
        <v>178631.27795517855</v>
      </c>
      <c r="D327">
        <v>41271</v>
      </c>
      <c r="E327">
        <f t="shared" si="27"/>
        <v>4.1271000000000004</v>
      </c>
      <c r="F327">
        <f t="shared" si="28"/>
        <v>0.74724401664932794</v>
      </c>
      <c r="G327">
        <f t="shared" si="29"/>
        <v>0.55837362041822114</v>
      </c>
    </row>
    <row r="328" spans="1:7" x14ac:dyDescent="0.35">
      <c r="A328">
        <v>1761</v>
      </c>
      <c r="B328">
        <f t="shared" si="25"/>
        <v>422.64793617759278</v>
      </c>
      <c r="C328">
        <f t="shared" si="26"/>
        <v>178631.27795517855</v>
      </c>
      <c r="D328">
        <v>48956</v>
      </c>
      <c r="E328">
        <f t="shared" si="27"/>
        <v>4.8956</v>
      </c>
      <c r="F328">
        <f t="shared" si="28"/>
        <v>1.5157440166493275</v>
      </c>
      <c r="G328">
        <f t="shared" si="29"/>
        <v>2.2974799240082366</v>
      </c>
    </row>
    <row r="329" spans="1:7" x14ac:dyDescent="0.35">
      <c r="A329">
        <v>1761</v>
      </c>
      <c r="B329">
        <f t="shared" si="25"/>
        <v>422.64793617759278</v>
      </c>
      <c r="C329">
        <f t="shared" si="26"/>
        <v>178631.27795517855</v>
      </c>
      <c r="D329">
        <v>47860</v>
      </c>
      <c r="E329">
        <f t="shared" si="27"/>
        <v>4.7859999999999996</v>
      </c>
      <c r="F329">
        <f t="shared" si="28"/>
        <v>1.4061440166493271</v>
      </c>
      <c r="G329">
        <f t="shared" si="29"/>
        <v>1.9772409955587031</v>
      </c>
    </row>
    <row r="330" spans="1:7" x14ac:dyDescent="0.35">
      <c r="A330">
        <v>1761</v>
      </c>
      <c r="B330">
        <f t="shared" si="25"/>
        <v>422.64793617759278</v>
      </c>
      <c r="C330">
        <f t="shared" si="26"/>
        <v>178631.27795517855</v>
      </c>
      <c r="D330">
        <v>50071</v>
      </c>
      <c r="E330">
        <f t="shared" si="27"/>
        <v>5.0071000000000003</v>
      </c>
      <c r="F330">
        <f t="shared" si="28"/>
        <v>1.6272440166493278</v>
      </c>
      <c r="G330">
        <f t="shared" si="29"/>
        <v>2.6479230897210377</v>
      </c>
    </row>
    <row r="331" spans="1:7" x14ac:dyDescent="0.35">
      <c r="A331">
        <v>1761</v>
      </c>
      <c r="B331">
        <f t="shared" si="25"/>
        <v>422.64793617759278</v>
      </c>
      <c r="C331">
        <f t="shared" si="26"/>
        <v>178631.27795517855</v>
      </c>
      <c r="D331">
        <v>52013</v>
      </c>
      <c r="E331">
        <f t="shared" si="27"/>
        <v>5.2012999999999998</v>
      </c>
      <c r="F331">
        <f t="shared" si="28"/>
        <v>1.8214440166493273</v>
      </c>
      <c r="G331">
        <f t="shared" si="29"/>
        <v>3.317658305787635</v>
      </c>
    </row>
    <row r="332" spans="1:7" x14ac:dyDescent="0.35">
      <c r="A332">
        <v>1761</v>
      </c>
      <c r="B332">
        <f t="shared" si="25"/>
        <v>422.64793617759278</v>
      </c>
      <c r="C332">
        <f t="shared" si="26"/>
        <v>178631.27795517855</v>
      </c>
      <c r="D332">
        <v>57525</v>
      </c>
      <c r="E332">
        <f t="shared" si="27"/>
        <v>5.7525000000000004</v>
      </c>
      <c r="F332">
        <f t="shared" si="28"/>
        <v>2.3726440166493279</v>
      </c>
      <c r="G332">
        <f t="shared" si="29"/>
        <v>5.6294396297418565</v>
      </c>
    </row>
    <row r="333" spans="1:7" x14ac:dyDescent="0.35">
      <c r="A333">
        <v>1761</v>
      </c>
      <c r="B333">
        <f t="shared" si="25"/>
        <v>422.64793617759278</v>
      </c>
      <c r="C333">
        <f t="shared" si="26"/>
        <v>178631.27795517855</v>
      </c>
      <c r="D333">
        <v>54643</v>
      </c>
      <c r="E333">
        <f t="shared" si="27"/>
        <v>5.4642999999999997</v>
      </c>
      <c r="F333">
        <f t="shared" si="28"/>
        <v>2.0844440166493272</v>
      </c>
      <c r="G333">
        <f t="shared" si="29"/>
        <v>4.3449068585451807</v>
      </c>
    </row>
    <row r="334" spans="1:7" x14ac:dyDescent="0.35">
      <c r="A334">
        <v>2722</v>
      </c>
      <c r="B334">
        <f t="shared" si="25"/>
        <v>1383.6479361775928</v>
      </c>
      <c r="C334">
        <f t="shared" si="26"/>
        <v>1914481.6112885119</v>
      </c>
      <c r="D334">
        <v>12394</v>
      </c>
      <c r="E334">
        <f t="shared" si="27"/>
        <v>1.2394000000000001</v>
      </c>
      <c r="F334">
        <f t="shared" si="28"/>
        <v>-2.1404559833506722</v>
      </c>
      <c r="G334">
        <f t="shared" si="29"/>
        <v>4.5815518166616931</v>
      </c>
    </row>
    <row r="335" spans="1:7" x14ac:dyDescent="0.35">
      <c r="A335">
        <v>2722</v>
      </c>
      <c r="B335">
        <f t="shared" si="25"/>
        <v>1383.6479361775928</v>
      </c>
      <c r="C335">
        <f t="shared" si="26"/>
        <v>1914481.6112885119</v>
      </c>
      <c r="D335">
        <v>21359</v>
      </c>
      <c r="E335">
        <f t="shared" si="27"/>
        <v>2.1358999999999999</v>
      </c>
      <c r="F335">
        <f t="shared" si="28"/>
        <v>-1.2439559833506726</v>
      </c>
      <c r="G335">
        <f t="shared" si="29"/>
        <v>1.5474264885139388</v>
      </c>
    </row>
    <row r="336" spans="1:7" x14ac:dyDescent="0.35">
      <c r="A336">
        <v>2722</v>
      </c>
      <c r="B336">
        <f t="shared" si="25"/>
        <v>1383.6479361775928</v>
      </c>
      <c r="C336">
        <f t="shared" si="26"/>
        <v>1914481.6112885119</v>
      </c>
      <c r="D336">
        <v>10630</v>
      </c>
      <c r="E336">
        <f t="shared" si="27"/>
        <v>1.0629999999999999</v>
      </c>
      <c r="F336">
        <f t="shared" si="28"/>
        <v>-2.3168559833506723</v>
      </c>
      <c r="G336">
        <f t="shared" si="29"/>
        <v>5.3678216475878111</v>
      </c>
    </row>
    <row r="337" spans="1:7" x14ac:dyDescent="0.35">
      <c r="A337">
        <v>2722</v>
      </c>
      <c r="B337">
        <f t="shared" si="25"/>
        <v>1383.6479361775928</v>
      </c>
      <c r="C337">
        <f t="shared" si="26"/>
        <v>1914481.6112885119</v>
      </c>
      <c r="D337">
        <v>22286</v>
      </c>
      <c r="E337">
        <f t="shared" si="27"/>
        <v>2.2286000000000001</v>
      </c>
      <c r="F337">
        <f t="shared" si="28"/>
        <v>-1.1512559833506724</v>
      </c>
      <c r="G337">
        <f t="shared" si="29"/>
        <v>1.3253903392007236</v>
      </c>
    </row>
    <row r="338" spans="1:7" x14ac:dyDescent="0.35">
      <c r="A338">
        <v>2722</v>
      </c>
      <c r="B338">
        <f t="shared" si="25"/>
        <v>1383.6479361775928</v>
      </c>
      <c r="C338">
        <f t="shared" si="26"/>
        <v>1914481.6112885119</v>
      </c>
      <c r="D338">
        <v>15500</v>
      </c>
      <c r="E338">
        <f t="shared" si="27"/>
        <v>1.55</v>
      </c>
      <c r="F338">
        <f t="shared" si="28"/>
        <v>-1.8298559833506725</v>
      </c>
      <c r="G338">
        <f t="shared" si="29"/>
        <v>3.3483729198042567</v>
      </c>
    </row>
    <row r="339" spans="1:7" x14ac:dyDescent="0.35">
      <c r="A339">
        <v>2722</v>
      </c>
      <c r="B339">
        <f t="shared" si="25"/>
        <v>1383.6479361775928</v>
      </c>
      <c r="C339">
        <f t="shared" si="26"/>
        <v>1914481.6112885119</v>
      </c>
      <c r="D339">
        <v>16000</v>
      </c>
      <c r="E339">
        <f t="shared" si="27"/>
        <v>1.6</v>
      </c>
      <c r="F339">
        <f t="shared" si="28"/>
        <v>-1.7798559833506724</v>
      </c>
      <c r="G339">
        <f t="shared" si="29"/>
        <v>3.1678873214691889</v>
      </c>
    </row>
    <row r="340" spans="1:7" x14ac:dyDescent="0.35">
      <c r="A340">
        <v>2722</v>
      </c>
      <c r="B340">
        <f t="shared" si="25"/>
        <v>1383.6479361775928</v>
      </c>
      <c r="C340">
        <f t="shared" si="26"/>
        <v>1914481.6112885119</v>
      </c>
      <c r="D340">
        <v>12333</v>
      </c>
      <c r="E340">
        <f t="shared" si="27"/>
        <v>1.2333000000000001</v>
      </c>
      <c r="F340">
        <f t="shared" si="28"/>
        <v>-2.1465559833506722</v>
      </c>
      <c r="G340">
        <f t="shared" si="29"/>
        <v>4.6077025896585715</v>
      </c>
    </row>
    <row r="341" spans="1:7" x14ac:dyDescent="0.35">
      <c r="A341">
        <v>2722</v>
      </c>
      <c r="B341">
        <f t="shared" si="25"/>
        <v>1383.6479361775928</v>
      </c>
      <c r="C341">
        <f t="shared" si="26"/>
        <v>1914481.6112885119</v>
      </c>
      <c r="D341">
        <v>22571</v>
      </c>
      <c r="E341">
        <f t="shared" si="27"/>
        <v>2.2570999999999999</v>
      </c>
      <c r="F341">
        <f t="shared" si="28"/>
        <v>-1.1227559833506726</v>
      </c>
      <c r="G341">
        <f t="shared" si="29"/>
        <v>1.2605809981497358</v>
      </c>
    </row>
    <row r="342" spans="1:7" x14ac:dyDescent="0.35">
      <c r="A342">
        <v>2722</v>
      </c>
      <c r="B342">
        <f t="shared" si="25"/>
        <v>1383.6479361775928</v>
      </c>
      <c r="C342">
        <f t="shared" si="26"/>
        <v>1914481.6112885119</v>
      </c>
      <c r="D342">
        <v>16702</v>
      </c>
      <c r="E342">
        <f t="shared" si="27"/>
        <v>1.6701999999999999</v>
      </c>
      <c r="F342">
        <f t="shared" si="28"/>
        <v>-1.7096559833506726</v>
      </c>
      <c r="G342">
        <f t="shared" si="29"/>
        <v>2.9229235814067551</v>
      </c>
    </row>
    <row r="343" spans="1:7" x14ac:dyDescent="0.35">
      <c r="A343">
        <v>2722</v>
      </c>
      <c r="B343">
        <f t="shared" si="25"/>
        <v>1383.6479361775928</v>
      </c>
      <c r="C343">
        <f t="shared" si="26"/>
        <v>1914481.6112885119</v>
      </c>
      <c r="D343">
        <v>16387</v>
      </c>
      <c r="E343">
        <f t="shared" si="27"/>
        <v>1.6387</v>
      </c>
      <c r="F343">
        <f t="shared" si="28"/>
        <v>-1.7411559833506725</v>
      </c>
      <c r="G343">
        <f t="shared" si="29"/>
        <v>3.0316241583578472</v>
      </c>
    </row>
    <row r="344" spans="1:7" x14ac:dyDescent="0.35">
      <c r="A344">
        <v>2722</v>
      </c>
      <c r="B344">
        <f t="shared" si="25"/>
        <v>1383.6479361775928</v>
      </c>
      <c r="C344">
        <f t="shared" si="26"/>
        <v>1914481.6112885119</v>
      </c>
      <c r="D344">
        <v>16519</v>
      </c>
      <c r="E344">
        <f t="shared" si="27"/>
        <v>1.6518999999999999</v>
      </c>
      <c r="F344">
        <f t="shared" si="28"/>
        <v>-1.7279559833506726</v>
      </c>
      <c r="G344">
        <f t="shared" si="29"/>
        <v>2.9858318803973898</v>
      </c>
    </row>
    <row r="345" spans="1:7" x14ac:dyDescent="0.35">
      <c r="A345">
        <v>2722</v>
      </c>
      <c r="B345">
        <f t="shared" si="25"/>
        <v>1383.6479361775928</v>
      </c>
      <c r="C345">
        <f t="shared" si="26"/>
        <v>1914481.6112885119</v>
      </c>
      <c r="D345">
        <v>13097</v>
      </c>
      <c r="E345">
        <f t="shared" si="27"/>
        <v>1.3097000000000001</v>
      </c>
      <c r="F345">
        <f t="shared" si="28"/>
        <v>-2.0701559833506726</v>
      </c>
      <c r="G345">
        <f t="shared" si="29"/>
        <v>4.28554579540259</v>
      </c>
    </row>
    <row r="346" spans="1:7" x14ac:dyDescent="0.35">
      <c r="A346">
        <v>2722</v>
      </c>
      <c r="B346">
        <f t="shared" si="25"/>
        <v>1383.6479361775928</v>
      </c>
      <c r="C346">
        <f t="shared" si="26"/>
        <v>1914481.6112885119</v>
      </c>
      <c r="D346">
        <v>10944</v>
      </c>
      <c r="E346">
        <f t="shared" si="27"/>
        <v>1.0944</v>
      </c>
      <c r="F346">
        <f t="shared" si="28"/>
        <v>-2.2854559833506727</v>
      </c>
      <c r="G346">
        <f t="shared" si="29"/>
        <v>5.2233090518333904</v>
      </c>
    </row>
    <row r="347" spans="1:7" x14ac:dyDescent="0.35">
      <c r="A347">
        <v>2722</v>
      </c>
      <c r="B347">
        <f t="shared" si="25"/>
        <v>1383.6479361775928</v>
      </c>
      <c r="C347">
        <f t="shared" si="26"/>
        <v>1914481.6112885119</v>
      </c>
      <c r="D347">
        <v>5263</v>
      </c>
      <c r="E347">
        <f t="shared" si="27"/>
        <v>0.52629999999999999</v>
      </c>
      <c r="F347">
        <f t="shared" si="28"/>
        <v>-2.8535559833506725</v>
      </c>
      <c r="G347">
        <f t="shared" si="29"/>
        <v>8.1427817501164235</v>
      </c>
    </row>
    <row r="348" spans="1:7" x14ac:dyDescent="0.35">
      <c r="A348">
        <v>2722</v>
      </c>
      <c r="B348">
        <f t="shared" si="25"/>
        <v>1383.6479361775928</v>
      </c>
      <c r="C348">
        <f t="shared" si="26"/>
        <v>1914481.6112885119</v>
      </c>
      <c r="D348">
        <v>6500</v>
      </c>
      <c r="E348">
        <f t="shared" si="27"/>
        <v>0.65</v>
      </c>
      <c r="F348">
        <f t="shared" si="28"/>
        <v>-2.7298559833506726</v>
      </c>
      <c r="G348">
        <f t="shared" si="29"/>
        <v>7.4521136898354676</v>
      </c>
    </row>
    <row r="349" spans="1:7" x14ac:dyDescent="0.35">
      <c r="A349">
        <v>2722</v>
      </c>
      <c r="B349">
        <f t="shared" si="25"/>
        <v>1383.6479361775928</v>
      </c>
      <c r="C349">
        <f t="shared" si="26"/>
        <v>1914481.6112885119</v>
      </c>
      <c r="D349">
        <v>7292</v>
      </c>
      <c r="E349">
        <f t="shared" si="27"/>
        <v>0.72919999999999996</v>
      </c>
      <c r="F349">
        <f t="shared" si="28"/>
        <v>-2.6506559833506724</v>
      </c>
      <c r="G349">
        <f t="shared" si="29"/>
        <v>7.0259771420727199</v>
      </c>
    </row>
    <row r="350" spans="1:7" x14ac:dyDescent="0.35">
      <c r="A350">
        <v>2722</v>
      </c>
      <c r="B350">
        <f t="shared" si="25"/>
        <v>1383.6479361775928</v>
      </c>
      <c r="C350">
        <f t="shared" si="26"/>
        <v>1914481.6112885119</v>
      </c>
      <c r="D350">
        <v>7294</v>
      </c>
      <c r="E350">
        <f t="shared" si="27"/>
        <v>0.72940000000000005</v>
      </c>
      <c r="F350">
        <f t="shared" si="28"/>
        <v>-2.6504559833506725</v>
      </c>
      <c r="G350">
        <f t="shared" si="29"/>
        <v>7.0249169196793799</v>
      </c>
    </row>
    <row r="351" spans="1:7" x14ac:dyDescent="0.35">
      <c r="A351">
        <v>2722</v>
      </c>
      <c r="B351">
        <f t="shared" si="25"/>
        <v>1383.6479361775928</v>
      </c>
      <c r="C351">
        <f t="shared" si="26"/>
        <v>1914481.6112885119</v>
      </c>
      <c r="D351">
        <v>8190</v>
      </c>
      <c r="E351">
        <f t="shared" si="27"/>
        <v>0.81899999999999995</v>
      </c>
      <c r="F351">
        <f t="shared" si="28"/>
        <v>-2.5608559833506725</v>
      </c>
      <c r="G351">
        <f t="shared" si="29"/>
        <v>6.5579833674629402</v>
      </c>
    </row>
    <row r="352" spans="1:7" x14ac:dyDescent="0.35">
      <c r="A352">
        <v>2722</v>
      </c>
      <c r="B352">
        <f t="shared" si="25"/>
        <v>1383.6479361775928</v>
      </c>
      <c r="C352">
        <f t="shared" si="26"/>
        <v>1914481.6112885119</v>
      </c>
      <c r="D352">
        <v>8728</v>
      </c>
      <c r="E352">
        <f t="shared" si="27"/>
        <v>0.87280000000000002</v>
      </c>
      <c r="F352">
        <f t="shared" si="28"/>
        <v>-2.5070559833506723</v>
      </c>
      <c r="G352">
        <f t="shared" si="29"/>
        <v>6.2853297036544067</v>
      </c>
    </row>
    <row r="353" spans="1:7" x14ac:dyDescent="0.35">
      <c r="A353">
        <v>2722</v>
      </c>
      <c r="B353">
        <f t="shared" si="25"/>
        <v>1383.6479361775928</v>
      </c>
      <c r="C353">
        <f t="shared" si="26"/>
        <v>1914481.6112885119</v>
      </c>
      <c r="D353">
        <v>8091</v>
      </c>
      <c r="E353">
        <f t="shared" si="27"/>
        <v>0.80910000000000004</v>
      </c>
      <c r="F353">
        <f t="shared" si="28"/>
        <v>-2.5707559833506726</v>
      </c>
      <c r="G353">
        <f t="shared" si="29"/>
        <v>6.6087863259332833</v>
      </c>
    </row>
    <row r="354" spans="1:7" x14ac:dyDescent="0.35">
      <c r="A354">
        <v>2722</v>
      </c>
      <c r="B354">
        <f t="shared" si="25"/>
        <v>1383.6479361775928</v>
      </c>
      <c r="C354">
        <f t="shared" si="26"/>
        <v>1914481.6112885119</v>
      </c>
      <c r="D354">
        <v>7255</v>
      </c>
      <c r="E354">
        <f t="shared" si="27"/>
        <v>0.72550000000000003</v>
      </c>
      <c r="F354">
        <f t="shared" si="28"/>
        <v>-2.6543559833506727</v>
      </c>
      <c r="G354">
        <f t="shared" si="29"/>
        <v>7.0456056863495169</v>
      </c>
    </row>
    <row r="355" spans="1:7" x14ac:dyDescent="0.35">
      <c r="A355">
        <v>2722</v>
      </c>
      <c r="B355">
        <f t="shared" si="25"/>
        <v>1383.6479361775928</v>
      </c>
      <c r="C355">
        <f t="shared" si="26"/>
        <v>1914481.6112885119</v>
      </c>
      <c r="D355">
        <v>7008</v>
      </c>
      <c r="E355">
        <f t="shared" si="27"/>
        <v>0.70079999999999998</v>
      </c>
      <c r="F355">
        <f t="shared" si="28"/>
        <v>-2.6790559833506724</v>
      </c>
      <c r="G355">
        <f t="shared" si="29"/>
        <v>7.1773409619270385</v>
      </c>
    </row>
    <row r="356" spans="1:7" x14ac:dyDescent="0.35">
      <c r="A356">
        <v>2722</v>
      </c>
      <c r="B356">
        <f t="shared" si="25"/>
        <v>1383.6479361775928</v>
      </c>
      <c r="C356">
        <f t="shared" si="26"/>
        <v>1914481.6112885119</v>
      </c>
      <c r="D356">
        <v>5147</v>
      </c>
      <c r="E356">
        <f t="shared" si="27"/>
        <v>0.51470000000000005</v>
      </c>
      <c r="F356">
        <f t="shared" si="28"/>
        <v>-2.8651559833506726</v>
      </c>
      <c r="G356">
        <f t="shared" si="29"/>
        <v>8.2091188089301603</v>
      </c>
    </row>
    <row r="357" spans="1:7" x14ac:dyDescent="0.35">
      <c r="A357">
        <v>2722</v>
      </c>
      <c r="B357">
        <f t="shared" si="25"/>
        <v>1383.6479361775928</v>
      </c>
      <c r="C357">
        <f t="shared" si="26"/>
        <v>1914481.6112885119</v>
      </c>
      <c r="D357">
        <v>5801</v>
      </c>
      <c r="E357">
        <f t="shared" si="27"/>
        <v>0.58009999999999995</v>
      </c>
      <c r="F357">
        <f t="shared" si="28"/>
        <v>-2.7997559833506727</v>
      </c>
      <c r="G357">
        <f t="shared" si="29"/>
        <v>7.8386335663078919</v>
      </c>
    </row>
    <row r="358" spans="1:7" x14ac:dyDescent="0.35">
      <c r="A358">
        <v>2722</v>
      </c>
      <c r="B358">
        <f t="shared" si="25"/>
        <v>1383.6479361775928</v>
      </c>
      <c r="C358">
        <f t="shared" si="26"/>
        <v>1914481.6112885119</v>
      </c>
      <c r="D358">
        <v>9227</v>
      </c>
      <c r="E358">
        <f t="shared" si="27"/>
        <v>0.92269999999999996</v>
      </c>
      <c r="F358">
        <f t="shared" si="28"/>
        <v>-2.4571559833506726</v>
      </c>
      <c r="G358">
        <f t="shared" si="29"/>
        <v>6.037615526516011</v>
      </c>
    </row>
    <row r="359" spans="1:7" x14ac:dyDescent="0.35">
      <c r="A359">
        <v>2722</v>
      </c>
      <c r="B359">
        <f t="shared" si="25"/>
        <v>1383.6479361775928</v>
      </c>
      <c r="C359">
        <f t="shared" si="26"/>
        <v>1914481.6112885119</v>
      </c>
      <c r="D359">
        <v>9772</v>
      </c>
      <c r="E359">
        <f t="shared" si="27"/>
        <v>0.97719999999999996</v>
      </c>
      <c r="F359">
        <f t="shared" si="28"/>
        <v>-2.4026559833506727</v>
      </c>
      <c r="G359">
        <f t="shared" si="29"/>
        <v>5.772755774330788</v>
      </c>
    </row>
    <row r="360" spans="1:7" x14ac:dyDescent="0.35">
      <c r="A360">
        <v>2722</v>
      </c>
      <c r="B360">
        <f t="shared" si="25"/>
        <v>1383.6479361775928</v>
      </c>
      <c r="C360">
        <f t="shared" si="26"/>
        <v>1914481.6112885119</v>
      </c>
      <c r="D360">
        <v>9664</v>
      </c>
      <c r="E360">
        <f t="shared" si="27"/>
        <v>0.96640000000000004</v>
      </c>
      <c r="F360">
        <f t="shared" si="28"/>
        <v>-2.4134559833506724</v>
      </c>
      <c r="G360">
        <f t="shared" si="29"/>
        <v>5.8247697835711607</v>
      </c>
    </row>
    <row r="361" spans="1:7" x14ac:dyDescent="0.35">
      <c r="A361">
        <v>2722</v>
      </c>
      <c r="B361">
        <f t="shared" si="25"/>
        <v>1383.6479361775928</v>
      </c>
      <c r="C361">
        <f t="shared" si="26"/>
        <v>1914481.6112885119</v>
      </c>
      <c r="D361">
        <v>8411</v>
      </c>
      <c r="E361">
        <f t="shared" si="27"/>
        <v>0.84109999999999996</v>
      </c>
      <c r="F361">
        <f t="shared" si="28"/>
        <v>-2.5387559833506725</v>
      </c>
      <c r="G361">
        <f t="shared" si="29"/>
        <v>6.4452819429988404</v>
      </c>
    </row>
    <row r="362" spans="1:7" x14ac:dyDescent="0.35">
      <c r="A362">
        <v>2722</v>
      </c>
      <c r="B362">
        <f t="shared" si="25"/>
        <v>1383.6479361775928</v>
      </c>
      <c r="C362">
        <f t="shared" si="26"/>
        <v>1914481.6112885119</v>
      </c>
      <c r="D362">
        <v>8086</v>
      </c>
      <c r="E362">
        <f t="shared" si="27"/>
        <v>0.80859999999999999</v>
      </c>
      <c r="F362">
        <f t="shared" si="28"/>
        <v>-2.5712559833506727</v>
      </c>
      <c r="G362">
        <f t="shared" si="29"/>
        <v>6.6113573319166354</v>
      </c>
    </row>
    <row r="363" spans="1:7" x14ac:dyDescent="0.35">
      <c r="A363">
        <v>2722</v>
      </c>
      <c r="B363">
        <f t="shared" si="25"/>
        <v>1383.6479361775928</v>
      </c>
      <c r="C363">
        <f t="shared" si="26"/>
        <v>1914481.6112885119</v>
      </c>
      <c r="D363">
        <v>8442</v>
      </c>
      <c r="E363">
        <f t="shared" si="27"/>
        <v>0.84419999999999995</v>
      </c>
      <c r="F363">
        <f t="shared" si="28"/>
        <v>-2.5356559833506727</v>
      </c>
      <c r="G363">
        <f t="shared" si="29"/>
        <v>6.4295512659020666</v>
      </c>
    </row>
    <row r="364" spans="1:7" x14ac:dyDescent="0.35">
      <c r="A364">
        <v>608</v>
      </c>
      <c r="B364">
        <f t="shared" si="25"/>
        <v>-730.35206382240722</v>
      </c>
      <c r="C364">
        <f t="shared" si="26"/>
        <v>533414.13712964964</v>
      </c>
      <c r="D364">
        <v>42464</v>
      </c>
      <c r="E364">
        <f t="shared" si="27"/>
        <v>4.2464000000000004</v>
      </c>
      <c r="F364">
        <f t="shared" si="28"/>
        <v>0.8665440166493279</v>
      </c>
      <c r="G364">
        <f t="shared" si="29"/>
        <v>0.75089853279075069</v>
      </c>
    </row>
    <row r="365" spans="1:7" x14ac:dyDescent="0.35">
      <c r="A365">
        <v>608</v>
      </c>
      <c r="B365">
        <f t="shared" si="25"/>
        <v>-730.35206382240722</v>
      </c>
      <c r="C365">
        <f t="shared" si="26"/>
        <v>533414.13712964964</v>
      </c>
      <c r="D365">
        <v>47064</v>
      </c>
      <c r="E365">
        <f t="shared" si="27"/>
        <v>4.7064000000000004</v>
      </c>
      <c r="F365">
        <f t="shared" si="28"/>
        <v>1.3265440166493279</v>
      </c>
      <c r="G365">
        <f t="shared" si="29"/>
        <v>1.7597190281081323</v>
      </c>
    </row>
    <row r="366" spans="1:7" x14ac:dyDescent="0.35">
      <c r="A366">
        <v>608</v>
      </c>
      <c r="B366">
        <f t="shared" si="25"/>
        <v>-730.35206382240722</v>
      </c>
      <c r="C366">
        <f t="shared" si="26"/>
        <v>533414.13712964964</v>
      </c>
      <c r="D366">
        <v>37475</v>
      </c>
      <c r="E366">
        <f t="shared" si="27"/>
        <v>3.7475000000000001</v>
      </c>
      <c r="F366">
        <f t="shared" si="28"/>
        <v>0.36764401664932755</v>
      </c>
      <c r="G366">
        <f t="shared" si="29"/>
        <v>0.13516212297805102</v>
      </c>
    </row>
    <row r="367" spans="1:7" x14ac:dyDescent="0.35">
      <c r="A367">
        <v>608</v>
      </c>
      <c r="B367">
        <f t="shared" si="25"/>
        <v>-730.35206382240722</v>
      </c>
      <c r="C367">
        <f t="shared" si="26"/>
        <v>533414.13712964964</v>
      </c>
      <c r="D367">
        <v>31315</v>
      </c>
      <c r="E367">
        <f t="shared" si="27"/>
        <v>3.1315</v>
      </c>
      <c r="F367">
        <f t="shared" si="28"/>
        <v>-0.24835598335067255</v>
      </c>
      <c r="G367">
        <f t="shared" si="29"/>
        <v>6.1680694466079537E-2</v>
      </c>
    </row>
    <row r="368" spans="1:7" x14ac:dyDescent="0.35">
      <c r="A368">
        <v>608</v>
      </c>
      <c r="B368">
        <f t="shared" si="25"/>
        <v>-730.35206382240722</v>
      </c>
      <c r="C368">
        <f t="shared" si="26"/>
        <v>533414.13712964964</v>
      </c>
      <c r="D368">
        <v>23785</v>
      </c>
      <c r="E368">
        <f t="shared" si="27"/>
        <v>2.3784999999999998</v>
      </c>
      <c r="F368">
        <f t="shared" si="28"/>
        <v>-1.0013559833506727</v>
      </c>
      <c r="G368">
        <f t="shared" si="29"/>
        <v>1.0027138053921927</v>
      </c>
    </row>
    <row r="369" spans="1:7" x14ac:dyDescent="0.35">
      <c r="A369">
        <v>608</v>
      </c>
      <c r="B369">
        <f t="shared" si="25"/>
        <v>-730.35206382240722</v>
      </c>
      <c r="C369">
        <f t="shared" si="26"/>
        <v>533414.13712964964</v>
      </c>
      <c r="D369">
        <v>25397</v>
      </c>
      <c r="E369">
        <f t="shared" si="27"/>
        <v>2.5396999999999998</v>
      </c>
      <c r="F369">
        <f t="shared" si="28"/>
        <v>-0.84015598335067265</v>
      </c>
      <c r="G369">
        <f t="shared" si="29"/>
        <v>0.7058620763599357</v>
      </c>
    </row>
    <row r="370" spans="1:7" x14ac:dyDescent="0.35">
      <c r="A370">
        <v>608</v>
      </c>
      <c r="B370">
        <f t="shared" si="25"/>
        <v>-730.35206382240722</v>
      </c>
      <c r="C370">
        <f t="shared" si="26"/>
        <v>533414.13712964964</v>
      </c>
      <c r="D370">
        <v>32042</v>
      </c>
      <c r="E370">
        <f t="shared" si="27"/>
        <v>3.2042000000000002</v>
      </c>
      <c r="F370">
        <f t="shared" si="28"/>
        <v>-0.17565598335067234</v>
      </c>
      <c r="G370">
        <f t="shared" si="29"/>
        <v>3.0855024486891678E-2</v>
      </c>
    </row>
    <row r="371" spans="1:7" x14ac:dyDescent="0.35">
      <c r="A371">
        <v>608</v>
      </c>
      <c r="B371">
        <f t="shared" si="25"/>
        <v>-730.35206382240722</v>
      </c>
      <c r="C371">
        <f t="shared" si="26"/>
        <v>533414.13712964964</v>
      </c>
      <c r="D371">
        <v>34761</v>
      </c>
      <c r="E371">
        <f t="shared" si="27"/>
        <v>3.4761000000000002</v>
      </c>
      <c r="F371">
        <f t="shared" si="28"/>
        <v>9.6244016649327691E-2</v>
      </c>
      <c r="G371">
        <f t="shared" si="29"/>
        <v>9.2629107407960661E-3</v>
      </c>
    </row>
    <row r="372" spans="1:7" x14ac:dyDescent="0.35">
      <c r="A372">
        <v>608</v>
      </c>
      <c r="B372">
        <f t="shared" si="25"/>
        <v>-730.35206382240722</v>
      </c>
      <c r="C372">
        <f t="shared" si="26"/>
        <v>533414.13712964964</v>
      </c>
      <c r="D372">
        <v>37195</v>
      </c>
      <c r="E372">
        <f t="shared" si="27"/>
        <v>3.7195</v>
      </c>
      <c r="F372">
        <f t="shared" si="28"/>
        <v>0.33964401664932753</v>
      </c>
      <c r="G372">
        <f t="shared" si="29"/>
        <v>0.11535805804568867</v>
      </c>
    </row>
    <row r="373" spans="1:7" x14ac:dyDescent="0.35">
      <c r="A373">
        <v>608</v>
      </c>
      <c r="B373">
        <f t="shared" si="25"/>
        <v>-730.35206382240722</v>
      </c>
      <c r="C373">
        <f t="shared" si="26"/>
        <v>533414.13712964964</v>
      </c>
      <c r="D373">
        <v>36116</v>
      </c>
      <c r="E373">
        <f t="shared" si="27"/>
        <v>3.6116000000000001</v>
      </c>
      <c r="F373">
        <f t="shared" si="28"/>
        <v>0.23174401664932764</v>
      </c>
      <c r="G373">
        <f t="shared" si="29"/>
        <v>5.3705289252763848E-2</v>
      </c>
    </row>
    <row r="374" spans="1:7" x14ac:dyDescent="0.35">
      <c r="A374">
        <v>608</v>
      </c>
      <c r="B374">
        <f t="shared" si="25"/>
        <v>-730.35206382240722</v>
      </c>
      <c r="C374">
        <f t="shared" si="26"/>
        <v>533414.13712964964</v>
      </c>
      <c r="D374">
        <v>33891</v>
      </c>
      <c r="E374">
        <f t="shared" si="27"/>
        <v>3.3891</v>
      </c>
      <c r="F374">
        <f t="shared" si="28"/>
        <v>9.2440166493275022E-3</v>
      </c>
      <c r="G374">
        <f t="shared" si="29"/>
        <v>8.5451843813044061E-5</v>
      </c>
    </row>
    <row r="375" spans="1:7" x14ac:dyDescent="0.35">
      <c r="A375">
        <v>608</v>
      </c>
      <c r="B375">
        <f t="shared" si="25"/>
        <v>-730.35206382240722</v>
      </c>
      <c r="C375">
        <f t="shared" si="26"/>
        <v>533414.13712964964</v>
      </c>
      <c r="D375">
        <v>29871</v>
      </c>
      <c r="E375">
        <f t="shared" si="27"/>
        <v>2.9870999999999999</v>
      </c>
      <c r="F375">
        <f t="shared" si="28"/>
        <v>-0.39275598335067263</v>
      </c>
      <c r="G375">
        <f t="shared" si="29"/>
        <v>0.15425726245775384</v>
      </c>
    </row>
    <row r="376" spans="1:7" x14ac:dyDescent="0.35">
      <c r="A376">
        <v>608</v>
      </c>
      <c r="B376">
        <f t="shared" si="25"/>
        <v>-730.35206382240722</v>
      </c>
      <c r="C376">
        <f t="shared" si="26"/>
        <v>533414.13712964964</v>
      </c>
      <c r="D376">
        <v>31467</v>
      </c>
      <c r="E376">
        <f t="shared" si="27"/>
        <v>3.1467000000000001</v>
      </c>
      <c r="F376">
        <f t="shared" si="28"/>
        <v>-0.23315598335067245</v>
      </c>
      <c r="G376">
        <f t="shared" si="29"/>
        <v>5.4361712572219049E-2</v>
      </c>
    </row>
    <row r="377" spans="1:7" x14ac:dyDescent="0.35">
      <c r="A377">
        <v>608</v>
      </c>
      <c r="B377">
        <f t="shared" si="25"/>
        <v>-730.35206382240722</v>
      </c>
      <c r="C377">
        <f t="shared" si="26"/>
        <v>533414.13712964964</v>
      </c>
      <c r="D377">
        <v>49400</v>
      </c>
      <c r="E377">
        <f t="shared" si="27"/>
        <v>4.9400000000000004</v>
      </c>
      <c r="F377">
        <f t="shared" si="28"/>
        <v>1.5601440166493279</v>
      </c>
      <c r="G377">
        <f t="shared" si="29"/>
        <v>2.4340493526866984</v>
      </c>
    </row>
    <row r="378" spans="1:7" x14ac:dyDescent="0.35">
      <c r="A378">
        <v>608</v>
      </c>
      <c r="B378">
        <f t="shared" si="25"/>
        <v>-730.35206382240722</v>
      </c>
      <c r="C378">
        <f t="shared" si="26"/>
        <v>533414.13712964964</v>
      </c>
      <c r="D378">
        <v>47001</v>
      </c>
      <c r="E378">
        <f t="shared" si="27"/>
        <v>4.7000999999999999</v>
      </c>
      <c r="F378">
        <f t="shared" si="28"/>
        <v>1.3202440166493274</v>
      </c>
      <c r="G378">
        <f t="shared" si="29"/>
        <v>1.7430442634983496</v>
      </c>
    </row>
    <row r="379" spans="1:7" x14ac:dyDescent="0.35">
      <c r="A379">
        <v>608</v>
      </c>
      <c r="B379">
        <f t="shared" si="25"/>
        <v>-730.35206382240722</v>
      </c>
      <c r="C379">
        <f t="shared" si="26"/>
        <v>533414.13712964964</v>
      </c>
      <c r="D379">
        <v>48001</v>
      </c>
      <c r="E379">
        <f t="shared" si="27"/>
        <v>4.8000999999999996</v>
      </c>
      <c r="F379">
        <f t="shared" si="28"/>
        <v>1.4202440166493271</v>
      </c>
      <c r="G379">
        <f t="shared" si="29"/>
        <v>2.0170930668282141</v>
      </c>
    </row>
    <row r="380" spans="1:7" x14ac:dyDescent="0.35">
      <c r="A380">
        <v>608</v>
      </c>
      <c r="B380">
        <f t="shared" si="25"/>
        <v>-730.35206382240722</v>
      </c>
      <c r="C380">
        <f t="shared" si="26"/>
        <v>533414.13712964964</v>
      </c>
      <c r="D380">
        <v>43099</v>
      </c>
      <c r="E380">
        <f t="shared" si="27"/>
        <v>4.3098999999999998</v>
      </c>
      <c r="F380">
        <f t="shared" si="28"/>
        <v>0.93004401664932734</v>
      </c>
      <c r="G380">
        <f t="shared" si="29"/>
        <v>0.86498187290521422</v>
      </c>
    </row>
    <row r="381" spans="1:7" x14ac:dyDescent="0.35">
      <c r="A381">
        <v>608</v>
      </c>
      <c r="B381">
        <f t="shared" si="25"/>
        <v>-730.35206382240722</v>
      </c>
      <c r="C381">
        <f t="shared" si="26"/>
        <v>533414.13712964964</v>
      </c>
      <c r="D381">
        <v>49596</v>
      </c>
      <c r="E381">
        <f t="shared" si="27"/>
        <v>4.9596</v>
      </c>
      <c r="F381">
        <f t="shared" si="28"/>
        <v>1.5797440166493275</v>
      </c>
      <c r="G381">
        <f t="shared" si="29"/>
        <v>2.4955911581393506</v>
      </c>
    </row>
    <row r="382" spans="1:7" x14ac:dyDescent="0.35">
      <c r="A382">
        <v>608</v>
      </c>
      <c r="B382">
        <f t="shared" si="25"/>
        <v>-730.35206382240722</v>
      </c>
      <c r="C382">
        <f t="shared" si="26"/>
        <v>533414.13712964964</v>
      </c>
      <c r="D382">
        <v>44801</v>
      </c>
      <c r="E382">
        <f t="shared" si="27"/>
        <v>4.4801000000000002</v>
      </c>
      <c r="F382">
        <f t="shared" si="28"/>
        <v>1.1002440166493277</v>
      </c>
      <c r="G382">
        <f t="shared" si="29"/>
        <v>1.2105368961726461</v>
      </c>
    </row>
    <row r="383" spans="1:7" x14ac:dyDescent="0.35">
      <c r="A383">
        <v>608</v>
      </c>
      <c r="B383">
        <f t="shared" si="25"/>
        <v>-730.35206382240722</v>
      </c>
      <c r="C383">
        <f t="shared" si="26"/>
        <v>533414.13712964964</v>
      </c>
      <c r="D383">
        <v>44080</v>
      </c>
      <c r="E383">
        <f t="shared" si="27"/>
        <v>4.4080000000000004</v>
      </c>
      <c r="F383">
        <f t="shared" si="28"/>
        <v>1.0281440166493279</v>
      </c>
      <c r="G383">
        <f t="shared" si="29"/>
        <v>1.0570801189718133</v>
      </c>
    </row>
    <row r="384" spans="1:7" x14ac:dyDescent="0.35">
      <c r="A384">
        <v>608</v>
      </c>
      <c r="B384">
        <f t="shared" si="25"/>
        <v>-730.35206382240722</v>
      </c>
      <c r="C384">
        <f t="shared" si="26"/>
        <v>533414.13712964964</v>
      </c>
      <c r="D384">
        <v>46447</v>
      </c>
      <c r="E384">
        <f t="shared" si="27"/>
        <v>4.6447000000000003</v>
      </c>
      <c r="F384">
        <f t="shared" si="28"/>
        <v>1.2648440166493278</v>
      </c>
      <c r="G384">
        <f t="shared" si="29"/>
        <v>1.599830386453605</v>
      </c>
    </row>
    <row r="385" spans="1:7" x14ac:dyDescent="0.35">
      <c r="A385">
        <v>608</v>
      </c>
      <c r="B385">
        <f t="shared" si="25"/>
        <v>-730.35206382240722</v>
      </c>
      <c r="C385">
        <f t="shared" si="26"/>
        <v>533414.13712964964</v>
      </c>
      <c r="D385">
        <v>49621</v>
      </c>
      <c r="E385">
        <f t="shared" si="27"/>
        <v>4.9621000000000004</v>
      </c>
      <c r="F385">
        <f t="shared" si="28"/>
        <v>1.5822440166493279</v>
      </c>
      <c r="G385">
        <f t="shared" si="29"/>
        <v>2.5034961282225985</v>
      </c>
    </row>
    <row r="386" spans="1:7" x14ac:dyDescent="0.35">
      <c r="A386">
        <v>608</v>
      </c>
      <c r="B386">
        <f t="shared" si="25"/>
        <v>-730.35206382240722</v>
      </c>
      <c r="C386">
        <f t="shared" si="26"/>
        <v>533414.13712964964</v>
      </c>
      <c r="D386">
        <v>52263</v>
      </c>
      <c r="E386">
        <f t="shared" si="27"/>
        <v>5.2263000000000002</v>
      </c>
      <c r="F386">
        <f t="shared" si="28"/>
        <v>1.8464440166493277</v>
      </c>
      <c r="G386">
        <f t="shared" si="29"/>
        <v>3.4093555066201024</v>
      </c>
    </row>
    <row r="387" spans="1:7" x14ac:dyDescent="0.35">
      <c r="A387">
        <v>608</v>
      </c>
      <c r="B387">
        <f t="shared" ref="B387:B450" si="30">A387-$J$1</f>
        <v>-730.35206382240722</v>
      </c>
      <c r="C387">
        <f t="shared" ref="C387:C450" si="31">B387^2</f>
        <v>533414.13712964964</v>
      </c>
      <c r="D387">
        <v>47952</v>
      </c>
      <c r="E387">
        <f t="shared" ref="E387:E450" si="32">D387/10000</f>
        <v>4.7952000000000004</v>
      </c>
      <c r="F387">
        <f t="shared" ref="F387:F450" si="33">E387-$J$2</f>
        <v>1.4153440166493279</v>
      </c>
      <c r="G387">
        <f t="shared" ref="G387:G450" si="34">F387^2</f>
        <v>2.003198685465053</v>
      </c>
    </row>
    <row r="388" spans="1:7" x14ac:dyDescent="0.35">
      <c r="A388">
        <v>608</v>
      </c>
      <c r="B388">
        <f t="shared" si="30"/>
        <v>-730.35206382240722</v>
      </c>
      <c r="C388">
        <f t="shared" si="31"/>
        <v>533414.13712964964</v>
      </c>
      <c r="D388">
        <v>50563</v>
      </c>
      <c r="E388">
        <f t="shared" si="32"/>
        <v>5.0563000000000002</v>
      </c>
      <c r="F388">
        <f t="shared" si="33"/>
        <v>1.6764440166493277</v>
      </c>
      <c r="G388">
        <f t="shared" si="34"/>
        <v>2.8104645409593316</v>
      </c>
    </row>
    <row r="389" spans="1:7" x14ac:dyDescent="0.35">
      <c r="A389">
        <v>608</v>
      </c>
      <c r="B389">
        <f t="shared" si="30"/>
        <v>-730.35206382240722</v>
      </c>
      <c r="C389">
        <f t="shared" si="31"/>
        <v>533414.13712964964</v>
      </c>
      <c r="D389">
        <v>55605</v>
      </c>
      <c r="E389">
        <f t="shared" si="32"/>
        <v>5.5605000000000002</v>
      </c>
      <c r="F389">
        <f t="shared" si="33"/>
        <v>2.1806440166493277</v>
      </c>
      <c r="G389">
        <f t="shared" si="34"/>
        <v>4.7552083273485133</v>
      </c>
    </row>
    <row r="390" spans="1:7" x14ac:dyDescent="0.35">
      <c r="A390">
        <v>608</v>
      </c>
      <c r="B390">
        <f t="shared" si="30"/>
        <v>-730.35206382240722</v>
      </c>
      <c r="C390">
        <f t="shared" si="31"/>
        <v>533414.13712964964</v>
      </c>
      <c r="D390">
        <v>54945</v>
      </c>
      <c r="E390">
        <f t="shared" si="32"/>
        <v>5.4945000000000004</v>
      </c>
      <c r="F390">
        <f t="shared" si="33"/>
        <v>2.1146440166493279</v>
      </c>
      <c r="G390">
        <f t="shared" si="34"/>
        <v>4.4717193171508027</v>
      </c>
    </row>
    <row r="391" spans="1:7" x14ac:dyDescent="0.35">
      <c r="A391">
        <v>608</v>
      </c>
      <c r="B391">
        <f t="shared" si="30"/>
        <v>-730.35206382240722</v>
      </c>
      <c r="C391">
        <f t="shared" si="31"/>
        <v>533414.13712964964</v>
      </c>
      <c r="D391">
        <v>49040</v>
      </c>
      <c r="E391">
        <f t="shared" si="32"/>
        <v>4.9039999999999999</v>
      </c>
      <c r="F391">
        <f t="shared" si="33"/>
        <v>1.5241440166493274</v>
      </c>
      <c r="G391">
        <f t="shared" si="34"/>
        <v>2.3230149834879454</v>
      </c>
    </row>
    <row r="392" spans="1:7" x14ac:dyDescent="0.35">
      <c r="A392">
        <v>608</v>
      </c>
      <c r="B392">
        <f t="shared" si="30"/>
        <v>-730.35206382240722</v>
      </c>
      <c r="C392">
        <f t="shared" si="31"/>
        <v>533414.13712964964</v>
      </c>
      <c r="D392">
        <v>54540</v>
      </c>
      <c r="E392">
        <f t="shared" si="32"/>
        <v>5.4539999999999997</v>
      </c>
      <c r="F392">
        <f t="shared" si="33"/>
        <v>2.0741440166493272</v>
      </c>
      <c r="G392">
        <f t="shared" si="34"/>
        <v>4.3020734018022049</v>
      </c>
    </row>
    <row r="393" spans="1:7" x14ac:dyDescent="0.35">
      <c r="A393">
        <v>608</v>
      </c>
      <c r="B393">
        <f t="shared" si="30"/>
        <v>-730.35206382240722</v>
      </c>
      <c r="C393">
        <f t="shared" si="31"/>
        <v>533414.13712964964</v>
      </c>
      <c r="D393">
        <v>54032</v>
      </c>
      <c r="E393">
        <f t="shared" si="32"/>
        <v>5.4032</v>
      </c>
      <c r="F393">
        <f t="shared" si="33"/>
        <v>2.0233440166493275</v>
      </c>
      <c r="G393">
        <f t="shared" si="34"/>
        <v>4.093921009710634</v>
      </c>
    </row>
    <row r="394" spans="1:7" x14ac:dyDescent="0.35">
      <c r="A394">
        <v>748</v>
      </c>
      <c r="B394">
        <f t="shared" si="30"/>
        <v>-590.35206382240722</v>
      </c>
      <c r="C394">
        <f t="shared" si="31"/>
        <v>348515.55925937556</v>
      </c>
      <c r="D394">
        <v>18144</v>
      </c>
      <c r="E394">
        <f t="shared" si="32"/>
        <v>1.8144</v>
      </c>
      <c r="F394">
        <f t="shared" si="33"/>
        <v>-1.5654559833506725</v>
      </c>
      <c r="G394">
        <f t="shared" si="34"/>
        <v>2.4506524358084212</v>
      </c>
    </row>
    <row r="395" spans="1:7" x14ac:dyDescent="0.35">
      <c r="A395">
        <v>748</v>
      </c>
      <c r="B395">
        <f t="shared" si="30"/>
        <v>-590.35206382240722</v>
      </c>
      <c r="C395">
        <f t="shared" si="31"/>
        <v>348515.55925937556</v>
      </c>
      <c r="D395">
        <v>16802</v>
      </c>
      <c r="E395">
        <f t="shared" si="32"/>
        <v>1.6801999999999999</v>
      </c>
      <c r="F395">
        <f t="shared" si="33"/>
        <v>-1.6996559833506726</v>
      </c>
      <c r="G395">
        <f t="shared" si="34"/>
        <v>2.888830461739742</v>
      </c>
    </row>
    <row r="396" spans="1:7" x14ac:dyDescent="0.35">
      <c r="A396">
        <v>748</v>
      </c>
      <c r="B396">
        <f t="shared" si="30"/>
        <v>-590.35206382240722</v>
      </c>
      <c r="C396">
        <f t="shared" si="31"/>
        <v>348515.55925937556</v>
      </c>
      <c r="D396">
        <v>11516</v>
      </c>
      <c r="E396">
        <f t="shared" si="32"/>
        <v>1.1516</v>
      </c>
      <c r="F396">
        <f t="shared" si="33"/>
        <v>-2.2282559833506728</v>
      </c>
      <c r="G396">
        <f t="shared" si="34"/>
        <v>4.9651247273380736</v>
      </c>
    </row>
    <row r="397" spans="1:7" x14ac:dyDescent="0.35">
      <c r="A397">
        <v>748</v>
      </c>
      <c r="B397">
        <f t="shared" si="30"/>
        <v>-590.35206382240722</v>
      </c>
      <c r="C397">
        <f t="shared" si="31"/>
        <v>348515.55925937556</v>
      </c>
      <c r="D397">
        <v>20541</v>
      </c>
      <c r="E397">
        <f t="shared" si="32"/>
        <v>2.0541</v>
      </c>
      <c r="F397">
        <f t="shared" si="33"/>
        <v>-1.3257559833506725</v>
      </c>
      <c r="G397">
        <f t="shared" si="34"/>
        <v>1.7576289273901085</v>
      </c>
    </row>
    <row r="398" spans="1:7" x14ac:dyDescent="0.35">
      <c r="A398">
        <v>748</v>
      </c>
      <c r="B398">
        <f t="shared" si="30"/>
        <v>-590.35206382240722</v>
      </c>
      <c r="C398">
        <f t="shared" si="31"/>
        <v>348515.55925937556</v>
      </c>
      <c r="D398">
        <v>20783</v>
      </c>
      <c r="E398">
        <f t="shared" si="32"/>
        <v>2.0783</v>
      </c>
      <c r="F398">
        <f t="shared" si="33"/>
        <v>-1.3015559833506725</v>
      </c>
      <c r="G398">
        <f t="shared" si="34"/>
        <v>1.6940479777959361</v>
      </c>
    </row>
    <row r="399" spans="1:7" x14ac:dyDescent="0.35">
      <c r="A399">
        <v>748</v>
      </c>
      <c r="B399">
        <f t="shared" si="30"/>
        <v>-590.35206382240722</v>
      </c>
      <c r="C399">
        <f t="shared" si="31"/>
        <v>348515.55925937556</v>
      </c>
      <c r="D399">
        <v>21444</v>
      </c>
      <c r="E399">
        <f t="shared" si="32"/>
        <v>2.1444000000000001</v>
      </c>
      <c r="F399">
        <f t="shared" si="33"/>
        <v>-1.2354559833506724</v>
      </c>
      <c r="G399">
        <f t="shared" si="34"/>
        <v>1.526351486796977</v>
      </c>
    </row>
    <row r="400" spans="1:7" x14ac:dyDescent="0.35">
      <c r="A400">
        <v>748</v>
      </c>
      <c r="B400">
        <f t="shared" si="30"/>
        <v>-590.35206382240722</v>
      </c>
      <c r="C400">
        <f t="shared" si="31"/>
        <v>348515.55925937556</v>
      </c>
      <c r="D400">
        <v>18831</v>
      </c>
      <c r="E400">
        <f t="shared" si="32"/>
        <v>1.8831</v>
      </c>
      <c r="F400">
        <f t="shared" si="33"/>
        <v>-1.4967559833506725</v>
      </c>
      <c r="G400">
        <f t="shared" si="34"/>
        <v>2.2402784736960388</v>
      </c>
    </row>
    <row r="401" spans="1:7" x14ac:dyDescent="0.35">
      <c r="A401">
        <v>748</v>
      </c>
      <c r="B401">
        <f t="shared" si="30"/>
        <v>-590.35206382240722</v>
      </c>
      <c r="C401">
        <f t="shared" si="31"/>
        <v>348515.55925937556</v>
      </c>
      <c r="D401">
        <v>21630</v>
      </c>
      <c r="E401">
        <f t="shared" si="32"/>
        <v>2.1629999999999998</v>
      </c>
      <c r="F401">
        <f t="shared" si="33"/>
        <v>-1.2168559833506727</v>
      </c>
      <c r="G401">
        <f t="shared" si="34"/>
        <v>1.4807384842163327</v>
      </c>
    </row>
    <row r="402" spans="1:7" x14ac:dyDescent="0.35">
      <c r="A402">
        <v>748</v>
      </c>
      <c r="B402">
        <f t="shared" si="30"/>
        <v>-590.35206382240722</v>
      </c>
      <c r="C402">
        <f t="shared" si="31"/>
        <v>348515.55925937556</v>
      </c>
      <c r="D402">
        <v>19582</v>
      </c>
      <c r="E402">
        <f t="shared" si="32"/>
        <v>1.9581999999999999</v>
      </c>
      <c r="F402">
        <f t="shared" si="33"/>
        <v>-1.4216559833506726</v>
      </c>
      <c r="G402">
        <f t="shared" si="34"/>
        <v>2.0211057349967678</v>
      </c>
    </row>
    <row r="403" spans="1:7" x14ac:dyDescent="0.35">
      <c r="A403">
        <v>748</v>
      </c>
      <c r="B403">
        <f t="shared" si="30"/>
        <v>-590.35206382240722</v>
      </c>
      <c r="C403">
        <f t="shared" si="31"/>
        <v>348515.55925937556</v>
      </c>
      <c r="D403">
        <v>19249</v>
      </c>
      <c r="E403">
        <f t="shared" si="32"/>
        <v>1.9249000000000001</v>
      </c>
      <c r="F403">
        <f t="shared" si="33"/>
        <v>-1.4549559833506724</v>
      </c>
      <c r="G403">
        <f t="shared" si="34"/>
        <v>2.1168969134879223</v>
      </c>
    </row>
    <row r="404" spans="1:7" x14ac:dyDescent="0.35">
      <c r="A404">
        <v>748</v>
      </c>
      <c r="B404">
        <f t="shared" si="30"/>
        <v>-590.35206382240722</v>
      </c>
      <c r="C404">
        <f t="shared" si="31"/>
        <v>348515.55925937556</v>
      </c>
      <c r="D404">
        <v>23883</v>
      </c>
      <c r="E404">
        <f t="shared" si="32"/>
        <v>2.3883000000000001</v>
      </c>
      <c r="F404">
        <f t="shared" si="33"/>
        <v>-0.99155598335067241</v>
      </c>
      <c r="G404">
        <f t="shared" si="34"/>
        <v>0.98318326811851897</v>
      </c>
    </row>
    <row r="405" spans="1:7" x14ac:dyDescent="0.35">
      <c r="A405">
        <v>748</v>
      </c>
      <c r="B405">
        <f t="shared" si="30"/>
        <v>-590.35206382240722</v>
      </c>
      <c r="C405">
        <f t="shared" si="31"/>
        <v>348515.55925937556</v>
      </c>
      <c r="D405">
        <v>15750</v>
      </c>
      <c r="E405">
        <f t="shared" si="32"/>
        <v>1.575</v>
      </c>
      <c r="F405">
        <f t="shared" si="33"/>
        <v>-1.8048559833506725</v>
      </c>
      <c r="G405">
        <f t="shared" si="34"/>
        <v>3.2575051206367234</v>
      </c>
    </row>
    <row r="406" spans="1:7" x14ac:dyDescent="0.35">
      <c r="A406">
        <v>748</v>
      </c>
      <c r="B406">
        <f t="shared" si="30"/>
        <v>-590.35206382240722</v>
      </c>
      <c r="C406">
        <f t="shared" si="31"/>
        <v>348515.55925937556</v>
      </c>
      <c r="D406">
        <v>19388</v>
      </c>
      <c r="E406">
        <f t="shared" si="32"/>
        <v>1.9388000000000001</v>
      </c>
      <c r="F406">
        <f t="shared" si="33"/>
        <v>-1.4410559833506724</v>
      </c>
      <c r="G406">
        <f t="shared" si="34"/>
        <v>2.0766423471507736</v>
      </c>
    </row>
    <row r="407" spans="1:7" x14ac:dyDescent="0.35">
      <c r="A407">
        <v>748</v>
      </c>
      <c r="B407">
        <f t="shared" si="30"/>
        <v>-590.35206382240722</v>
      </c>
      <c r="C407">
        <f t="shared" si="31"/>
        <v>348515.55925937556</v>
      </c>
      <c r="D407">
        <v>24824</v>
      </c>
      <c r="E407">
        <f t="shared" si="32"/>
        <v>2.4824000000000002</v>
      </c>
      <c r="F407">
        <f t="shared" si="33"/>
        <v>-0.89745598335067234</v>
      </c>
      <c r="G407">
        <f t="shared" si="34"/>
        <v>0.80542724205192229</v>
      </c>
    </row>
    <row r="408" spans="1:7" x14ac:dyDescent="0.35">
      <c r="A408">
        <v>748</v>
      </c>
      <c r="B408">
        <f t="shared" si="30"/>
        <v>-590.35206382240722</v>
      </c>
      <c r="C408">
        <f t="shared" si="31"/>
        <v>348515.55925937556</v>
      </c>
      <c r="D408">
        <v>25675</v>
      </c>
      <c r="E408">
        <f t="shared" si="32"/>
        <v>2.5674999999999999</v>
      </c>
      <c r="F408">
        <f t="shared" si="33"/>
        <v>-0.81235598335067261</v>
      </c>
      <c r="G408">
        <f t="shared" si="34"/>
        <v>0.65992224368563823</v>
      </c>
    </row>
    <row r="409" spans="1:7" x14ac:dyDescent="0.35">
      <c r="A409">
        <v>748</v>
      </c>
      <c r="B409">
        <f t="shared" si="30"/>
        <v>-590.35206382240722</v>
      </c>
      <c r="C409">
        <f t="shared" si="31"/>
        <v>348515.55925937556</v>
      </c>
      <c r="D409">
        <v>18795</v>
      </c>
      <c r="E409">
        <f t="shared" si="32"/>
        <v>1.8794999999999999</v>
      </c>
      <c r="F409">
        <f t="shared" si="33"/>
        <v>-1.5003559833506726</v>
      </c>
      <c r="G409">
        <f t="shared" si="34"/>
        <v>2.2510680767761637</v>
      </c>
    </row>
    <row r="410" spans="1:7" x14ac:dyDescent="0.35">
      <c r="A410">
        <v>748</v>
      </c>
      <c r="B410">
        <f t="shared" si="30"/>
        <v>-590.35206382240722</v>
      </c>
      <c r="C410">
        <f t="shared" si="31"/>
        <v>348515.55925937556</v>
      </c>
      <c r="D410">
        <v>19010</v>
      </c>
      <c r="E410">
        <f t="shared" si="32"/>
        <v>1.901</v>
      </c>
      <c r="F410">
        <f t="shared" si="33"/>
        <v>-1.4788559833506725</v>
      </c>
      <c r="G410">
        <f t="shared" si="34"/>
        <v>2.1870150194920845</v>
      </c>
    </row>
    <row r="411" spans="1:7" x14ac:dyDescent="0.35">
      <c r="A411">
        <v>748</v>
      </c>
      <c r="B411">
        <f t="shared" si="30"/>
        <v>-590.35206382240722</v>
      </c>
      <c r="C411">
        <f t="shared" si="31"/>
        <v>348515.55925937556</v>
      </c>
      <c r="D411">
        <v>15047</v>
      </c>
      <c r="E411">
        <f t="shared" si="32"/>
        <v>1.5046999999999999</v>
      </c>
      <c r="F411">
        <f t="shared" si="33"/>
        <v>-1.8751559833506726</v>
      </c>
      <c r="G411">
        <f t="shared" si="34"/>
        <v>3.5162099618958278</v>
      </c>
    </row>
    <row r="412" spans="1:7" x14ac:dyDescent="0.35">
      <c r="A412">
        <v>748</v>
      </c>
      <c r="B412">
        <f t="shared" si="30"/>
        <v>-590.35206382240722</v>
      </c>
      <c r="C412">
        <f t="shared" si="31"/>
        <v>348515.55925937556</v>
      </c>
      <c r="D412">
        <v>17791</v>
      </c>
      <c r="E412">
        <f t="shared" si="32"/>
        <v>1.7790999999999999</v>
      </c>
      <c r="F412">
        <f t="shared" si="33"/>
        <v>-1.6007559833506726</v>
      </c>
      <c r="G412">
        <f t="shared" si="34"/>
        <v>2.5624197182329786</v>
      </c>
    </row>
    <row r="413" spans="1:7" x14ac:dyDescent="0.35">
      <c r="A413">
        <v>748</v>
      </c>
      <c r="B413">
        <f t="shared" si="30"/>
        <v>-590.35206382240722</v>
      </c>
      <c r="C413">
        <f t="shared" si="31"/>
        <v>348515.55925937556</v>
      </c>
      <c r="D413">
        <v>25724</v>
      </c>
      <c r="E413">
        <f t="shared" si="32"/>
        <v>2.5724</v>
      </c>
      <c r="F413">
        <f t="shared" si="33"/>
        <v>-0.80745598335067248</v>
      </c>
      <c r="G413">
        <f t="shared" si="34"/>
        <v>0.65198516504880144</v>
      </c>
    </row>
    <row r="414" spans="1:7" x14ac:dyDescent="0.35">
      <c r="A414">
        <v>748</v>
      </c>
      <c r="B414">
        <f t="shared" si="30"/>
        <v>-590.35206382240722</v>
      </c>
      <c r="C414">
        <f t="shared" si="31"/>
        <v>348515.55925937556</v>
      </c>
      <c r="D414">
        <v>17002</v>
      </c>
      <c r="E414">
        <f t="shared" si="32"/>
        <v>1.7001999999999999</v>
      </c>
      <c r="F414">
        <f t="shared" si="33"/>
        <v>-1.6796559833506726</v>
      </c>
      <c r="G414">
        <f t="shared" si="34"/>
        <v>2.8212442224057148</v>
      </c>
    </row>
    <row r="415" spans="1:7" x14ac:dyDescent="0.35">
      <c r="A415">
        <v>748</v>
      </c>
      <c r="B415">
        <f t="shared" si="30"/>
        <v>-590.35206382240722</v>
      </c>
      <c r="C415">
        <f t="shared" si="31"/>
        <v>348515.55925937556</v>
      </c>
      <c r="D415">
        <v>24355</v>
      </c>
      <c r="E415">
        <f t="shared" si="32"/>
        <v>2.4355000000000002</v>
      </c>
      <c r="F415">
        <f t="shared" si="33"/>
        <v>-0.94435598335067228</v>
      </c>
      <c r="G415">
        <f t="shared" si="34"/>
        <v>0.89180822329021525</v>
      </c>
    </row>
    <row r="416" spans="1:7" x14ac:dyDescent="0.35">
      <c r="A416">
        <v>748</v>
      </c>
      <c r="B416">
        <f t="shared" si="30"/>
        <v>-590.35206382240722</v>
      </c>
      <c r="C416">
        <f t="shared" si="31"/>
        <v>348515.55925937556</v>
      </c>
      <c r="D416">
        <v>23154</v>
      </c>
      <c r="E416">
        <f t="shared" si="32"/>
        <v>2.3153999999999999</v>
      </c>
      <c r="F416">
        <f t="shared" si="33"/>
        <v>-1.0644559833506726</v>
      </c>
      <c r="G416">
        <f t="shared" si="34"/>
        <v>1.1330665404910474</v>
      </c>
    </row>
    <row r="417" spans="1:7" x14ac:dyDescent="0.35">
      <c r="A417">
        <v>748</v>
      </c>
      <c r="B417">
        <f t="shared" si="30"/>
        <v>-590.35206382240722</v>
      </c>
      <c r="C417">
        <f t="shared" si="31"/>
        <v>348515.55925937556</v>
      </c>
      <c r="D417">
        <v>20238</v>
      </c>
      <c r="E417">
        <f t="shared" si="32"/>
        <v>2.0238</v>
      </c>
      <c r="F417">
        <f t="shared" si="33"/>
        <v>-1.3560559833506725</v>
      </c>
      <c r="G417">
        <f t="shared" si="34"/>
        <v>1.8388878299811593</v>
      </c>
    </row>
    <row r="418" spans="1:7" x14ac:dyDescent="0.35">
      <c r="A418">
        <v>748</v>
      </c>
      <c r="B418">
        <f t="shared" si="30"/>
        <v>-590.35206382240722</v>
      </c>
      <c r="C418">
        <f t="shared" si="31"/>
        <v>348515.55925937556</v>
      </c>
      <c r="D418">
        <v>17676</v>
      </c>
      <c r="E418">
        <f t="shared" si="32"/>
        <v>1.7676000000000001</v>
      </c>
      <c r="F418">
        <f t="shared" si="33"/>
        <v>-1.6122559833506724</v>
      </c>
      <c r="G418">
        <f t="shared" si="34"/>
        <v>2.5993693558500439</v>
      </c>
    </row>
    <row r="419" spans="1:7" x14ac:dyDescent="0.35">
      <c r="A419">
        <v>748</v>
      </c>
      <c r="B419">
        <f t="shared" si="30"/>
        <v>-590.35206382240722</v>
      </c>
      <c r="C419">
        <f t="shared" si="31"/>
        <v>348515.55925937556</v>
      </c>
      <c r="D419">
        <v>23336</v>
      </c>
      <c r="E419">
        <f t="shared" si="32"/>
        <v>2.3336000000000001</v>
      </c>
      <c r="F419">
        <f t="shared" si="33"/>
        <v>-1.0462559833506724</v>
      </c>
      <c r="G419">
        <f t="shared" si="34"/>
        <v>1.0946515826970824</v>
      </c>
    </row>
    <row r="420" spans="1:7" x14ac:dyDescent="0.35">
      <c r="A420">
        <v>748</v>
      </c>
      <c r="B420">
        <f t="shared" si="30"/>
        <v>-590.35206382240722</v>
      </c>
      <c r="C420">
        <f t="shared" si="31"/>
        <v>348515.55925937556</v>
      </c>
      <c r="D420">
        <v>21993</v>
      </c>
      <c r="E420">
        <f t="shared" si="32"/>
        <v>2.1993</v>
      </c>
      <c r="F420">
        <f t="shared" si="33"/>
        <v>-1.1805559833506725</v>
      </c>
      <c r="G420">
        <f t="shared" si="34"/>
        <v>1.3937124298250732</v>
      </c>
    </row>
    <row r="421" spans="1:7" x14ac:dyDescent="0.35">
      <c r="A421">
        <v>748</v>
      </c>
      <c r="B421">
        <f t="shared" si="30"/>
        <v>-590.35206382240722</v>
      </c>
      <c r="C421">
        <f t="shared" si="31"/>
        <v>348515.55925937556</v>
      </c>
      <c r="D421">
        <v>24088</v>
      </c>
      <c r="E421">
        <f t="shared" si="32"/>
        <v>2.4087999999999998</v>
      </c>
      <c r="F421">
        <f t="shared" si="33"/>
        <v>-0.97105598335067267</v>
      </c>
      <c r="G421">
        <f t="shared" si="34"/>
        <v>0.94294972280114187</v>
      </c>
    </row>
    <row r="422" spans="1:7" x14ac:dyDescent="0.35">
      <c r="A422">
        <v>748</v>
      </c>
      <c r="B422">
        <f t="shared" si="30"/>
        <v>-590.35206382240722</v>
      </c>
      <c r="C422">
        <f t="shared" si="31"/>
        <v>348515.55925937556</v>
      </c>
      <c r="D422">
        <v>22032</v>
      </c>
      <c r="E422">
        <f t="shared" si="32"/>
        <v>2.2031999999999998</v>
      </c>
      <c r="F422">
        <f t="shared" si="33"/>
        <v>-1.1766559833506727</v>
      </c>
      <c r="G422">
        <f t="shared" si="34"/>
        <v>1.3845193031549385</v>
      </c>
    </row>
    <row r="423" spans="1:7" x14ac:dyDescent="0.35">
      <c r="A423">
        <v>748</v>
      </c>
      <c r="B423">
        <f t="shared" si="30"/>
        <v>-590.35206382240722</v>
      </c>
      <c r="C423">
        <f t="shared" si="31"/>
        <v>348515.55925937556</v>
      </c>
      <c r="D423">
        <v>21718</v>
      </c>
      <c r="E423">
        <f t="shared" si="32"/>
        <v>2.1718000000000002</v>
      </c>
      <c r="F423">
        <f t="shared" si="33"/>
        <v>-1.2080559833506723</v>
      </c>
      <c r="G423">
        <f t="shared" si="34"/>
        <v>1.4593992589093598</v>
      </c>
    </row>
    <row r="424" spans="1:7" x14ac:dyDescent="0.35">
      <c r="A424">
        <v>1274</v>
      </c>
      <c r="B424">
        <f t="shared" si="30"/>
        <v>-64.352063822407217</v>
      </c>
      <c r="C424">
        <f t="shared" si="31"/>
        <v>4141.1881182031721</v>
      </c>
      <c r="D424">
        <v>44150</v>
      </c>
      <c r="E424">
        <f t="shared" si="32"/>
        <v>4.415</v>
      </c>
      <c r="F424">
        <f t="shared" si="33"/>
        <v>1.0351440166493275</v>
      </c>
      <c r="G424">
        <f t="shared" si="34"/>
        <v>1.0715231352049033</v>
      </c>
    </row>
    <row r="425" spans="1:7" x14ac:dyDescent="0.35">
      <c r="A425">
        <v>1274</v>
      </c>
      <c r="B425">
        <f t="shared" si="30"/>
        <v>-64.352063822407217</v>
      </c>
      <c r="C425">
        <f t="shared" si="31"/>
        <v>4141.1881182031721</v>
      </c>
      <c r="D425">
        <v>30837</v>
      </c>
      <c r="E425">
        <f t="shared" si="32"/>
        <v>3.0836999999999999</v>
      </c>
      <c r="F425">
        <f t="shared" si="33"/>
        <v>-0.29615598335067261</v>
      </c>
      <c r="G425">
        <f t="shared" si="34"/>
        <v>8.7708366474403873E-2</v>
      </c>
    </row>
    <row r="426" spans="1:7" x14ac:dyDescent="0.35">
      <c r="A426">
        <v>1274</v>
      </c>
      <c r="B426">
        <f t="shared" si="30"/>
        <v>-64.352063822407217</v>
      </c>
      <c r="C426">
        <f t="shared" si="31"/>
        <v>4141.1881182031721</v>
      </c>
      <c r="D426">
        <v>23333</v>
      </c>
      <c r="E426">
        <f t="shared" si="32"/>
        <v>2.3332999999999999</v>
      </c>
      <c r="F426">
        <f t="shared" si="33"/>
        <v>-1.0465559833506726</v>
      </c>
      <c r="G426">
        <f t="shared" si="34"/>
        <v>1.0952794262870933</v>
      </c>
    </row>
    <row r="427" spans="1:7" x14ac:dyDescent="0.35">
      <c r="A427">
        <v>1274</v>
      </c>
      <c r="B427">
        <f t="shared" si="30"/>
        <v>-64.352063822407217</v>
      </c>
      <c r="C427">
        <f t="shared" si="31"/>
        <v>4141.1881182031721</v>
      </c>
      <c r="D427">
        <v>33333</v>
      </c>
      <c r="E427">
        <f t="shared" si="32"/>
        <v>3.3332999999999999</v>
      </c>
      <c r="F427">
        <f t="shared" si="33"/>
        <v>-4.655598335067257E-2</v>
      </c>
      <c r="G427">
        <f t="shared" si="34"/>
        <v>2.1674595857481016E-3</v>
      </c>
    </row>
    <row r="428" spans="1:7" x14ac:dyDescent="0.35">
      <c r="A428">
        <v>1274</v>
      </c>
      <c r="B428">
        <f t="shared" si="30"/>
        <v>-64.352063822407217</v>
      </c>
      <c r="C428">
        <f t="shared" si="31"/>
        <v>4141.1881182031721</v>
      </c>
      <c r="D428">
        <v>33333</v>
      </c>
      <c r="E428">
        <f t="shared" si="32"/>
        <v>3.3332999999999999</v>
      </c>
      <c r="F428">
        <f t="shared" si="33"/>
        <v>-4.655598335067257E-2</v>
      </c>
      <c r="G428">
        <f t="shared" si="34"/>
        <v>2.1674595857481016E-3</v>
      </c>
    </row>
    <row r="429" spans="1:7" x14ac:dyDescent="0.35">
      <c r="A429">
        <v>1274</v>
      </c>
      <c r="B429">
        <f t="shared" si="30"/>
        <v>-64.352063822407217</v>
      </c>
      <c r="C429">
        <f t="shared" si="31"/>
        <v>4141.1881182031721</v>
      </c>
      <c r="D429">
        <v>30923</v>
      </c>
      <c r="E429">
        <f t="shared" si="32"/>
        <v>3.0922999999999998</v>
      </c>
      <c r="F429">
        <f t="shared" si="33"/>
        <v>-0.28755598335067267</v>
      </c>
      <c r="G429">
        <f t="shared" si="34"/>
        <v>8.2688443560772346E-2</v>
      </c>
    </row>
    <row r="430" spans="1:7" x14ac:dyDescent="0.35">
      <c r="A430">
        <v>1274</v>
      </c>
      <c r="B430">
        <f t="shared" si="30"/>
        <v>-64.352063822407217</v>
      </c>
      <c r="C430">
        <f t="shared" si="31"/>
        <v>4141.1881182031721</v>
      </c>
      <c r="D430">
        <v>31077</v>
      </c>
      <c r="E430">
        <f t="shared" si="32"/>
        <v>3.1076999999999999</v>
      </c>
      <c r="F430">
        <f t="shared" si="33"/>
        <v>-0.27215598335067259</v>
      </c>
      <c r="G430">
        <f t="shared" si="34"/>
        <v>7.4068879273571572E-2</v>
      </c>
    </row>
    <row r="431" spans="1:7" x14ac:dyDescent="0.35">
      <c r="A431">
        <v>1274</v>
      </c>
      <c r="B431">
        <f t="shared" si="30"/>
        <v>-64.352063822407217</v>
      </c>
      <c r="C431">
        <f t="shared" si="31"/>
        <v>4141.1881182031721</v>
      </c>
      <c r="D431">
        <v>31398</v>
      </c>
      <c r="E431">
        <f t="shared" si="32"/>
        <v>3.1398000000000001</v>
      </c>
      <c r="F431">
        <f t="shared" si="33"/>
        <v>-0.24005598335067235</v>
      </c>
      <c r="G431">
        <f t="shared" si="34"/>
        <v>5.7626875142458282E-2</v>
      </c>
    </row>
    <row r="432" spans="1:7" x14ac:dyDescent="0.35">
      <c r="A432">
        <v>1274</v>
      </c>
      <c r="B432">
        <f t="shared" si="30"/>
        <v>-64.352063822407217</v>
      </c>
      <c r="C432">
        <f t="shared" si="31"/>
        <v>4141.1881182031721</v>
      </c>
      <c r="D432">
        <v>31099</v>
      </c>
      <c r="E432">
        <f t="shared" si="32"/>
        <v>3.1099000000000001</v>
      </c>
      <c r="F432">
        <f t="shared" si="33"/>
        <v>-0.26995598335067239</v>
      </c>
      <c r="G432">
        <f t="shared" si="34"/>
        <v>7.2876232946828504E-2</v>
      </c>
    </row>
    <row r="433" spans="1:7" x14ac:dyDescent="0.35">
      <c r="A433">
        <v>1274</v>
      </c>
      <c r="B433">
        <f t="shared" si="30"/>
        <v>-64.352063822407217</v>
      </c>
      <c r="C433">
        <f t="shared" si="31"/>
        <v>4141.1881182031721</v>
      </c>
      <c r="D433">
        <v>26819</v>
      </c>
      <c r="E433">
        <f t="shared" si="32"/>
        <v>2.6819000000000002</v>
      </c>
      <c r="F433">
        <f t="shared" si="33"/>
        <v>-0.69795598335067233</v>
      </c>
      <c r="G433">
        <f t="shared" si="34"/>
        <v>0.487142554695004</v>
      </c>
    </row>
    <row r="434" spans="1:7" x14ac:dyDescent="0.35">
      <c r="A434">
        <v>1274</v>
      </c>
      <c r="B434">
        <f t="shared" si="30"/>
        <v>-64.352063822407217</v>
      </c>
      <c r="C434">
        <f t="shared" si="31"/>
        <v>4141.1881182031721</v>
      </c>
      <c r="D434">
        <v>27873</v>
      </c>
      <c r="E434">
        <f t="shared" si="32"/>
        <v>2.7873000000000001</v>
      </c>
      <c r="F434">
        <f t="shared" si="33"/>
        <v>-0.59255598335067239</v>
      </c>
      <c r="G434">
        <f t="shared" si="34"/>
        <v>0.35112259340468233</v>
      </c>
    </row>
    <row r="435" spans="1:7" x14ac:dyDescent="0.35">
      <c r="A435">
        <v>1274</v>
      </c>
      <c r="B435">
        <f t="shared" si="30"/>
        <v>-64.352063822407217</v>
      </c>
      <c r="C435">
        <f t="shared" si="31"/>
        <v>4141.1881182031721</v>
      </c>
      <c r="D435">
        <v>32551</v>
      </c>
      <c r="E435">
        <f t="shared" si="32"/>
        <v>3.2551000000000001</v>
      </c>
      <c r="F435">
        <f t="shared" si="33"/>
        <v>-0.12475598335067239</v>
      </c>
      <c r="G435">
        <f t="shared" si="34"/>
        <v>1.5564055381793248E-2</v>
      </c>
    </row>
    <row r="436" spans="1:7" x14ac:dyDescent="0.35">
      <c r="A436">
        <v>1274</v>
      </c>
      <c r="B436">
        <f t="shared" si="30"/>
        <v>-64.352063822407217</v>
      </c>
      <c r="C436">
        <f t="shared" si="31"/>
        <v>4141.1881182031721</v>
      </c>
      <c r="D436">
        <v>29927</v>
      </c>
      <c r="E436">
        <f t="shared" si="32"/>
        <v>2.9927000000000001</v>
      </c>
      <c r="F436">
        <f t="shared" si="33"/>
        <v>-0.38715598335067236</v>
      </c>
      <c r="G436">
        <f t="shared" si="34"/>
        <v>0.14988975544422609</v>
      </c>
    </row>
    <row r="437" spans="1:7" x14ac:dyDescent="0.35">
      <c r="A437">
        <v>1274</v>
      </c>
      <c r="B437">
        <f t="shared" si="30"/>
        <v>-64.352063822407217</v>
      </c>
      <c r="C437">
        <f t="shared" si="31"/>
        <v>4141.1881182031721</v>
      </c>
      <c r="D437">
        <v>32572</v>
      </c>
      <c r="E437">
        <f t="shared" si="32"/>
        <v>3.2572000000000001</v>
      </c>
      <c r="F437">
        <f t="shared" si="33"/>
        <v>-0.1226559833506724</v>
      </c>
      <c r="G437">
        <f t="shared" si="34"/>
        <v>1.5044490251720426E-2</v>
      </c>
    </row>
    <row r="438" spans="1:7" x14ac:dyDescent="0.35">
      <c r="A438">
        <v>1274</v>
      </c>
      <c r="B438">
        <f t="shared" si="30"/>
        <v>-64.352063822407217</v>
      </c>
      <c r="C438">
        <f t="shared" si="31"/>
        <v>4141.1881182031721</v>
      </c>
      <c r="D438">
        <v>30399</v>
      </c>
      <c r="E438">
        <f t="shared" si="32"/>
        <v>3.0398999999999998</v>
      </c>
      <c r="F438">
        <f t="shared" si="33"/>
        <v>-0.33995598335067267</v>
      </c>
      <c r="G438">
        <f t="shared" si="34"/>
        <v>0.11557007061592284</v>
      </c>
    </row>
    <row r="439" spans="1:7" x14ac:dyDescent="0.35">
      <c r="A439">
        <v>1274</v>
      </c>
      <c r="B439">
        <f t="shared" si="30"/>
        <v>-64.352063822407217</v>
      </c>
      <c r="C439">
        <f t="shared" si="31"/>
        <v>4141.1881182031721</v>
      </c>
      <c r="D439">
        <v>32063</v>
      </c>
      <c r="E439">
        <f t="shared" si="32"/>
        <v>3.2063000000000001</v>
      </c>
      <c r="F439">
        <f t="shared" si="33"/>
        <v>-0.17355598335067235</v>
      </c>
      <c r="G439">
        <f t="shared" si="34"/>
        <v>3.0121679356818858E-2</v>
      </c>
    </row>
    <row r="440" spans="1:7" x14ac:dyDescent="0.35">
      <c r="A440">
        <v>1274</v>
      </c>
      <c r="B440">
        <f t="shared" si="30"/>
        <v>-64.352063822407217</v>
      </c>
      <c r="C440">
        <f t="shared" si="31"/>
        <v>4141.1881182031721</v>
      </c>
      <c r="D440">
        <v>32629</v>
      </c>
      <c r="E440">
        <f t="shared" si="32"/>
        <v>3.2629000000000001</v>
      </c>
      <c r="F440">
        <f t="shared" si="33"/>
        <v>-0.11695598335067237</v>
      </c>
      <c r="G440">
        <f t="shared" si="34"/>
        <v>1.3678702041522751E-2</v>
      </c>
    </row>
    <row r="441" spans="1:7" x14ac:dyDescent="0.35">
      <c r="A441">
        <v>1274</v>
      </c>
      <c r="B441">
        <f t="shared" si="30"/>
        <v>-64.352063822407217</v>
      </c>
      <c r="C441">
        <f t="shared" si="31"/>
        <v>4141.1881182031721</v>
      </c>
      <c r="D441">
        <v>32924</v>
      </c>
      <c r="E441">
        <f t="shared" si="32"/>
        <v>3.2924000000000002</v>
      </c>
      <c r="F441">
        <f t="shared" si="33"/>
        <v>-8.7455983350672284E-2</v>
      </c>
      <c r="G441">
        <f t="shared" si="34"/>
        <v>7.6485490238330676E-3</v>
      </c>
    </row>
    <row r="442" spans="1:7" x14ac:dyDescent="0.35">
      <c r="A442">
        <v>1274</v>
      </c>
      <c r="B442">
        <f t="shared" si="30"/>
        <v>-64.352063822407217</v>
      </c>
      <c r="C442">
        <f t="shared" si="31"/>
        <v>4141.1881182031721</v>
      </c>
      <c r="D442">
        <v>34144</v>
      </c>
      <c r="E442">
        <f t="shared" si="32"/>
        <v>3.4144000000000001</v>
      </c>
      <c r="F442">
        <f t="shared" si="33"/>
        <v>3.4544016649327602E-2</v>
      </c>
      <c r="G442">
        <f t="shared" si="34"/>
        <v>1.1932890862690227E-3</v>
      </c>
    </row>
    <row r="443" spans="1:7" x14ac:dyDescent="0.35">
      <c r="A443">
        <v>1274</v>
      </c>
      <c r="B443">
        <f t="shared" si="30"/>
        <v>-64.352063822407217</v>
      </c>
      <c r="C443">
        <f t="shared" si="31"/>
        <v>4141.1881182031721</v>
      </c>
      <c r="D443">
        <v>33322</v>
      </c>
      <c r="E443">
        <f t="shared" si="32"/>
        <v>3.3321999999999998</v>
      </c>
      <c r="F443">
        <f t="shared" si="33"/>
        <v>-4.765598335067267E-2</v>
      </c>
      <c r="G443">
        <f t="shared" si="34"/>
        <v>2.2710927491195907E-3</v>
      </c>
    </row>
    <row r="444" spans="1:7" x14ac:dyDescent="0.35">
      <c r="A444">
        <v>1274</v>
      </c>
      <c r="B444">
        <f t="shared" si="30"/>
        <v>-64.352063822407217</v>
      </c>
      <c r="C444">
        <f t="shared" si="31"/>
        <v>4141.1881182031721</v>
      </c>
      <c r="D444">
        <v>33767</v>
      </c>
      <c r="E444">
        <f t="shared" si="32"/>
        <v>3.3767</v>
      </c>
      <c r="F444">
        <f t="shared" si="33"/>
        <v>-3.1559833506724644E-3</v>
      </c>
      <c r="G444">
        <f t="shared" si="34"/>
        <v>9.960230909721795E-6</v>
      </c>
    </row>
    <row r="445" spans="1:7" x14ac:dyDescent="0.35">
      <c r="A445">
        <v>1274</v>
      </c>
      <c r="B445">
        <f t="shared" si="30"/>
        <v>-64.352063822407217</v>
      </c>
      <c r="C445">
        <f t="shared" si="31"/>
        <v>4141.1881182031721</v>
      </c>
      <c r="D445">
        <v>32203</v>
      </c>
      <c r="E445">
        <f t="shared" si="32"/>
        <v>3.2202999999999999</v>
      </c>
      <c r="F445">
        <f t="shared" si="33"/>
        <v>-0.15955598335067256</v>
      </c>
      <c r="G445">
        <f t="shared" si="34"/>
        <v>2.5458111823000097E-2</v>
      </c>
    </row>
    <row r="446" spans="1:7" x14ac:dyDescent="0.35">
      <c r="A446">
        <v>1274</v>
      </c>
      <c r="B446">
        <f t="shared" si="30"/>
        <v>-64.352063822407217</v>
      </c>
      <c r="C446">
        <f t="shared" si="31"/>
        <v>4141.1881182031721</v>
      </c>
      <c r="D446">
        <v>32680</v>
      </c>
      <c r="E446">
        <f t="shared" si="32"/>
        <v>3.2679999999999998</v>
      </c>
      <c r="F446">
        <f t="shared" si="33"/>
        <v>-0.11185598335067271</v>
      </c>
      <c r="G446">
        <f t="shared" si="34"/>
        <v>1.2511761011345969E-2</v>
      </c>
    </row>
    <row r="447" spans="1:7" x14ac:dyDescent="0.35">
      <c r="A447">
        <v>1274</v>
      </c>
      <c r="B447">
        <f t="shared" si="30"/>
        <v>-64.352063822407217</v>
      </c>
      <c r="C447">
        <f t="shared" si="31"/>
        <v>4141.1881182031721</v>
      </c>
      <c r="D447">
        <v>28268</v>
      </c>
      <c r="E447">
        <f t="shared" si="32"/>
        <v>2.8268</v>
      </c>
      <c r="F447">
        <f t="shared" si="33"/>
        <v>-0.55305598335067252</v>
      </c>
      <c r="G447">
        <f t="shared" si="34"/>
        <v>0.30587092071997934</v>
      </c>
    </row>
    <row r="448" spans="1:7" x14ac:dyDescent="0.35">
      <c r="A448">
        <v>1274</v>
      </c>
      <c r="B448">
        <f t="shared" si="30"/>
        <v>-64.352063822407217</v>
      </c>
      <c r="C448">
        <f t="shared" si="31"/>
        <v>4141.1881182031721</v>
      </c>
      <c r="D448">
        <v>26876</v>
      </c>
      <c r="E448">
        <f t="shared" si="32"/>
        <v>2.6876000000000002</v>
      </c>
      <c r="F448">
        <f t="shared" si="33"/>
        <v>-0.69225598335067229</v>
      </c>
      <c r="G448">
        <f t="shared" si="34"/>
        <v>0.47921834648480627</v>
      </c>
    </row>
    <row r="449" spans="1:7" x14ac:dyDescent="0.35">
      <c r="A449">
        <v>1274</v>
      </c>
      <c r="B449">
        <f t="shared" si="30"/>
        <v>-64.352063822407217</v>
      </c>
      <c r="C449">
        <f t="shared" si="31"/>
        <v>4141.1881182031721</v>
      </c>
      <c r="D449">
        <v>21041</v>
      </c>
      <c r="E449">
        <f t="shared" si="32"/>
        <v>2.1040999999999999</v>
      </c>
      <c r="F449">
        <f t="shared" si="33"/>
        <v>-1.2757559833506726</v>
      </c>
      <c r="G449">
        <f t="shared" si="34"/>
        <v>1.6275533290550417</v>
      </c>
    </row>
    <row r="450" spans="1:7" x14ac:dyDescent="0.35">
      <c r="A450">
        <v>1274</v>
      </c>
      <c r="B450">
        <f t="shared" si="30"/>
        <v>-64.352063822407217</v>
      </c>
      <c r="C450">
        <f t="shared" si="31"/>
        <v>4141.1881182031721</v>
      </c>
      <c r="D450">
        <v>19130</v>
      </c>
      <c r="E450">
        <f t="shared" si="32"/>
        <v>1.913</v>
      </c>
      <c r="F450">
        <f t="shared" si="33"/>
        <v>-1.4668559833506725</v>
      </c>
      <c r="G450">
        <f t="shared" si="34"/>
        <v>2.1516664758916684</v>
      </c>
    </row>
    <row r="451" spans="1:7" x14ac:dyDescent="0.35">
      <c r="A451">
        <v>1274</v>
      </c>
      <c r="B451">
        <f t="shared" ref="B451:B514" si="35">A451-$J$1</f>
        <v>-64.352063822407217</v>
      </c>
      <c r="C451">
        <f t="shared" ref="C451:C514" si="36">B451^2</f>
        <v>4141.1881182031721</v>
      </c>
      <c r="D451">
        <v>28393</v>
      </c>
      <c r="E451">
        <f t="shared" ref="E451:E514" si="37">D451/10000</f>
        <v>2.8393000000000002</v>
      </c>
      <c r="F451">
        <f t="shared" ref="F451:F514" si="38">E451-$J$2</f>
        <v>-0.54055598335067234</v>
      </c>
      <c r="G451">
        <f t="shared" ref="G451:G514" si="39">F451^2</f>
        <v>0.29220077113621234</v>
      </c>
    </row>
    <row r="452" spans="1:7" x14ac:dyDescent="0.35">
      <c r="A452">
        <v>1274</v>
      </c>
      <c r="B452">
        <f t="shared" si="35"/>
        <v>-64.352063822407217</v>
      </c>
      <c r="C452">
        <f t="shared" si="36"/>
        <v>4141.1881182031721</v>
      </c>
      <c r="D452">
        <v>11293</v>
      </c>
      <c r="E452">
        <f t="shared" si="37"/>
        <v>1.1293</v>
      </c>
      <c r="F452">
        <f t="shared" si="38"/>
        <v>-2.2505559833506723</v>
      </c>
      <c r="G452">
        <f t="shared" si="39"/>
        <v>5.0650022341955117</v>
      </c>
    </row>
    <row r="453" spans="1:7" x14ac:dyDescent="0.35">
      <c r="A453">
        <v>1274</v>
      </c>
      <c r="B453">
        <f t="shared" si="35"/>
        <v>-64.352063822407217</v>
      </c>
      <c r="C453">
        <f t="shared" si="36"/>
        <v>4141.1881182031721</v>
      </c>
      <c r="D453">
        <v>23001</v>
      </c>
      <c r="E453">
        <f t="shared" si="37"/>
        <v>2.3001</v>
      </c>
      <c r="F453">
        <f t="shared" si="38"/>
        <v>-1.0797559833506725</v>
      </c>
      <c r="G453">
        <f t="shared" si="39"/>
        <v>1.1658729835815778</v>
      </c>
    </row>
    <row r="454" spans="1:7" x14ac:dyDescent="0.35">
      <c r="A454">
        <v>1904</v>
      </c>
      <c r="B454">
        <f t="shared" si="35"/>
        <v>565.64793617759278</v>
      </c>
      <c r="C454">
        <f t="shared" si="36"/>
        <v>319957.58770197007</v>
      </c>
      <c r="D454">
        <v>12497</v>
      </c>
      <c r="E454">
        <f t="shared" si="37"/>
        <v>1.2497</v>
      </c>
      <c r="F454">
        <f t="shared" si="38"/>
        <v>-2.1301559833506722</v>
      </c>
      <c r="G454">
        <f t="shared" si="39"/>
        <v>4.5375645134046696</v>
      </c>
    </row>
    <row r="455" spans="1:7" x14ac:dyDescent="0.35">
      <c r="A455">
        <v>1904</v>
      </c>
      <c r="B455">
        <f t="shared" si="35"/>
        <v>565.64793617759278</v>
      </c>
      <c r="C455">
        <f t="shared" si="36"/>
        <v>319957.58770197007</v>
      </c>
      <c r="D455">
        <v>13770</v>
      </c>
      <c r="E455">
        <f t="shared" si="37"/>
        <v>1.377</v>
      </c>
      <c r="F455">
        <f t="shared" si="38"/>
        <v>-2.0028559833506723</v>
      </c>
      <c r="G455">
        <f t="shared" si="39"/>
        <v>4.0114320900435887</v>
      </c>
    </row>
    <row r="456" spans="1:7" x14ac:dyDescent="0.35">
      <c r="A456">
        <v>1904</v>
      </c>
      <c r="B456">
        <f t="shared" si="35"/>
        <v>565.64793617759278</v>
      </c>
      <c r="C456">
        <f t="shared" si="36"/>
        <v>319957.58770197007</v>
      </c>
      <c r="D456">
        <v>13248</v>
      </c>
      <c r="E456">
        <f t="shared" si="37"/>
        <v>1.3248</v>
      </c>
      <c r="F456">
        <f t="shared" si="38"/>
        <v>-2.0550559833506723</v>
      </c>
      <c r="G456">
        <f t="shared" si="39"/>
        <v>4.2232550947053991</v>
      </c>
    </row>
    <row r="457" spans="1:7" x14ac:dyDescent="0.35">
      <c r="A457">
        <v>1904</v>
      </c>
      <c r="B457">
        <f t="shared" si="35"/>
        <v>565.64793617759278</v>
      </c>
      <c r="C457">
        <f t="shared" si="36"/>
        <v>319957.58770197007</v>
      </c>
      <c r="D457">
        <v>14358</v>
      </c>
      <c r="E457">
        <f t="shared" si="37"/>
        <v>1.4358</v>
      </c>
      <c r="F457">
        <f t="shared" si="38"/>
        <v>-1.9440559833506725</v>
      </c>
      <c r="G457">
        <f t="shared" si="39"/>
        <v>3.7793536664015503</v>
      </c>
    </row>
    <row r="458" spans="1:7" x14ac:dyDescent="0.35">
      <c r="A458">
        <v>1904</v>
      </c>
      <c r="B458">
        <f t="shared" si="35"/>
        <v>565.64793617759278</v>
      </c>
      <c r="C458">
        <f t="shared" si="36"/>
        <v>319957.58770197007</v>
      </c>
      <c r="D458">
        <v>13477</v>
      </c>
      <c r="E458">
        <f t="shared" si="37"/>
        <v>1.3476999999999999</v>
      </c>
      <c r="F458">
        <f t="shared" si="38"/>
        <v>-2.0321559833506724</v>
      </c>
      <c r="G458">
        <f t="shared" si="39"/>
        <v>4.1296579406679381</v>
      </c>
    </row>
    <row r="459" spans="1:7" x14ac:dyDescent="0.35">
      <c r="A459">
        <v>1904</v>
      </c>
      <c r="B459">
        <f t="shared" si="35"/>
        <v>565.64793617759278</v>
      </c>
      <c r="C459">
        <f t="shared" si="36"/>
        <v>319957.58770197007</v>
      </c>
      <c r="D459">
        <v>13962</v>
      </c>
      <c r="E459">
        <f t="shared" si="37"/>
        <v>1.3962000000000001</v>
      </c>
      <c r="F459">
        <f t="shared" si="38"/>
        <v>-1.9836559833506724</v>
      </c>
      <c r="G459">
        <f t="shared" si="39"/>
        <v>3.934891060282923</v>
      </c>
    </row>
    <row r="460" spans="1:7" x14ac:dyDescent="0.35">
      <c r="A460">
        <v>1904</v>
      </c>
      <c r="B460">
        <f t="shared" si="35"/>
        <v>565.64793617759278</v>
      </c>
      <c r="C460">
        <f t="shared" si="36"/>
        <v>319957.58770197007</v>
      </c>
      <c r="D460">
        <v>13178</v>
      </c>
      <c r="E460">
        <f t="shared" si="37"/>
        <v>1.3178000000000001</v>
      </c>
      <c r="F460">
        <f t="shared" si="38"/>
        <v>-2.0620559833506724</v>
      </c>
      <c r="G460">
        <f t="shared" si="39"/>
        <v>4.2520748784723086</v>
      </c>
    </row>
    <row r="461" spans="1:7" x14ac:dyDescent="0.35">
      <c r="A461">
        <v>1904</v>
      </c>
      <c r="B461">
        <f t="shared" si="35"/>
        <v>565.64793617759278</v>
      </c>
      <c r="C461">
        <f t="shared" si="36"/>
        <v>319957.58770197007</v>
      </c>
      <c r="D461">
        <v>13069</v>
      </c>
      <c r="E461">
        <f t="shared" si="37"/>
        <v>1.3069</v>
      </c>
      <c r="F461">
        <f t="shared" si="38"/>
        <v>-2.0729559833506723</v>
      </c>
      <c r="G461">
        <f t="shared" si="39"/>
        <v>4.2971465089093526</v>
      </c>
    </row>
    <row r="462" spans="1:7" x14ac:dyDescent="0.35">
      <c r="A462">
        <v>1904</v>
      </c>
      <c r="B462">
        <f t="shared" si="35"/>
        <v>565.64793617759278</v>
      </c>
      <c r="C462">
        <f t="shared" si="36"/>
        <v>319957.58770197007</v>
      </c>
      <c r="D462">
        <v>14877</v>
      </c>
      <c r="E462">
        <f t="shared" si="37"/>
        <v>1.4877</v>
      </c>
      <c r="F462">
        <f t="shared" si="38"/>
        <v>-1.8921559833506725</v>
      </c>
      <c r="G462">
        <f t="shared" si="39"/>
        <v>3.5802542653297502</v>
      </c>
    </row>
    <row r="463" spans="1:7" x14ac:dyDescent="0.35">
      <c r="A463">
        <v>1904</v>
      </c>
      <c r="B463">
        <f t="shared" si="35"/>
        <v>565.64793617759278</v>
      </c>
      <c r="C463">
        <f t="shared" si="36"/>
        <v>319957.58770197007</v>
      </c>
      <c r="D463">
        <v>17920</v>
      </c>
      <c r="E463">
        <f t="shared" si="37"/>
        <v>1.792</v>
      </c>
      <c r="F463">
        <f t="shared" si="38"/>
        <v>-1.5878559833506725</v>
      </c>
      <c r="G463">
        <f t="shared" si="39"/>
        <v>2.5212866238625309</v>
      </c>
    </row>
    <row r="464" spans="1:7" x14ac:dyDescent="0.35">
      <c r="A464">
        <v>1904</v>
      </c>
      <c r="B464">
        <f t="shared" si="35"/>
        <v>565.64793617759278</v>
      </c>
      <c r="C464">
        <f t="shared" si="36"/>
        <v>319957.58770197007</v>
      </c>
      <c r="D464">
        <v>18116</v>
      </c>
      <c r="E464">
        <f t="shared" si="37"/>
        <v>1.8116000000000001</v>
      </c>
      <c r="F464">
        <f t="shared" si="38"/>
        <v>-1.5682559833506724</v>
      </c>
      <c r="G464">
        <f t="shared" si="39"/>
        <v>2.4594268293151846</v>
      </c>
    </row>
    <row r="465" spans="1:7" x14ac:dyDescent="0.35">
      <c r="A465">
        <v>1904</v>
      </c>
      <c r="B465">
        <f t="shared" si="35"/>
        <v>565.64793617759278</v>
      </c>
      <c r="C465">
        <f t="shared" si="36"/>
        <v>319957.58770197007</v>
      </c>
      <c r="D465">
        <v>17706</v>
      </c>
      <c r="E465">
        <f t="shared" si="37"/>
        <v>1.7706</v>
      </c>
      <c r="F465">
        <f t="shared" si="38"/>
        <v>-1.6092559833506725</v>
      </c>
      <c r="G465">
        <f t="shared" si="39"/>
        <v>2.5897048199499402</v>
      </c>
    </row>
    <row r="466" spans="1:7" x14ac:dyDescent="0.35">
      <c r="A466">
        <v>1904</v>
      </c>
      <c r="B466">
        <f t="shared" si="35"/>
        <v>565.64793617759278</v>
      </c>
      <c r="C466">
        <f t="shared" si="36"/>
        <v>319957.58770197007</v>
      </c>
      <c r="D466">
        <v>17884</v>
      </c>
      <c r="E466">
        <f t="shared" si="37"/>
        <v>1.7884</v>
      </c>
      <c r="F466">
        <f t="shared" si="38"/>
        <v>-1.5914559833506725</v>
      </c>
      <c r="G466">
        <f t="shared" si="39"/>
        <v>2.532732146942656</v>
      </c>
    </row>
    <row r="467" spans="1:7" x14ac:dyDescent="0.35">
      <c r="A467">
        <v>1904</v>
      </c>
      <c r="B467">
        <f t="shared" si="35"/>
        <v>565.64793617759278</v>
      </c>
      <c r="C467">
        <f t="shared" si="36"/>
        <v>319957.58770197007</v>
      </c>
      <c r="D467">
        <v>19433</v>
      </c>
      <c r="E467">
        <f t="shared" si="37"/>
        <v>1.9433</v>
      </c>
      <c r="F467">
        <f t="shared" si="38"/>
        <v>-1.4365559833506725</v>
      </c>
      <c r="G467">
        <f t="shared" si="39"/>
        <v>2.0636930933006177</v>
      </c>
    </row>
    <row r="468" spans="1:7" x14ac:dyDescent="0.35">
      <c r="A468">
        <v>1904</v>
      </c>
      <c r="B468">
        <f t="shared" si="35"/>
        <v>565.64793617759278</v>
      </c>
      <c r="C468">
        <f t="shared" si="36"/>
        <v>319957.58770197007</v>
      </c>
      <c r="D468">
        <v>21155</v>
      </c>
      <c r="E468">
        <f t="shared" si="37"/>
        <v>2.1154999999999999</v>
      </c>
      <c r="F468">
        <f t="shared" si="38"/>
        <v>-1.2643559833506726</v>
      </c>
      <c r="G468">
        <f t="shared" si="39"/>
        <v>1.5985960526346461</v>
      </c>
    </row>
    <row r="469" spans="1:7" x14ac:dyDescent="0.35">
      <c r="A469">
        <v>1904</v>
      </c>
      <c r="B469">
        <f t="shared" si="35"/>
        <v>565.64793617759278</v>
      </c>
      <c r="C469">
        <f t="shared" si="36"/>
        <v>319957.58770197007</v>
      </c>
      <c r="D469">
        <v>20699</v>
      </c>
      <c r="E469">
        <f t="shared" si="37"/>
        <v>2.0699000000000001</v>
      </c>
      <c r="F469">
        <f t="shared" si="38"/>
        <v>-1.3099559833506724</v>
      </c>
      <c r="G469">
        <f t="shared" si="39"/>
        <v>1.7159846783162271</v>
      </c>
    </row>
    <row r="470" spans="1:7" x14ac:dyDescent="0.35">
      <c r="A470">
        <v>1904</v>
      </c>
      <c r="B470">
        <f t="shared" si="35"/>
        <v>565.64793617759278</v>
      </c>
      <c r="C470">
        <f t="shared" si="36"/>
        <v>319957.58770197007</v>
      </c>
      <c r="D470">
        <v>19164</v>
      </c>
      <c r="E470">
        <f t="shared" si="37"/>
        <v>1.9164000000000001</v>
      </c>
      <c r="F470">
        <f t="shared" si="38"/>
        <v>-1.4634559833506724</v>
      </c>
      <c r="G470">
        <f t="shared" si="39"/>
        <v>2.1417034152048835</v>
      </c>
    </row>
    <row r="471" spans="1:7" x14ac:dyDescent="0.35">
      <c r="A471">
        <v>1904</v>
      </c>
      <c r="B471">
        <f t="shared" si="35"/>
        <v>565.64793617759278</v>
      </c>
      <c r="C471">
        <f t="shared" si="36"/>
        <v>319957.58770197007</v>
      </c>
      <c r="D471">
        <v>19773</v>
      </c>
      <c r="E471">
        <f t="shared" si="37"/>
        <v>1.9773000000000001</v>
      </c>
      <c r="F471">
        <f t="shared" si="38"/>
        <v>-1.4025559833506724</v>
      </c>
      <c r="G471">
        <f t="shared" si="39"/>
        <v>1.9671632864327717</v>
      </c>
    </row>
    <row r="472" spans="1:7" x14ac:dyDescent="0.35">
      <c r="A472">
        <v>1904</v>
      </c>
      <c r="B472">
        <f t="shared" si="35"/>
        <v>565.64793617759278</v>
      </c>
      <c r="C472">
        <f t="shared" si="36"/>
        <v>319957.58770197007</v>
      </c>
      <c r="D472">
        <v>24793</v>
      </c>
      <c r="E472">
        <f t="shared" si="37"/>
        <v>2.4792999999999998</v>
      </c>
      <c r="F472">
        <f t="shared" si="38"/>
        <v>-0.90055598335067266</v>
      </c>
      <c r="G472">
        <f t="shared" si="39"/>
        <v>0.81100107914869701</v>
      </c>
    </row>
    <row r="473" spans="1:7" x14ac:dyDescent="0.35">
      <c r="A473">
        <v>1904</v>
      </c>
      <c r="B473">
        <f t="shared" si="35"/>
        <v>565.64793617759278</v>
      </c>
      <c r="C473">
        <f t="shared" si="36"/>
        <v>319957.58770197007</v>
      </c>
      <c r="D473">
        <v>24893</v>
      </c>
      <c r="E473">
        <f t="shared" si="37"/>
        <v>2.4893000000000001</v>
      </c>
      <c r="F473">
        <f t="shared" si="38"/>
        <v>-0.89055598335067243</v>
      </c>
      <c r="G473">
        <f t="shared" si="39"/>
        <v>0.79308995948168315</v>
      </c>
    </row>
    <row r="474" spans="1:7" x14ac:dyDescent="0.35">
      <c r="A474">
        <v>1904</v>
      </c>
      <c r="B474">
        <f t="shared" si="35"/>
        <v>565.64793617759278</v>
      </c>
      <c r="C474">
        <f t="shared" si="36"/>
        <v>319957.58770197007</v>
      </c>
      <c r="D474">
        <v>26216</v>
      </c>
      <c r="E474">
        <f t="shared" si="37"/>
        <v>2.6215999999999999</v>
      </c>
      <c r="F474">
        <f t="shared" si="38"/>
        <v>-0.75825598335067257</v>
      </c>
      <c r="G474">
        <f t="shared" si="39"/>
        <v>0.57495213628709541</v>
      </c>
    </row>
    <row r="475" spans="1:7" x14ac:dyDescent="0.35">
      <c r="A475">
        <v>1904</v>
      </c>
      <c r="B475">
        <f t="shared" si="35"/>
        <v>565.64793617759278</v>
      </c>
      <c r="C475">
        <f t="shared" si="36"/>
        <v>319957.58770197007</v>
      </c>
      <c r="D475">
        <v>27457</v>
      </c>
      <c r="E475">
        <f t="shared" si="37"/>
        <v>2.7456999999999998</v>
      </c>
      <c r="F475">
        <f t="shared" si="38"/>
        <v>-0.63415598335067269</v>
      </c>
      <c r="G475">
        <f t="shared" si="39"/>
        <v>0.40215381121945865</v>
      </c>
    </row>
    <row r="476" spans="1:7" x14ac:dyDescent="0.35">
      <c r="A476">
        <v>1904</v>
      </c>
      <c r="B476">
        <f t="shared" si="35"/>
        <v>565.64793617759278</v>
      </c>
      <c r="C476">
        <f t="shared" si="36"/>
        <v>319957.58770197007</v>
      </c>
      <c r="D476">
        <v>28363</v>
      </c>
      <c r="E476">
        <f t="shared" si="37"/>
        <v>2.8363</v>
      </c>
      <c r="F476">
        <f t="shared" si="38"/>
        <v>-0.54355598335067246</v>
      </c>
      <c r="G476">
        <f t="shared" si="39"/>
        <v>0.2954531070363165</v>
      </c>
    </row>
    <row r="477" spans="1:7" x14ac:dyDescent="0.35">
      <c r="A477">
        <v>1904</v>
      </c>
      <c r="B477">
        <f t="shared" si="35"/>
        <v>565.64793617759278</v>
      </c>
      <c r="C477">
        <f t="shared" si="36"/>
        <v>319957.58770197007</v>
      </c>
      <c r="D477">
        <v>29697</v>
      </c>
      <c r="E477">
        <f t="shared" si="37"/>
        <v>2.9697</v>
      </c>
      <c r="F477">
        <f t="shared" si="38"/>
        <v>-0.41015598335067249</v>
      </c>
      <c r="G477">
        <f t="shared" si="39"/>
        <v>0.16822793067835712</v>
      </c>
    </row>
    <row r="478" spans="1:7" x14ac:dyDescent="0.35">
      <c r="A478">
        <v>1904</v>
      </c>
      <c r="B478">
        <f t="shared" si="35"/>
        <v>565.64793617759278</v>
      </c>
      <c r="C478">
        <f t="shared" si="36"/>
        <v>319957.58770197007</v>
      </c>
      <c r="D478">
        <v>29574</v>
      </c>
      <c r="E478">
        <f t="shared" si="37"/>
        <v>2.9573999999999998</v>
      </c>
      <c r="F478">
        <f t="shared" si="38"/>
        <v>-0.42245598335067269</v>
      </c>
      <c r="G478">
        <f t="shared" si="39"/>
        <v>0.17846905786878384</v>
      </c>
    </row>
    <row r="479" spans="1:7" x14ac:dyDescent="0.35">
      <c r="A479">
        <v>1904</v>
      </c>
      <c r="B479">
        <f t="shared" si="35"/>
        <v>565.64793617759278</v>
      </c>
      <c r="C479">
        <f t="shared" si="36"/>
        <v>319957.58770197007</v>
      </c>
      <c r="D479">
        <v>30892</v>
      </c>
      <c r="E479">
        <f t="shared" si="37"/>
        <v>3.0891999999999999</v>
      </c>
      <c r="F479">
        <f t="shared" si="38"/>
        <v>-0.29065598335067255</v>
      </c>
      <c r="G479">
        <f t="shared" si="39"/>
        <v>8.4480900657546446E-2</v>
      </c>
    </row>
    <row r="480" spans="1:7" x14ac:dyDescent="0.35">
      <c r="A480">
        <v>1904</v>
      </c>
      <c r="B480">
        <f t="shared" si="35"/>
        <v>565.64793617759278</v>
      </c>
      <c r="C480">
        <f t="shared" si="36"/>
        <v>319957.58770197007</v>
      </c>
      <c r="D480">
        <v>31675</v>
      </c>
      <c r="E480">
        <f t="shared" si="37"/>
        <v>3.1675</v>
      </c>
      <c r="F480">
        <f t="shared" si="38"/>
        <v>-0.21235598335067252</v>
      </c>
      <c r="G480">
        <f t="shared" si="39"/>
        <v>4.5095063664831105E-2</v>
      </c>
    </row>
    <row r="481" spans="1:7" x14ac:dyDescent="0.35">
      <c r="A481">
        <v>1904</v>
      </c>
      <c r="B481">
        <f t="shared" si="35"/>
        <v>565.64793617759278</v>
      </c>
      <c r="C481">
        <f t="shared" si="36"/>
        <v>319957.58770197007</v>
      </c>
      <c r="D481">
        <v>32639</v>
      </c>
      <c r="E481">
        <f t="shared" si="37"/>
        <v>3.2639</v>
      </c>
      <c r="F481">
        <f t="shared" si="38"/>
        <v>-0.11595598335067248</v>
      </c>
      <c r="G481">
        <f t="shared" si="39"/>
        <v>1.3445790074821433E-2</v>
      </c>
    </row>
    <row r="482" spans="1:7" x14ac:dyDescent="0.35">
      <c r="A482">
        <v>1904</v>
      </c>
      <c r="B482">
        <f t="shared" si="35"/>
        <v>565.64793617759278</v>
      </c>
      <c r="C482">
        <f t="shared" si="36"/>
        <v>319957.58770197007</v>
      </c>
      <c r="D482">
        <v>33398</v>
      </c>
      <c r="E482">
        <f t="shared" si="37"/>
        <v>3.3397999999999999</v>
      </c>
      <c r="F482">
        <f t="shared" si="38"/>
        <v>-4.0055983350672619E-2</v>
      </c>
      <c r="G482">
        <f t="shared" si="39"/>
        <v>1.6044818021893621E-3</v>
      </c>
    </row>
    <row r="483" spans="1:7" x14ac:dyDescent="0.35">
      <c r="A483">
        <v>1904</v>
      </c>
      <c r="B483">
        <f t="shared" si="35"/>
        <v>565.64793617759278</v>
      </c>
      <c r="C483">
        <f t="shared" si="36"/>
        <v>319957.58770197007</v>
      </c>
      <c r="D483">
        <v>34277</v>
      </c>
      <c r="E483">
        <f t="shared" si="37"/>
        <v>3.4277000000000002</v>
      </c>
      <c r="F483">
        <f t="shared" si="38"/>
        <v>4.7844016649327692E-2</v>
      </c>
      <c r="G483">
        <f t="shared" si="39"/>
        <v>2.2890499291411456E-3</v>
      </c>
    </row>
    <row r="484" spans="1:7" x14ac:dyDescent="0.35">
      <c r="A484">
        <v>1604</v>
      </c>
      <c r="B484">
        <f t="shared" si="35"/>
        <v>265.64793617759278</v>
      </c>
      <c r="C484">
        <f t="shared" si="36"/>
        <v>70568.825995414401</v>
      </c>
      <c r="D484">
        <v>47375</v>
      </c>
      <c r="E484">
        <f t="shared" si="37"/>
        <v>4.7374999999999998</v>
      </c>
      <c r="F484">
        <f t="shared" si="38"/>
        <v>1.3576440166493273</v>
      </c>
      <c r="G484">
        <f t="shared" si="39"/>
        <v>1.843197275943719</v>
      </c>
    </row>
    <row r="485" spans="1:7" x14ac:dyDescent="0.35">
      <c r="A485">
        <v>1604</v>
      </c>
      <c r="B485">
        <f t="shared" si="35"/>
        <v>265.64793617759278</v>
      </c>
      <c r="C485">
        <f t="shared" si="36"/>
        <v>70568.825995414401</v>
      </c>
      <c r="D485">
        <v>45000</v>
      </c>
      <c r="E485">
        <f t="shared" si="37"/>
        <v>4.5</v>
      </c>
      <c r="F485">
        <f t="shared" si="38"/>
        <v>1.1201440166493275</v>
      </c>
      <c r="G485">
        <f t="shared" si="39"/>
        <v>1.2547226180352888</v>
      </c>
    </row>
    <row r="486" spans="1:7" x14ac:dyDescent="0.35">
      <c r="A486">
        <v>1604</v>
      </c>
      <c r="B486">
        <f t="shared" si="35"/>
        <v>265.64793617759278</v>
      </c>
      <c r="C486">
        <f t="shared" si="36"/>
        <v>70568.825995414401</v>
      </c>
      <c r="D486">
        <v>43400</v>
      </c>
      <c r="E486">
        <f t="shared" si="37"/>
        <v>4.34</v>
      </c>
      <c r="F486">
        <f t="shared" si="38"/>
        <v>0.96014401664932736</v>
      </c>
      <c r="G486">
        <f t="shared" si="39"/>
        <v>0.9218765327075038</v>
      </c>
    </row>
    <row r="487" spans="1:7" x14ac:dyDescent="0.35">
      <c r="A487">
        <v>1604</v>
      </c>
      <c r="B487">
        <f t="shared" si="35"/>
        <v>265.64793617759278</v>
      </c>
      <c r="C487">
        <f t="shared" si="36"/>
        <v>70568.825995414401</v>
      </c>
      <c r="D487">
        <v>54668</v>
      </c>
      <c r="E487">
        <f t="shared" si="37"/>
        <v>5.4668000000000001</v>
      </c>
      <c r="F487">
        <f t="shared" si="38"/>
        <v>2.0869440166493276</v>
      </c>
      <c r="G487">
        <f t="shared" si="39"/>
        <v>4.3553353286284286</v>
      </c>
    </row>
    <row r="488" spans="1:7" x14ac:dyDescent="0.35">
      <c r="A488">
        <v>1604</v>
      </c>
      <c r="B488">
        <f t="shared" si="35"/>
        <v>265.64793617759278</v>
      </c>
      <c r="C488">
        <f t="shared" si="36"/>
        <v>70568.825995414401</v>
      </c>
      <c r="D488">
        <v>49999</v>
      </c>
      <c r="E488">
        <f t="shared" si="37"/>
        <v>4.9999000000000002</v>
      </c>
      <c r="F488">
        <f t="shared" si="38"/>
        <v>1.6200440166493277</v>
      </c>
      <c r="G488">
        <f t="shared" si="39"/>
        <v>2.6245426158812872</v>
      </c>
    </row>
    <row r="489" spans="1:7" x14ac:dyDescent="0.35">
      <c r="A489">
        <v>1604</v>
      </c>
      <c r="B489">
        <f t="shared" si="35"/>
        <v>265.64793617759278</v>
      </c>
      <c r="C489">
        <f t="shared" si="36"/>
        <v>70568.825995414401</v>
      </c>
      <c r="D489">
        <v>36400</v>
      </c>
      <c r="E489">
        <f t="shared" si="37"/>
        <v>3.64</v>
      </c>
      <c r="F489">
        <f t="shared" si="38"/>
        <v>0.26014401664932763</v>
      </c>
      <c r="G489">
        <f t="shared" si="39"/>
        <v>6.7674909398445643E-2</v>
      </c>
    </row>
    <row r="490" spans="1:7" x14ac:dyDescent="0.35">
      <c r="A490">
        <v>1604</v>
      </c>
      <c r="B490">
        <f t="shared" si="35"/>
        <v>265.64793617759278</v>
      </c>
      <c r="C490">
        <f t="shared" si="36"/>
        <v>70568.825995414401</v>
      </c>
      <c r="D490">
        <v>35000</v>
      </c>
      <c r="E490">
        <f t="shared" si="37"/>
        <v>3.5</v>
      </c>
      <c r="F490">
        <f t="shared" si="38"/>
        <v>0.1201440166493275</v>
      </c>
      <c r="G490">
        <f t="shared" si="39"/>
        <v>1.4434584736633884E-2</v>
      </c>
    </row>
    <row r="491" spans="1:7" x14ac:dyDescent="0.35">
      <c r="A491">
        <v>1604</v>
      </c>
      <c r="B491">
        <f t="shared" si="35"/>
        <v>265.64793617759278</v>
      </c>
      <c r="C491">
        <f t="shared" si="36"/>
        <v>70568.825995414401</v>
      </c>
      <c r="D491">
        <v>29000</v>
      </c>
      <c r="E491">
        <f t="shared" si="37"/>
        <v>2.9</v>
      </c>
      <c r="F491">
        <f t="shared" si="38"/>
        <v>-0.47985598335067259</v>
      </c>
      <c r="G491">
        <f t="shared" si="39"/>
        <v>0.23026176475744098</v>
      </c>
    </row>
    <row r="492" spans="1:7" x14ac:dyDescent="0.35">
      <c r="A492">
        <v>1604</v>
      </c>
      <c r="B492">
        <f t="shared" si="35"/>
        <v>265.64793617759278</v>
      </c>
      <c r="C492">
        <f t="shared" si="36"/>
        <v>70568.825995414401</v>
      </c>
      <c r="D492">
        <v>31423</v>
      </c>
      <c r="E492">
        <f t="shared" si="37"/>
        <v>3.1423000000000001</v>
      </c>
      <c r="F492">
        <f t="shared" si="38"/>
        <v>-0.23755598335067241</v>
      </c>
      <c r="G492">
        <f t="shared" si="39"/>
        <v>5.6432845225704943E-2</v>
      </c>
    </row>
    <row r="493" spans="1:7" x14ac:dyDescent="0.35">
      <c r="A493">
        <v>1604</v>
      </c>
      <c r="B493">
        <f t="shared" si="35"/>
        <v>265.64793617759278</v>
      </c>
      <c r="C493">
        <f t="shared" si="36"/>
        <v>70568.825995414401</v>
      </c>
      <c r="D493">
        <v>31307</v>
      </c>
      <c r="E493">
        <f t="shared" si="37"/>
        <v>3.1307</v>
      </c>
      <c r="F493">
        <f t="shared" si="38"/>
        <v>-0.24915598335067246</v>
      </c>
      <c r="G493">
        <f t="shared" si="39"/>
        <v>6.2078704039440574E-2</v>
      </c>
    </row>
    <row r="494" spans="1:7" x14ac:dyDescent="0.35">
      <c r="A494">
        <v>1604</v>
      </c>
      <c r="B494">
        <f t="shared" si="35"/>
        <v>265.64793617759278</v>
      </c>
      <c r="C494">
        <f t="shared" si="36"/>
        <v>70568.825995414401</v>
      </c>
      <c r="D494">
        <v>31391</v>
      </c>
      <c r="E494">
        <f t="shared" si="37"/>
        <v>3.1391</v>
      </c>
      <c r="F494">
        <f t="shared" si="38"/>
        <v>-0.2407559833506725</v>
      </c>
      <c r="G494">
        <f t="shared" si="39"/>
        <v>5.7963443519149296E-2</v>
      </c>
    </row>
    <row r="495" spans="1:7" x14ac:dyDescent="0.35">
      <c r="A495">
        <v>1604</v>
      </c>
      <c r="B495">
        <f t="shared" si="35"/>
        <v>265.64793617759278</v>
      </c>
      <c r="C495">
        <f t="shared" si="36"/>
        <v>70568.825995414401</v>
      </c>
      <c r="D495">
        <v>33636</v>
      </c>
      <c r="E495">
        <f t="shared" si="37"/>
        <v>3.3635999999999999</v>
      </c>
      <c r="F495">
        <f t="shared" si="38"/>
        <v>-1.6255983350672576E-2</v>
      </c>
      <c r="G495">
        <f t="shared" si="39"/>
        <v>2.6425699469734401E-4</v>
      </c>
    </row>
    <row r="496" spans="1:7" x14ac:dyDescent="0.35">
      <c r="A496">
        <v>1604</v>
      </c>
      <c r="B496">
        <f t="shared" si="35"/>
        <v>265.64793617759278</v>
      </c>
      <c r="C496">
        <f t="shared" si="36"/>
        <v>70568.825995414401</v>
      </c>
      <c r="D496">
        <v>35467</v>
      </c>
      <c r="E496">
        <f t="shared" si="37"/>
        <v>3.5467</v>
      </c>
      <c r="F496">
        <f t="shared" si="38"/>
        <v>0.16684401664932746</v>
      </c>
      <c r="G496">
        <f t="shared" si="39"/>
        <v>2.7836925891681061E-2</v>
      </c>
    </row>
    <row r="497" spans="1:7" x14ac:dyDescent="0.35">
      <c r="A497">
        <v>1604</v>
      </c>
      <c r="B497">
        <f t="shared" si="35"/>
        <v>265.64793617759278</v>
      </c>
      <c r="C497">
        <f t="shared" si="36"/>
        <v>70568.825995414401</v>
      </c>
      <c r="D497">
        <v>33095</v>
      </c>
      <c r="E497">
        <f t="shared" si="37"/>
        <v>3.3094999999999999</v>
      </c>
      <c r="F497">
        <f t="shared" si="38"/>
        <v>-7.0355983350672613E-2</v>
      </c>
      <c r="G497">
        <f t="shared" si="39"/>
        <v>4.9499643932401222E-3</v>
      </c>
    </row>
    <row r="498" spans="1:7" x14ac:dyDescent="0.35">
      <c r="A498">
        <v>1604</v>
      </c>
      <c r="B498">
        <f t="shared" si="35"/>
        <v>265.64793617759278</v>
      </c>
      <c r="C498">
        <f t="shared" si="36"/>
        <v>70568.825995414401</v>
      </c>
      <c r="D498">
        <v>30103</v>
      </c>
      <c r="E498">
        <f t="shared" si="37"/>
        <v>3.0103</v>
      </c>
      <c r="F498">
        <f t="shared" si="38"/>
        <v>-0.36955598335067252</v>
      </c>
      <c r="G498">
        <f t="shared" si="39"/>
        <v>0.13657162483028254</v>
      </c>
    </row>
    <row r="499" spans="1:7" x14ac:dyDescent="0.35">
      <c r="A499">
        <v>1604</v>
      </c>
      <c r="B499">
        <f t="shared" si="35"/>
        <v>265.64793617759278</v>
      </c>
      <c r="C499">
        <f t="shared" si="36"/>
        <v>70568.825995414401</v>
      </c>
      <c r="D499">
        <v>30242</v>
      </c>
      <c r="E499">
        <f t="shared" si="37"/>
        <v>3.0242</v>
      </c>
      <c r="F499">
        <f t="shared" si="38"/>
        <v>-0.3556559833506725</v>
      </c>
      <c r="G499">
        <f t="shared" si="39"/>
        <v>0.12649117849313382</v>
      </c>
    </row>
    <row r="500" spans="1:7" x14ac:dyDescent="0.35">
      <c r="A500">
        <v>1604</v>
      </c>
      <c r="B500">
        <f t="shared" si="35"/>
        <v>265.64793617759278</v>
      </c>
      <c r="C500">
        <f t="shared" si="36"/>
        <v>70568.825995414401</v>
      </c>
      <c r="D500">
        <v>11137</v>
      </c>
      <c r="E500">
        <f t="shared" si="37"/>
        <v>1.1136999999999999</v>
      </c>
      <c r="F500">
        <f t="shared" si="38"/>
        <v>-2.2661559833506724</v>
      </c>
      <c r="G500">
        <f t="shared" si="39"/>
        <v>5.135462940876053</v>
      </c>
    </row>
    <row r="501" spans="1:7" x14ac:dyDescent="0.35">
      <c r="A501">
        <v>1604</v>
      </c>
      <c r="B501">
        <f t="shared" si="35"/>
        <v>265.64793617759278</v>
      </c>
      <c r="C501">
        <f t="shared" si="36"/>
        <v>70568.825995414401</v>
      </c>
      <c r="D501">
        <v>12416</v>
      </c>
      <c r="E501">
        <f t="shared" si="37"/>
        <v>1.2416</v>
      </c>
      <c r="F501">
        <f t="shared" si="38"/>
        <v>-2.1382559833506725</v>
      </c>
      <c r="G501">
        <f t="shared" si="39"/>
        <v>4.572138650334951</v>
      </c>
    </row>
    <row r="502" spans="1:7" x14ac:dyDescent="0.35">
      <c r="A502">
        <v>1604</v>
      </c>
      <c r="B502">
        <f t="shared" si="35"/>
        <v>265.64793617759278</v>
      </c>
      <c r="C502">
        <f t="shared" si="36"/>
        <v>70568.825995414401</v>
      </c>
      <c r="D502">
        <v>12971</v>
      </c>
      <c r="E502">
        <f t="shared" si="37"/>
        <v>1.2970999999999999</v>
      </c>
      <c r="F502">
        <f t="shared" si="38"/>
        <v>-2.0827559833506726</v>
      </c>
      <c r="G502">
        <f t="shared" si="39"/>
        <v>4.3378724861830271</v>
      </c>
    </row>
    <row r="503" spans="1:7" x14ac:dyDescent="0.35">
      <c r="A503">
        <v>1604</v>
      </c>
      <c r="B503">
        <f t="shared" si="35"/>
        <v>265.64793617759278</v>
      </c>
      <c r="C503">
        <f t="shared" si="36"/>
        <v>70568.825995414401</v>
      </c>
      <c r="D503">
        <v>12905</v>
      </c>
      <c r="E503">
        <f t="shared" si="37"/>
        <v>1.2905</v>
      </c>
      <c r="F503">
        <f t="shared" si="38"/>
        <v>-2.0893559833506723</v>
      </c>
      <c r="G503">
        <f t="shared" si="39"/>
        <v>4.3654084251632552</v>
      </c>
    </row>
    <row r="504" spans="1:7" x14ac:dyDescent="0.35">
      <c r="A504">
        <v>1604</v>
      </c>
      <c r="B504">
        <f t="shared" si="35"/>
        <v>265.64793617759278</v>
      </c>
      <c r="C504">
        <f t="shared" si="36"/>
        <v>70568.825995414401</v>
      </c>
      <c r="D504">
        <v>10000</v>
      </c>
      <c r="E504">
        <f t="shared" si="37"/>
        <v>1</v>
      </c>
      <c r="F504">
        <f t="shared" si="38"/>
        <v>-2.3798559833506725</v>
      </c>
      <c r="G504">
        <f t="shared" si="39"/>
        <v>5.6637145014899968</v>
      </c>
    </row>
    <row r="505" spans="1:7" x14ac:dyDescent="0.35">
      <c r="A505">
        <v>1604</v>
      </c>
      <c r="B505">
        <f t="shared" si="35"/>
        <v>265.64793617759278</v>
      </c>
      <c r="C505">
        <f t="shared" si="36"/>
        <v>70568.825995414401</v>
      </c>
      <c r="D505">
        <v>10000</v>
      </c>
      <c r="E505">
        <f t="shared" si="37"/>
        <v>1</v>
      </c>
      <c r="F505">
        <f t="shared" si="38"/>
        <v>-2.3798559833506725</v>
      </c>
      <c r="G505">
        <f t="shared" si="39"/>
        <v>5.6637145014899968</v>
      </c>
    </row>
    <row r="506" spans="1:7" x14ac:dyDescent="0.35">
      <c r="A506">
        <v>1604</v>
      </c>
      <c r="B506">
        <f t="shared" si="35"/>
        <v>265.64793617759278</v>
      </c>
      <c r="C506">
        <f t="shared" si="36"/>
        <v>70568.825995414401</v>
      </c>
      <c r="D506">
        <v>27475</v>
      </c>
      <c r="E506">
        <f t="shared" si="37"/>
        <v>2.7475000000000001</v>
      </c>
      <c r="F506">
        <f t="shared" si="38"/>
        <v>-0.63235598335067245</v>
      </c>
      <c r="G506">
        <f t="shared" si="39"/>
        <v>0.39987408967939592</v>
      </c>
    </row>
    <row r="507" spans="1:7" x14ac:dyDescent="0.35">
      <c r="A507">
        <v>1604</v>
      </c>
      <c r="B507">
        <f t="shared" si="35"/>
        <v>265.64793617759278</v>
      </c>
      <c r="C507">
        <f t="shared" si="36"/>
        <v>70568.825995414401</v>
      </c>
      <c r="D507">
        <v>10936</v>
      </c>
      <c r="E507">
        <f t="shared" si="37"/>
        <v>1.0935999999999999</v>
      </c>
      <c r="F507">
        <f t="shared" si="38"/>
        <v>-2.2862559833506726</v>
      </c>
      <c r="G507">
        <f t="shared" si="39"/>
        <v>5.2269664214067513</v>
      </c>
    </row>
    <row r="508" spans="1:7" x14ac:dyDescent="0.35">
      <c r="A508">
        <v>1604</v>
      </c>
      <c r="B508">
        <f t="shared" si="35"/>
        <v>265.64793617759278</v>
      </c>
      <c r="C508">
        <f t="shared" si="36"/>
        <v>70568.825995414401</v>
      </c>
      <c r="D508">
        <v>13464</v>
      </c>
      <c r="E508">
        <f t="shared" si="37"/>
        <v>1.3464</v>
      </c>
      <c r="F508">
        <f t="shared" si="38"/>
        <v>-2.0334559833506725</v>
      </c>
      <c r="G508">
        <f t="shared" si="39"/>
        <v>4.1349432362246503</v>
      </c>
    </row>
    <row r="509" spans="1:7" x14ac:dyDescent="0.35">
      <c r="A509">
        <v>1604</v>
      </c>
      <c r="B509">
        <f t="shared" si="35"/>
        <v>265.64793617759278</v>
      </c>
      <c r="C509">
        <f t="shared" si="36"/>
        <v>70568.825995414401</v>
      </c>
      <c r="D509">
        <v>14217</v>
      </c>
      <c r="E509">
        <f t="shared" si="37"/>
        <v>1.4217</v>
      </c>
      <c r="F509">
        <f t="shared" si="38"/>
        <v>-1.9581559833506725</v>
      </c>
      <c r="G509">
        <f t="shared" si="39"/>
        <v>3.8343748551320394</v>
      </c>
    </row>
    <row r="510" spans="1:7" x14ac:dyDescent="0.35">
      <c r="A510">
        <v>1604</v>
      </c>
      <c r="B510">
        <f t="shared" si="35"/>
        <v>265.64793617759278</v>
      </c>
      <c r="C510">
        <f t="shared" si="36"/>
        <v>70568.825995414401</v>
      </c>
      <c r="D510">
        <v>11641</v>
      </c>
      <c r="E510">
        <f t="shared" si="37"/>
        <v>1.1640999999999999</v>
      </c>
      <c r="F510">
        <f t="shared" si="38"/>
        <v>-2.2157559833506726</v>
      </c>
      <c r="G510">
        <f t="shared" si="39"/>
        <v>4.9095745777543058</v>
      </c>
    </row>
    <row r="511" spans="1:7" x14ac:dyDescent="0.35">
      <c r="A511">
        <v>1604</v>
      </c>
      <c r="B511">
        <f t="shared" si="35"/>
        <v>265.64793617759278</v>
      </c>
      <c r="C511">
        <f t="shared" si="36"/>
        <v>70568.825995414401</v>
      </c>
      <c r="D511">
        <v>12076</v>
      </c>
      <c r="E511">
        <f t="shared" si="37"/>
        <v>1.2076</v>
      </c>
      <c r="F511">
        <f t="shared" si="38"/>
        <v>-2.1722559833506727</v>
      </c>
      <c r="G511">
        <f t="shared" si="39"/>
        <v>4.7186960572027985</v>
      </c>
    </row>
    <row r="512" spans="1:7" x14ac:dyDescent="0.35">
      <c r="A512">
        <v>1604</v>
      </c>
      <c r="B512">
        <f t="shared" si="35"/>
        <v>265.64793617759278</v>
      </c>
      <c r="C512">
        <f t="shared" si="36"/>
        <v>70568.825995414401</v>
      </c>
      <c r="D512">
        <v>12271</v>
      </c>
      <c r="E512">
        <f t="shared" si="37"/>
        <v>1.2271000000000001</v>
      </c>
      <c r="F512">
        <f t="shared" si="38"/>
        <v>-2.1527559833506724</v>
      </c>
      <c r="G512">
        <f t="shared" si="39"/>
        <v>4.6343583238521209</v>
      </c>
    </row>
    <row r="513" spans="1:7" x14ac:dyDescent="0.35">
      <c r="A513">
        <v>1604</v>
      </c>
      <c r="B513">
        <f t="shared" si="35"/>
        <v>265.64793617759278</v>
      </c>
      <c r="C513">
        <f t="shared" si="36"/>
        <v>70568.825995414401</v>
      </c>
      <c r="D513">
        <v>13011</v>
      </c>
      <c r="E513">
        <f t="shared" si="37"/>
        <v>1.3010999999999999</v>
      </c>
      <c r="F513">
        <f t="shared" si="38"/>
        <v>-2.0787559833506726</v>
      </c>
      <c r="G513">
        <f t="shared" si="39"/>
        <v>4.3212264383162218</v>
      </c>
    </row>
    <row r="514" spans="1:7" x14ac:dyDescent="0.35">
      <c r="A514">
        <v>1342</v>
      </c>
      <c r="B514">
        <f t="shared" si="35"/>
        <v>3.6479361775927828</v>
      </c>
      <c r="C514">
        <f t="shared" si="36"/>
        <v>13.307438355790243</v>
      </c>
      <c r="D514">
        <v>16839</v>
      </c>
      <c r="E514">
        <f t="shared" si="37"/>
        <v>1.6839</v>
      </c>
      <c r="F514">
        <f t="shared" si="38"/>
        <v>-1.6959559833506725</v>
      </c>
      <c r="G514">
        <f t="shared" si="39"/>
        <v>2.8762666974629467</v>
      </c>
    </row>
    <row r="515" spans="1:7" x14ac:dyDescent="0.35">
      <c r="A515">
        <v>1342</v>
      </c>
      <c r="B515">
        <f t="shared" ref="B515:B578" si="40">A515-$J$1</f>
        <v>3.6479361775927828</v>
      </c>
      <c r="C515">
        <f t="shared" ref="C515:C578" si="41">B515^2</f>
        <v>13.307438355790243</v>
      </c>
      <c r="D515">
        <v>10693</v>
      </c>
      <c r="E515">
        <f t="shared" ref="E515:E578" si="42">D515/10000</f>
        <v>1.0692999999999999</v>
      </c>
      <c r="F515">
        <f t="shared" ref="F515:F578" si="43">E515-$J$2</f>
        <v>-2.3105559833506728</v>
      </c>
      <c r="G515">
        <f t="shared" ref="G515:G578" si="44">F515^2</f>
        <v>5.3386689521975947</v>
      </c>
    </row>
    <row r="516" spans="1:7" x14ac:dyDescent="0.35">
      <c r="A516">
        <v>1342</v>
      </c>
      <c r="B516">
        <f t="shared" si="40"/>
        <v>3.6479361775927828</v>
      </c>
      <c r="C516">
        <f t="shared" si="41"/>
        <v>13.307438355790243</v>
      </c>
      <c r="D516">
        <v>11583</v>
      </c>
      <c r="E516">
        <f t="shared" si="42"/>
        <v>1.1583000000000001</v>
      </c>
      <c r="F516">
        <f t="shared" si="43"/>
        <v>-2.2215559833506724</v>
      </c>
      <c r="G516">
        <f t="shared" si="44"/>
        <v>4.9353109871611727</v>
      </c>
    </row>
    <row r="517" spans="1:7" x14ac:dyDescent="0.35">
      <c r="A517">
        <v>1342</v>
      </c>
      <c r="B517">
        <f t="shared" si="40"/>
        <v>3.6479361775927828</v>
      </c>
      <c r="C517">
        <f t="shared" si="41"/>
        <v>13.307438355790243</v>
      </c>
      <c r="D517">
        <v>15485</v>
      </c>
      <c r="E517">
        <f t="shared" si="42"/>
        <v>1.5485</v>
      </c>
      <c r="F517">
        <f t="shared" si="43"/>
        <v>-1.8313559833506725</v>
      </c>
      <c r="G517">
        <f t="shared" si="44"/>
        <v>3.3538647377543085</v>
      </c>
    </row>
    <row r="518" spans="1:7" x14ac:dyDescent="0.35">
      <c r="A518">
        <v>1342</v>
      </c>
      <c r="B518">
        <f t="shared" si="40"/>
        <v>3.6479361775927828</v>
      </c>
      <c r="C518">
        <f t="shared" si="41"/>
        <v>13.307438355790243</v>
      </c>
      <c r="D518">
        <v>16729</v>
      </c>
      <c r="E518">
        <f t="shared" si="42"/>
        <v>1.6729000000000001</v>
      </c>
      <c r="F518">
        <f t="shared" si="43"/>
        <v>-1.7069559833506724</v>
      </c>
      <c r="G518">
        <f t="shared" si="44"/>
        <v>2.9136987290966609</v>
      </c>
    </row>
    <row r="519" spans="1:7" x14ac:dyDescent="0.35">
      <c r="A519">
        <v>1342</v>
      </c>
      <c r="B519">
        <f t="shared" si="40"/>
        <v>3.6479361775927828</v>
      </c>
      <c r="C519">
        <f t="shared" si="41"/>
        <v>13.307438355790243</v>
      </c>
      <c r="D519">
        <v>13375</v>
      </c>
      <c r="E519">
        <f t="shared" si="42"/>
        <v>1.3374999999999999</v>
      </c>
      <c r="F519">
        <f t="shared" si="43"/>
        <v>-2.0423559833506726</v>
      </c>
      <c r="G519">
        <f t="shared" si="44"/>
        <v>4.171217962728293</v>
      </c>
    </row>
    <row r="520" spans="1:7" x14ac:dyDescent="0.35">
      <c r="A520">
        <v>1342</v>
      </c>
      <c r="B520">
        <f t="shared" si="40"/>
        <v>3.6479361775927828</v>
      </c>
      <c r="C520">
        <f t="shared" si="41"/>
        <v>13.307438355790243</v>
      </c>
      <c r="D520">
        <v>14516</v>
      </c>
      <c r="E520">
        <f t="shared" si="42"/>
        <v>1.4516</v>
      </c>
      <c r="F520">
        <f t="shared" si="43"/>
        <v>-1.9282559833506725</v>
      </c>
      <c r="G520">
        <f t="shared" si="44"/>
        <v>3.7181711373276691</v>
      </c>
    </row>
    <row r="521" spans="1:7" x14ac:dyDescent="0.35">
      <c r="A521">
        <v>1342</v>
      </c>
      <c r="B521">
        <f t="shared" si="40"/>
        <v>3.6479361775927828</v>
      </c>
      <c r="C521">
        <f t="shared" si="41"/>
        <v>13.307438355790243</v>
      </c>
      <c r="D521">
        <v>14514</v>
      </c>
      <c r="E521">
        <f t="shared" si="42"/>
        <v>1.4514</v>
      </c>
      <c r="F521">
        <f t="shared" si="43"/>
        <v>-1.9284559833506725</v>
      </c>
      <c r="G521">
        <f t="shared" si="44"/>
        <v>3.7189424797210093</v>
      </c>
    </row>
    <row r="522" spans="1:7" x14ac:dyDescent="0.35">
      <c r="A522">
        <v>1342</v>
      </c>
      <c r="B522">
        <f t="shared" si="40"/>
        <v>3.6479361775927828</v>
      </c>
      <c r="C522">
        <f t="shared" si="41"/>
        <v>13.307438355790243</v>
      </c>
      <c r="D522">
        <v>13201</v>
      </c>
      <c r="E522">
        <f t="shared" si="42"/>
        <v>1.3201000000000001</v>
      </c>
      <c r="F522">
        <f t="shared" si="43"/>
        <v>-2.0597559833506724</v>
      </c>
      <c r="G522">
        <f t="shared" si="44"/>
        <v>4.2425947109488957</v>
      </c>
    </row>
    <row r="523" spans="1:7" x14ac:dyDescent="0.35">
      <c r="A523">
        <v>1342</v>
      </c>
      <c r="B523">
        <f t="shared" si="40"/>
        <v>3.6479361775927828</v>
      </c>
      <c r="C523">
        <f t="shared" si="41"/>
        <v>13.307438355790243</v>
      </c>
      <c r="D523">
        <v>15214</v>
      </c>
      <c r="E523">
        <f t="shared" si="42"/>
        <v>1.5214000000000001</v>
      </c>
      <c r="F523">
        <f t="shared" si="43"/>
        <v>-1.8584559833506724</v>
      </c>
      <c r="G523">
        <f t="shared" si="44"/>
        <v>3.4538586420519146</v>
      </c>
    </row>
    <row r="524" spans="1:7" x14ac:dyDescent="0.35">
      <c r="A524">
        <v>1342</v>
      </c>
      <c r="B524">
        <f t="shared" si="40"/>
        <v>3.6479361775927828</v>
      </c>
      <c r="C524">
        <f t="shared" si="41"/>
        <v>13.307438355790243</v>
      </c>
      <c r="D524">
        <v>13200</v>
      </c>
      <c r="E524">
        <f t="shared" si="42"/>
        <v>1.32</v>
      </c>
      <c r="F524">
        <f t="shared" si="43"/>
        <v>-2.0598559833506727</v>
      </c>
      <c r="G524">
        <f t="shared" si="44"/>
        <v>4.243006672145567</v>
      </c>
    </row>
    <row r="525" spans="1:7" x14ac:dyDescent="0.35">
      <c r="A525">
        <v>1342</v>
      </c>
      <c r="B525">
        <f t="shared" si="40"/>
        <v>3.6479361775927828</v>
      </c>
      <c r="C525">
        <f t="shared" si="41"/>
        <v>13.307438355790243</v>
      </c>
      <c r="D525">
        <v>14167</v>
      </c>
      <c r="E525">
        <f t="shared" si="42"/>
        <v>1.4167000000000001</v>
      </c>
      <c r="F525">
        <f t="shared" si="43"/>
        <v>-1.9631559833506724</v>
      </c>
      <c r="G525">
        <f t="shared" si="44"/>
        <v>3.8539814149655456</v>
      </c>
    </row>
    <row r="526" spans="1:7" x14ac:dyDescent="0.35">
      <c r="A526">
        <v>1342</v>
      </c>
      <c r="B526">
        <f t="shared" si="40"/>
        <v>3.6479361775927828</v>
      </c>
      <c r="C526">
        <f t="shared" si="41"/>
        <v>13.307438355790243</v>
      </c>
      <c r="D526">
        <v>14231</v>
      </c>
      <c r="E526">
        <f t="shared" si="42"/>
        <v>1.4231</v>
      </c>
      <c r="F526">
        <f t="shared" si="43"/>
        <v>-1.9567559833506725</v>
      </c>
      <c r="G526">
        <f t="shared" si="44"/>
        <v>3.8288939783786571</v>
      </c>
    </row>
    <row r="527" spans="1:7" x14ac:dyDescent="0.35">
      <c r="A527">
        <v>1342</v>
      </c>
      <c r="B527">
        <f t="shared" si="40"/>
        <v>3.6479361775927828</v>
      </c>
      <c r="C527">
        <f t="shared" si="41"/>
        <v>13.307438355790243</v>
      </c>
      <c r="D527">
        <v>15000</v>
      </c>
      <c r="E527">
        <f t="shared" si="42"/>
        <v>1.5</v>
      </c>
      <c r="F527">
        <f t="shared" si="43"/>
        <v>-1.8798559833506725</v>
      </c>
      <c r="G527">
        <f t="shared" si="44"/>
        <v>3.5338585181393238</v>
      </c>
    </row>
    <row r="528" spans="1:7" x14ac:dyDescent="0.35">
      <c r="A528">
        <v>1342</v>
      </c>
      <c r="B528">
        <f t="shared" si="40"/>
        <v>3.6479361775927828</v>
      </c>
      <c r="C528">
        <f t="shared" si="41"/>
        <v>13.307438355790243</v>
      </c>
      <c r="D528">
        <v>14903</v>
      </c>
      <c r="E528">
        <f t="shared" si="42"/>
        <v>1.4903</v>
      </c>
      <c r="F528">
        <f t="shared" si="43"/>
        <v>-1.8895559833506725</v>
      </c>
      <c r="G528">
        <f t="shared" si="44"/>
        <v>3.5704218142163269</v>
      </c>
    </row>
    <row r="529" spans="1:7" x14ac:dyDescent="0.35">
      <c r="A529">
        <v>1342</v>
      </c>
      <c r="B529">
        <f t="shared" si="40"/>
        <v>3.6479361775927828</v>
      </c>
      <c r="C529">
        <f t="shared" si="41"/>
        <v>13.307438355790243</v>
      </c>
      <c r="D529">
        <v>14882</v>
      </c>
      <c r="E529">
        <f t="shared" si="42"/>
        <v>1.4882</v>
      </c>
      <c r="F529">
        <f t="shared" si="43"/>
        <v>-1.8916559833506725</v>
      </c>
      <c r="G529">
        <f t="shared" si="44"/>
        <v>3.5783623593464</v>
      </c>
    </row>
    <row r="530" spans="1:7" x14ac:dyDescent="0.35">
      <c r="A530">
        <v>1342</v>
      </c>
      <c r="B530">
        <f t="shared" si="40"/>
        <v>3.6479361775927828</v>
      </c>
      <c r="C530">
        <f t="shared" si="41"/>
        <v>13.307438355790243</v>
      </c>
      <c r="D530">
        <v>14891</v>
      </c>
      <c r="E530">
        <f t="shared" si="42"/>
        <v>1.4891000000000001</v>
      </c>
      <c r="F530">
        <f t="shared" si="43"/>
        <v>-1.8907559833506724</v>
      </c>
      <c r="G530">
        <f t="shared" si="44"/>
        <v>3.5749581885763684</v>
      </c>
    </row>
    <row r="531" spans="1:7" x14ac:dyDescent="0.35">
      <c r="A531">
        <v>1342</v>
      </c>
      <c r="B531">
        <f t="shared" si="40"/>
        <v>3.6479361775927828</v>
      </c>
      <c r="C531">
        <f t="shared" si="41"/>
        <v>13.307438355790243</v>
      </c>
      <c r="D531">
        <v>19938</v>
      </c>
      <c r="E531">
        <f t="shared" si="42"/>
        <v>1.9938</v>
      </c>
      <c r="F531">
        <f t="shared" si="43"/>
        <v>-1.3860559833506725</v>
      </c>
      <c r="G531">
        <f t="shared" si="44"/>
        <v>1.9211511889821997</v>
      </c>
    </row>
    <row r="532" spans="1:7" x14ac:dyDescent="0.35">
      <c r="A532">
        <v>1342</v>
      </c>
      <c r="B532">
        <f t="shared" si="40"/>
        <v>3.6479361775927828</v>
      </c>
      <c r="C532">
        <f t="shared" si="41"/>
        <v>13.307438355790243</v>
      </c>
      <c r="D532">
        <v>20087</v>
      </c>
      <c r="E532">
        <f t="shared" si="42"/>
        <v>2.0087000000000002</v>
      </c>
      <c r="F532">
        <f t="shared" si="43"/>
        <v>-1.3711559833506723</v>
      </c>
      <c r="G532">
        <f t="shared" si="44"/>
        <v>1.8800687306783492</v>
      </c>
    </row>
    <row r="533" spans="1:7" x14ac:dyDescent="0.35">
      <c r="A533">
        <v>1342</v>
      </c>
      <c r="B533">
        <f t="shared" si="40"/>
        <v>3.6479361775927828</v>
      </c>
      <c r="C533">
        <f t="shared" si="41"/>
        <v>13.307438355790243</v>
      </c>
      <c r="D533">
        <v>16000</v>
      </c>
      <c r="E533">
        <f t="shared" si="42"/>
        <v>1.6</v>
      </c>
      <c r="F533">
        <f t="shared" si="43"/>
        <v>-1.7798559833506724</v>
      </c>
      <c r="G533">
        <f t="shared" si="44"/>
        <v>3.1678873214691889</v>
      </c>
    </row>
    <row r="534" spans="1:7" x14ac:dyDescent="0.35">
      <c r="A534">
        <v>1342</v>
      </c>
      <c r="B534">
        <f t="shared" si="40"/>
        <v>3.6479361775927828</v>
      </c>
      <c r="C534">
        <f t="shared" si="41"/>
        <v>13.307438355790243</v>
      </c>
      <c r="D534">
        <v>15000</v>
      </c>
      <c r="E534">
        <f t="shared" si="42"/>
        <v>1.5</v>
      </c>
      <c r="F534">
        <f t="shared" si="43"/>
        <v>-1.8798559833506725</v>
      </c>
      <c r="G534">
        <f t="shared" si="44"/>
        <v>3.5338585181393238</v>
      </c>
    </row>
    <row r="535" spans="1:7" x14ac:dyDescent="0.35">
      <c r="A535">
        <v>1342</v>
      </c>
      <c r="B535">
        <f t="shared" si="40"/>
        <v>3.6479361775927828</v>
      </c>
      <c r="C535">
        <f t="shared" si="41"/>
        <v>13.307438355790243</v>
      </c>
      <c r="D535">
        <v>15000</v>
      </c>
      <c r="E535">
        <f t="shared" si="42"/>
        <v>1.5</v>
      </c>
      <c r="F535">
        <f t="shared" si="43"/>
        <v>-1.8798559833506725</v>
      </c>
      <c r="G535">
        <f t="shared" si="44"/>
        <v>3.5338585181393238</v>
      </c>
    </row>
    <row r="536" spans="1:7" x14ac:dyDescent="0.35">
      <c r="A536">
        <v>1342</v>
      </c>
      <c r="B536">
        <f t="shared" si="40"/>
        <v>3.6479361775927828</v>
      </c>
      <c r="C536">
        <f t="shared" si="41"/>
        <v>13.307438355790243</v>
      </c>
      <c r="D536">
        <v>15000</v>
      </c>
      <c r="E536">
        <f t="shared" si="42"/>
        <v>1.5</v>
      </c>
      <c r="F536">
        <f t="shared" si="43"/>
        <v>-1.8798559833506725</v>
      </c>
      <c r="G536">
        <f t="shared" si="44"/>
        <v>3.5338585181393238</v>
      </c>
    </row>
    <row r="537" spans="1:7" x14ac:dyDescent="0.35">
      <c r="A537">
        <v>1342</v>
      </c>
      <c r="B537">
        <f t="shared" si="40"/>
        <v>3.6479361775927828</v>
      </c>
      <c r="C537">
        <f t="shared" si="41"/>
        <v>13.307438355790243</v>
      </c>
      <c r="D537">
        <v>23353</v>
      </c>
      <c r="E537">
        <f t="shared" si="42"/>
        <v>2.3353000000000002</v>
      </c>
      <c r="F537">
        <f t="shared" si="43"/>
        <v>-1.0445559833506723</v>
      </c>
      <c r="G537">
        <f t="shared" si="44"/>
        <v>1.09109720235369</v>
      </c>
    </row>
    <row r="538" spans="1:7" x14ac:dyDescent="0.35">
      <c r="A538">
        <v>1342</v>
      </c>
      <c r="B538">
        <f t="shared" si="40"/>
        <v>3.6479361775927828</v>
      </c>
      <c r="C538">
        <f t="shared" si="41"/>
        <v>13.307438355790243</v>
      </c>
      <c r="D538">
        <v>16000</v>
      </c>
      <c r="E538">
        <f t="shared" si="42"/>
        <v>1.6</v>
      </c>
      <c r="F538">
        <f t="shared" si="43"/>
        <v>-1.7798559833506724</v>
      </c>
      <c r="G538">
        <f t="shared" si="44"/>
        <v>3.1678873214691889</v>
      </c>
    </row>
    <row r="539" spans="1:7" x14ac:dyDescent="0.35">
      <c r="A539">
        <v>1342</v>
      </c>
      <c r="B539">
        <f t="shared" si="40"/>
        <v>3.6479361775927828</v>
      </c>
      <c r="C539">
        <f t="shared" si="41"/>
        <v>13.307438355790243</v>
      </c>
      <c r="D539">
        <v>30000</v>
      </c>
      <c r="E539">
        <f t="shared" si="42"/>
        <v>3</v>
      </c>
      <c r="F539">
        <f t="shared" si="43"/>
        <v>-0.3798559833506725</v>
      </c>
      <c r="G539">
        <f t="shared" si="44"/>
        <v>0.14429056808730639</v>
      </c>
    </row>
    <row r="540" spans="1:7" x14ac:dyDescent="0.35">
      <c r="A540">
        <v>1342</v>
      </c>
      <c r="B540">
        <f t="shared" si="40"/>
        <v>3.6479361775927828</v>
      </c>
      <c r="C540">
        <f t="shared" si="41"/>
        <v>13.307438355790243</v>
      </c>
      <c r="D540">
        <v>18665</v>
      </c>
      <c r="E540">
        <f t="shared" si="42"/>
        <v>1.8665</v>
      </c>
      <c r="F540">
        <f t="shared" si="43"/>
        <v>-1.5133559833506725</v>
      </c>
      <c r="G540">
        <f t="shared" si="44"/>
        <v>2.2902463323432807</v>
      </c>
    </row>
    <row r="541" spans="1:7" x14ac:dyDescent="0.35">
      <c r="A541">
        <v>1342</v>
      </c>
      <c r="B541">
        <f t="shared" si="40"/>
        <v>3.6479361775927828</v>
      </c>
      <c r="C541">
        <f t="shared" si="41"/>
        <v>13.307438355790243</v>
      </c>
      <c r="D541">
        <v>14000</v>
      </c>
      <c r="E541">
        <f t="shared" si="42"/>
        <v>1.4</v>
      </c>
      <c r="F541">
        <f t="shared" si="43"/>
        <v>-1.9798559833506726</v>
      </c>
      <c r="G541">
        <f t="shared" si="44"/>
        <v>3.9198297148094587</v>
      </c>
    </row>
    <row r="542" spans="1:7" x14ac:dyDescent="0.35">
      <c r="A542">
        <v>1342</v>
      </c>
      <c r="B542">
        <f t="shared" si="40"/>
        <v>3.6479361775927828</v>
      </c>
      <c r="C542">
        <f t="shared" si="41"/>
        <v>13.307438355790243</v>
      </c>
      <c r="D542">
        <v>14000</v>
      </c>
      <c r="E542">
        <f t="shared" si="42"/>
        <v>1.4</v>
      </c>
      <c r="F542">
        <f t="shared" si="43"/>
        <v>-1.9798559833506726</v>
      </c>
      <c r="G542">
        <f t="shared" si="44"/>
        <v>3.9198297148094587</v>
      </c>
    </row>
    <row r="543" spans="1:7" x14ac:dyDescent="0.35">
      <c r="A543">
        <v>1342</v>
      </c>
      <c r="B543">
        <f t="shared" si="40"/>
        <v>3.6479361775927828</v>
      </c>
      <c r="C543">
        <f t="shared" si="41"/>
        <v>13.307438355790243</v>
      </c>
      <c r="D543">
        <v>14792</v>
      </c>
      <c r="E543">
        <f t="shared" si="42"/>
        <v>1.4792000000000001</v>
      </c>
      <c r="F543">
        <f t="shared" si="43"/>
        <v>-1.9006559833506724</v>
      </c>
      <c r="G543">
        <f t="shared" si="44"/>
        <v>3.6124931670467118</v>
      </c>
    </row>
    <row r="544" spans="1:7" x14ac:dyDescent="0.35">
      <c r="A544">
        <v>322</v>
      </c>
      <c r="B544">
        <f t="shared" si="40"/>
        <v>-1016.3520638224072</v>
      </c>
      <c r="C544">
        <f t="shared" si="41"/>
        <v>1032971.5176360665</v>
      </c>
      <c r="D544">
        <v>5287</v>
      </c>
      <c r="E544">
        <f t="shared" si="42"/>
        <v>0.52869999999999995</v>
      </c>
      <c r="F544">
        <f t="shared" si="43"/>
        <v>-2.8511559833506723</v>
      </c>
      <c r="G544">
        <f t="shared" si="44"/>
        <v>8.1290904413963396</v>
      </c>
    </row>
    <row r="545" spans="1:7" x14ac:dyDescent="0.35">
      <c r="A545">
        <v>322</v>
      </c>
      <c r="B545">
        <f t="shared" si="40"/>
        <v>-1016.3520638224072</v>
      </c>
      <c r="C545">
        <f t="shared" si="41"/>
        <v>1032971.5176360665</v>
      </c>
      <c r="D545">
        <v>8083</v>
      </c>
      <c r="E545">
        <f t="shared" si="42"/>
        <v>0.80830000000000002</v>
      </c>
      <c r="F545">
        <f t="shared" si="43"/>
        <v>-2.5715559833506725</v>
      </c>
      <c r="G545">
        <f t="shared" si="44"/>
        <v>6.6129001755066446</v>
      </c>
    </row>
    <row r="546" spans="1:7" x14ac:dyDescent="0.35">
      <c r="A546">
        <v>322</v>
      </c>
      <c r="B546">
        <f t="shared" si="40"/>
        <v>-1016.3520638224072</v>
      </c>
      <c r="C546">
        <f t="shared" si="41"/>
        <v>1032971.5176360665</v>
      </c>
      <c r="D546">
        <v>9131</v>
      </c>
      <c r="E546">
        <f t="shared" si="42"/>
        <v>0.91310000000000002</v>
      </c>
      <c r="F546">
        <f t="shared" si="43"/>
        <v>-2.4667559833506725</v>
      </c>
      <c r="G546">
        <f t="shared" si="44"/>
        <v>6.0848850813963429</v>
      </c>
    </row>
    <row r="547" spans="1:7" x14ac:dyDescent="0.35">
      <c r="A547">
        <v>322</v>
      </c>
      <c r="B547">
        <f t="shared" si="40"/>
        <v>-1016.3520638224072</v>
      </c>
      <c r="C547">
        <f t="shared" si="41"/>
        <v>1032971.5176360665</v>
      </c>
      <c r="D547">
        <v>27888</v>
      </c>
      <c r="E547">
        <f t="shared" si="42"/>
        <v>2.7888000000000002</v>
      </c>
      <c r="F547">
        <f t="shared" si="43"/>
        <v>-0.59105598335067233</v>
      </c>
      <c r="G547">
        <f t="shared" si="44"/>
        <v>0.34934717545463023</v>
      </c>
    </row>
    <row r="548" spans="1:7" x14ac:dyDescent="0.35">
      <c r="A548">
        <v>322</v>
      </c>
      <c r="B548">
        <f t="shared" si="40"/>
        <v>-1016.3520638224072</v>
      </c>
      <c r="C548">
        <f t="shared" si="41"/>
        <v>1032971.5176360665</v>
      </c>
      <c r="D548">
        <v>17916</v>
      </c>
      <c r="E548">
        <f t="shared" si="42"/>
        <v>1.7916000000000001</v>
      </c>
      <c r="F548">
        <f t="shared" si="43"/>
        <v>-1.5882559833506724</v>
      </c>
      <c r="G548">
        <f t="shared" si="44"/>
        <v>2.5225570686492116</v>
      </c>
    </row>
    <row r="549" spans="1:7" x14ac:dyDescent="0.35">
      <c r="A549">
        <v>322</v>
      </c>
      <c r="B549">
        <f t="shared" si="40"/>
        <v>-1016.3520638224072</v>
      </c>
      <c r="C549">
        <f t="shared" si="41"/>
        <v>1032971.5176360665</v>
      </c>
      <c r="D549">
        <v>24287</v>
      </c>
      <c r="E549">
        <f t="shared" si="42"/>
        <v>2.4287000000000001</v>
      </c>
      <c r="F549">
        <f t="shared" si="43"/>
        <v>-0.95115598335067242</v>
      </c>
      <c r="G549">
        <f t="shared" si="44"/>
        <v>0.90469770466378463</v>
      </c>
    </row>
    <row r="550" spans="1:7" x14ac:dyDescent="0.35">
      <c r="A550">
        <v>322</v>
      </c>
      <c r="B550">
        <f t="shared" si="40"/>
        <v>-1016.3520638224072</v>
      </c>
      <c r="C550">
        <f t="shared" si="41"/>
        <v>1032971.5176360665</v>
      </c>
      <c r="D550">
        <v>20265</v>
      </c>
      <c r="E550">
        <f t="shared" si="42"/>
        <v>2.0265</v>
      </c>
      <c r="F550">
        <f t="shared" si="43"/>
        <v>-1.3533559833506725</v>
      </c>
      <c r="G550">
        <f t="shared" si="44"/>
        <v>1.8315724176710659</v>
      </c>
    </row>
    <row r="551" spans="1:7" x14ac:dyDescent="0.35">
      <c r="A551">
        <v>322</v>
      </c>
      <c r="B551">
        <f t="shared" si="40"/>
        <v>-1016.3520638224072</v>
      </c>
      <c r="C551">
        <f t="shared" si="41"/>
        <v>1032971.5176360665</v>
      </c>
      <c r="D551">
        <v>5586</v>
      </c>
      <c r="E551">
        <f t="shared" si="42"/>
        <v>0.55859999999999999</v>
      </c>
      <c r="F551">
        <f t="shared" si="43"/>
        <v>-2.8212559833506727</v>
      </c>
      <c r="G551">
        <f t="shared" si="44"/>
        <v>7.9594853235919718</v>
      </c>
    </row>
    <row r="552" spans="1:7" x14ac:dyDescent="0.35">
      <c r="A552">
        <v>322</v>
      </c>
      <c r="B552">
        <f t="shared" si="40"/>
        <v>-1016.3520638224072</v>
      </c>
      <c r="C552">
        <f t="shared" si="41"/>
        <v>1032971.5176360665</v>
      </c>
      <c r="D552">
        <v>17414</v>
      </c>
      <c r="E552">
        <f t="shared" si="42"/>
        <v>1.7414000000000001</v>
      </c>
      <c r="F552">
        <f t="shared" si="43"/>
        <v>-1.6384559833506724</v>
      </c>
      <c r="G552">
        <f t="shared" si="44"/>
        <v>2.684538009377619</v>
      </c>
    </row>
    <row r="553" spans="1:7" x14ac:dyDescent="0.35">
      <c r="A553">
        <v>322</v>
      </c>
      <c r="B553">
        <f t="shared" si="40"/>
        <v>-1016.3520638224072</v>
      </c>
      <c r="C553">
        <f t="shared" si="41"/>
        <v>1032971.5176360665</v>
      </c>
      <c r="D553">
        <v>11342</v>
      </c>
      <c r="E553">
        <f t="shared" si="42"/>
        <v>1.1342000000000001</v>
      </c>
      <c r="F553">
        <f t="shared" si="43"/>
        <v>-2.2456559833506722</v>
      </c>
      <c r="G553">
        <f t="shared" si="44"/>
        <v>5.0429707955586744</v>
      </c>
    </row>
    <row r="554" spans="1:7" x14ac:dyDescent="0.35">
      <c r="A554">
        <v>322</v>
      </c>
      <c r="B554">
        <f t="shared" si="40"/>
        <v>-1016.3520638224072</v>
      </c>
      <c r="C554">
        <f t="shared" si="41"/>
        <v>1032971.5176360665</v>
      </c>
      <c r="D554">
        <v>15685</v>
      </c>
      <c r="E554">
        <f t="shared" si="42"/>
        <v>1.5685</v>
      </c>
      <c r="F554">
        <f t="shared" si="43"/>
        <v>-1.8113559833506725</v>
      </c>
      <c r="G554">
        <f t="shared" si="44"/>
        <v>3.2810104984202817</v>
      </c>
    </row>
    <row r="555" spans="1:7" x14ac:dyDescent="0.35">
      <c r="A555">
        <v>322</v>
      </c>
      <c r="B555">
        <f t="shared" si="40"/>
        <v>-1016.3520638224072</v>
      </c>
      <c r="C555">
        <f t="shared" si="41"/>
        <v>1032971.5176360665</v>
      </c>
      <c r="D555">
        <v>12903</v>
      </c>
      <c r="E555">
        <f t="shared" si="42"/>
        <v>1.2903</v>
      </c>
      <c r="F555">
        <f t="shared" si="43"/>
        <v>-2.0895559833506727</v>
      </c>
      <c r="G555">
        <f t="shared" si="44"/>
        <v>4.3662442075565968</v>
      </c>
    </row>
    <row r="556" spans="1:7" x14ac:dyDescent="0.35">
      <c r="A556">
        <v>322</v>
      </c>
      <c r="B556">
        <f t="shared" si="40"/>
        <v>-1016.3520638224072</v>
      </c>
      <c r="C556">
        <f t="shared" si="41"/>
        <v>1032971.5176360665</v>
      </c>
      <c r="D556">
        <v>13125</v>
      </c>
      <c r="E556">
        <f t="shared" si="42"/>
        <v>1.3125</v>
      </c>
      <c r="F556">
        <f t="shared" si="43"/>
        <v>-2.0673559833506725</v>
      </c>
      <c r="G556">
        <f t="shared" si="44"/>
        <v>4.2739607618958262</v>
      </c>
    </row>
    <row r="557" spans="1:7" x14ac:dyDescent="0.35">
      <c r="A557">
        <v>322</v>
      </c>
      <c r="B557">
        <f t="shared" si="40"/>
        <v>-1016.3520638224072</v>
      </c>
      <c r="C557">
        <f t="shared" si="41"/>
        <v>1032971.5176360665</v>
      </c>
      <c r="D557">
        <v>17421</v>
      </c>
      <c r="E557">
        <f t="shared" si="42"/>
        <v>1.7421</v>
      </c>
      <c r="F557">
        <f t="shared" si="43"/>
        <v>-1.6377559833506725</v>
      </c>
      <c r="G557">
        <f t="shared" si="44"/>
        <v>2.6822446610009285</v>
      </c>
    </row>
    <row r="558" spans="1:7" x14ac:dyDescent="0.35">
      <c r="A558">
        <v>322</v>
      </c>
      <c r="B558">
        <f t="shared" si="40"/>
        <v>-1016.3520638224072</v>
      </c>
      <c r="C558">
        <f t="shared" si="41"/>
        <v>1032971.5176360665</v>
      </c>
      <c r="D558">
        <v>10341</v>
      </c>
      <c r="E558">
        <f t="shared" si="42"/>
        <v>1.0341</v>
      </c>
      <c r="F558">
        <f t="shared" si="43"/>
        <v>-2.3457559833506725</v>
      </c>
      <c r="G558">
        <f t="shared" si="44"/>
        <v>5.5025711334254801</v>
      </c>
    </row>
    <row r="559" spans="1:7" x14ac:dyDescent="0.35">
      <c r="A559">
        <v>322</v>
      </c>
      <c r="B559">
        <f t="shared" si="40"/>
        <v>-1016.3520638224072</v>
      </c>
      <c r="C559">
        <f t="shared" si="41"/>
        <v>1032971.5176360665</v>
      </c>
      <c r="D559">
        <v>12868</v>
      </c>
      <c r="E559">
        <f t="shared" si="42"/>
        <v>1.2867999999999999</v>
      </c>
      <c r="F559">
        <f t="shared" si="43"/>
        <v>-2.0930559833506726</v>
      </c>
      <c r="G559">
        <f t="shared" si="44"/>
        <v>4.380883349440051</v>
      </c>
    </row>
    <row r="560" spans="1:7" x14ac:dyDescent="0.35">
      <c r="A560">
        <v>322</v>
      </c>
      <c r="B560">
        <f t="shared" si="40"/>
        <v>-1016.3520638224072</v>
      </c>
      <c r="C560">
        <f t="shared" si="41"/>
        <v>1032971.5176360665</v>
      </c>
      <c r="D560">
        <v>12994</v>
      </c>
      <c r="E560">
        <f t="shared" si="42"/>
        <v>1.2994000000000001</v>
      </c>
      <c r="F560">
        <f t="shared" si="43"/>
        <v>-2.0804559833506726</v>
      </c>
      <c r="G560">
        <f t="shared" si="44"/>
        <v>4.3282970986596139</v>
      </c>
    </row>
    <row r="561" spans="1:7" x14ac:dyDescent="0.35">
      <c r="A561">
        <v>322</v>
      </c>
      <c r="B561">
        <f t="shared" si="40"/>
        <v>-1016.3520638224072</v>
      </c>
      <c r="C561">
        <f t="shared" si="41"/>
        <v>1032971.5176360665</v>
      </c>
      <c r="D561">
        <v>9705</v>
      </c>
      <c r="E561">
        <f t="shared" si="42"/>
        <v>0.97050000000000003</v>
      </c>
      <c r="F561">
        <f t="shared" si="43"/>
        <v>-2.4093559833506726</v>
      </c>
      <c r="G561">
        <f t="shared" si="44"/>
        <v>5.8049962545076861</v>
      </c>
    </row>
    <row r="562" spans="1:7" x14ac:dyDescent="0.35">
      <c r="A562">
        <v>322</v>
      </c>
      <c r="B562">
        <f t="shared" si="40"/>
        <v>-1016.3520638224072</v>
      </c>
      <c r="C562">
        <f t="shared" si="41"/>
        <v>1032971.5176360665</v>
      </c>
      <c r="D562">
        <v>13264</v>
      </c>
      <c r="E562">
        <f t="shared" si="42"/>
        <v>1.3264</v>
      </c>
      <c r="F562">
        <f t="shared" si="43"/>
        <v>-2.0534559833506725</v>
      </c>
      <c r="G562">
        <f t="shared" si="44"/>
        <v>4.2166814755586772</v>
      </c>
    </row>
    <row r="563" spans="1:7" x14ac:dyDescent="0.35">
      <c r="A563">
        <v>322</v>
      </c>
      <c r="B563">
        <f t="shared" si="40"/>
        <v>-1016.3520638224072</v>
      </c>
      <c r="C563">
        <f t="shared" si="41"/>
        <v>1032971.5176360665</v>
      </c>
      <c r="D563">
        <v>10263</v>
      </c>
      <c r="E563">
        <f t="shared" si="42"/>
        <v>1.0263</v>
      </c>
      <c r="F563">
        <f t="shared" si="43"/>
        <v>-2.3535559833506725</v>
      </c>
      <c r="G563">
        <f t="shared" si="44"/>
        <v>5.5392257667657514</v>
      </c>
    </row>
    <row r="564" spans="1:7" x14ac:dyDescent="0.35">
      <c r="A564">
        <v>322</v>
      </c>
      <c r="B564">
        <f t="shared" si="40"/>
        <v>-1016.3520638224072</v>
      </c>
      <c r="C564">
        <f t="shared" si="41"/>
        <v>1032971.5176360665</v>
      </c>
      <c r="D564">
        <v>12486</v>
      </c>
      <c r="E564">
        <f t="shared" si="42"/>
        <v>1.2485999999999999</v>
      </c>
      <c r="F564">
        <f t="shared" si="43"/>
        <v>-2.1312559833506723</v>
      </c>
      <c r="G564">
        <f t="shared" si="44"/>
        <v>4.5422520665680413</v>
      </c>
    </row>
    <row r="565" spans="1:7" x14ac:dyDescent="0.35">
      <c r="A565">
        <v>322</v>
      </c>
      <c r="B565">
        <f t="shared" si="40"/>
        <v>-1016.3520638224072</v>
      </c>
      <c r="C565">
        <f t="shared" si="41"/>
        <v>1032971.5176360665</v>
      </c>
      <c r="D565">
        <v>15696</v>
      </c>
      <c r="E565">
        <f t="shared" si="42"/>
        <v>1.5696000000000001</v>
      </c>
      <c r="F565">
        <f t="shared" si="43"/>
        <v>-1.8102559833506724</v>
      </c>
      <c r="G565">
        <f t="shared" si="44"/>
        <v>3.2770267252569099</v>
      </c>
    </row>
    <row r="566" spans="1:7" x14ac:dyDescent="0.35">
      <c r="A566">
        <v>322</v>
      </c>
      <c r="B566">
        <f t="shared" si="40"/>
        <v>-1016.3520638224072</v>
      </c>
      <c r="C566">
        <f t="shared" si="41"/>
        <v>1032971.5176360665</v>
      </c>
      <c r="D566">
        <v>10481</v>
      </c>
      <c r="E566">
        <f t="shared" si="42"/>
        <v>1.0481</v>
      </c>
      <c r="F566">
        <f t="shared" si="43"/>
        <v>-2.3317559833506722</v>
      </c>
      <c r="G566">
        <f t="shared" si="44"/>
        <v>5.4370859658916606</v>
      </c>
    </row>
    <row r="567" spans="1:7" x14ac:dyDescent="0.35">
      <c r="A567">
        <v>322</v>
      </c>
      <c r="B567">
        <f t="shared" si="40"/>
        <v>-1016.3520638224072</v>
      </c>
      <c r="C567">
        <f t="shared" si="41"/>
        <v>1032971.5176360665</v>
      </c>
      <c r="D567">
        <v>13415</v>
      </c>
      <c r="E567">
        <f t="shared" si="42"/>
        <v>1.3414999999999999</v>
      </c>
      <c r="F567">
        <f t="shared" si="43"/>
        <v>-2.0383559833506726</v>
      </c>
      <c r="G567">
        <f t="shared" si="44"/>
        <v>4.1548951148614872</v>
      </c>
    </row>
    <row r="568" spans="1:7" x14ac:dyDescent="0.35">
      <c r="A568">
        <v>322</v>
      </c>
      <c r="B568">
        <f t="shared" si="40"/>
        <v>-1016.3520638224072</v>
      </c>
      <c r="C568">
        <f t="shared" si="41"/>
        <v>1032971.5176360665</v>
      </c>
      <c r="D568">
        <v>14296</v>
      </c>
      <c r="E568">
        <f t="shared" si="42"/>
        <v>1.4296</v>
      </c>
      <c r="F568">
        <f t="shared" si="43"/>
        <v>-1.9502559833506725</v>
      </c>
      <c r="G568">
        <f t="shared" si="44"/>
        <v>3.8034984005950987</v>
      </c>
    </row>
    <row r="569" spans="1:7" x14ac:dyDescent="0.35">
      <c r="A569">
        <v>322</v>
      </c>
      <c r="B569">
        <f t="shared" si="40"/>
        <v>-1016.3520638224072</v>
      </c>
      <c r="C569">
        <f t="shared" si="41"/>
        <v>1032971.5176360665</v>
      </c>
      <c r="D569">
        <v>12978</v>
      </c>
      <c r="E569">
        <f t="shared" si="42"/>
        <v>1.2978000000000001</v>
      </c>
      <c r="F569">
        <f t="shared" si="43"/>
        <v>-2.0820559833506724</v>
      </c>
      <c r="G569">
        <f t="shared" si="44"/>
        <v>4.3349571178063355</v>
      </c>
    </row>
    <row r="570" spans="1:7" x14ac:dyDescent="0.35">
      <c r="A570">
        <v>322</v>
      </c>
      <c r="B570">
        <f t="shared" si="40"/>
        <v>-1016.3520638224072</v>
      </c>
      <c r="C570">
        <f t="shared" si="41"/>
        <v>1032971.5176360665</v>
      </c>
      <c r="D570">
        <v>17377</v>
      </c>
      <c r="E570">
        <f t="shared" si="42"/>
        <v>1.7377</v>
      </c>
      <c r="F570">
        <f t="shared" si="43"/>
        <v>-1.6421559833506725</v>
      </c>
      <c r="G570">
        <f t="shared" si="44"/>
        <v>2.6966762736544143</v>
      </c>
    </row>
    <row r="571" spans="1:7" x14ac:dyDescent="0.35">
      <c r="A571">
        <v>322</v>
      </c>
      <c r="B571">
        <f t="shared" si="40"/>
        <v>-1016.3520638224072</v>
      </c>
      <c r="C571">
        <f t="shared" si="41"/>
        <v>1032971.5176360665</v>
      </c>
      <c r="D571">
        <v>15699</v>
      </c>
      <c r="E571">
        <f t="shared" si="42"/>
        <v>1.5699000000000001</v>
      </c>
      <c r="F571">
        <f t="shared" si="43"/>
        <v>-1.8099559833506724</v>
      </c>
      <c r="G571">
        <f t="shared" si="44"/>
        <v>3.2759406616668998</v>
      </c>
    </row>
    <row r="572" spans="1:7" x14ac:dyDescent="0.35">
      <c r="A572">
        <v>322</v>
      </c>
      <c r="B572">
        <f t="shared" si="40"/>
        <v>-1016.3520638224072</v>
      </c>
      <c r="C572">
        <f t="shared" si="41"/>
        <v>1032971.5176360665</v>
      </c>
      <c r="D572">
        <v>14155</v>
      </c>
      <c r="E572">
        <f t="shared" si="42"/>
        <v>1.4155</v>
      </c>
      <c r="F572">
        <f t="shared" si="43"/>
        <v>-1.9643559833506725</v>
      </c>
      <c r="G572">
        <f t="shared" si="44"/>
        <v>3.8586944293255878</v>
      </c>
    </row>
    <row r="573" spans="1:7" x14ac:dyDescent="0.35">
      <c r="A573">
        <v>322</v>
      </c>
      <c r="B573">
        <f t="shared" si="40"/>
        <v>-1016.3520638224072</v>
      </c>
      <c r="C573">
        <f t="shared" si="41"/>
        <v>1032971.5176360665</v>
      </c>
      <c r="D573">
        <v>14128</v>
      </c>
      <c r="E573">
        <f t="shared" si="42"/>
        <v>1.4128000000000001</v>
      </c>
      <c r="F573">
        <f t="shared" si="43"/>
        <v>-1.9670559833506724</v>
      </c>
      <c r="G573">
        <f t="shared" si="44"/>
        <v>3.8693092416356811</v>
      </c>
    </row>
    <row r="574" spans="1:7" x14ac:dyDescent="0.35">
      <c r="A574">
        <v>1522</v>
      </c>
      <c r="B574">
        <f t="shared" si="40"/>
        <v>183.64793617759278</v>
      </c>
      <c r="C574">
        <f t="shared" si="41"/>
        <v>33726.564462289192</v>
      </c>
      <c r="D574">
        <v>40667</v>
      </c>
      <c r="E574">
        <f t="shared" si="42"/>
        <v>4.0667</v>
      </c>
      <c r="F574">
        <f t="shared" si="43"/>
        <v>0.68684401664932748</v>
      </c>
      <c r="G574">
        <f t="shared" si="44"/>
        <v>0.47175470320698165</v>
      </c>
    </row>
    <row r="575" spans="1:7" x14ac:dyDescent="0.35">
      <c r="A575">
        <v>1522</v>
      </c>
      <c r="B575">
        <f t="shared" si="40"/>
        <v>183.64793617759278</v>
      </c>
      <c r="C575">
        <f t="shared" si="41"/>
        <v>33726.564462289192</v>
      </c>
      <c r="D575">
        <v>39559</v>
      </c>
      <c r="E575">
        <f t="shared" si="42"/>
        <v>3.9559000000000002</v>
      </c>
      <c r="F575">
        <f t="shared" si="43"/>
        <v>0.57604401664932769</v>
      </c>
      <c r="G575">
        <f t="shared" si="44"/>
        <v>0.3318267091174909</v>
      </c>
    </row>
    <row r="576" spans="1:7" x14ac:dyDescent="0.35">
      <c r="A576">
        <v>1522</v>
      </c>
      <c r="B576">
        <f t="shared" si="40"/>
        <v>183.64793617759278</v>
      </c>
      <c r="C576">
        <f t="shared" si="41"/>
        <v>33726.564462289192</v>
      </c>
      <c r="D576">
        <v>39451</v>
      </c>
      <c r="E576">
        <f t="shared" si="42"/>
        <v>3.9451000000000001</v>
      </c>
      <c r="F576">
        <f t="shared" si="43"/>
        <v>0.56524401664932755</v>
      </c>
      <c r="G576">
        <f t="shared" si="44"/>
        <v>0.31950079835786527</v>
      </c>
    </row>
    <row r="577" spans="1:7" x14ac:dyDescent="0.35">
      <c r="A577">
        <v>1522</v>
      </c>
      <c r="B577">
        <f t="shared" si="40"/>
        <v>183.64793617759278</v>
      </c>
      <c r="C577">
        <f t="shared" si="41"/>
        <v>33726.564462289192</v>
      </c>
      <c r="D577">
        <v>43077</v>
      </c>
      <c r="E577">
        <f t="shared" si="42"/>
        <v>4.3076999999999996</v>
      </c>
      <c r="F577">
        <f t="shared" si="43"/>
        <v>0.92784401664932714</v>
      </c>
      <c r="G577">
        <f t="shared" si="44"/>
        <v>0.86089451923195681</v>
      </c>
    </row>
    <row r="578" spans="1:7" x14ac:dyDescent="0.35">
      <c r="A578">
        <v>1522</v>
      </c>
      <c r="B578">
        <f t="shared" si="40"/>
        <v>183.64793617759278</v>
      </c>
      <c r="C578">
        <f t="shared" si="41"/>
        <v>33726.564462289192</v>
      </c>
      <c r="D578">
        <v>41734</v>
      </c>
      <c r="E578">
        <f t="shared" si="42"/>
        <v>4.1734</v>
      </c>
      <c r="F578">
        <f t="shared" si="43"/>
        <v>0.7935440166493275</v>
      </c>
      <c r="G578">
        <f t="shared" si="44"/>
        <v>0.62971210635994812</v>
      </c>
    </row>
    <row r="579" spans="1:7" x14ac:dyDescent="0.35">
      <c r="A579">
        <v>1522</v>
      </c>
      <c r="B579">
        <f t="shared" ref="B579:B642" si="45">A579-$J$1</f>
        <v>183.64793617759278</v>
      </c>
      <c r="C579">
        <f t="shared" ref="C579:C642" si="46">B579^2</f>
        <v>33726.564462289192</v>
      </c>
      <c r="D579">
        <v>39366</v>
      </c>
      <c r="E579">
        <f t="shared" ref="E579:E642" si="47">D579/10000</f>
        <v>3.9365999999999999</v>
      </c>
      <c r="F579">
        <f t="shared" ref="F579:F642" si="48">E579-$J$2</f>
        <v>0.55674401664932738</v>
      </c>
      <c r="G579">
        <f t="shared" ref="G579:G642" si="49">F579^2</f>
        <v>0.30996390007482655</v>
      </c>
    </row>
    <row r="580" spans="1:7" x14ac:dyDescent="0.35">
      <c r="A580">
        <v>1522</v>
      </c>
      <c r="B580">
        <f t="shared" si="45"/>
        <v>183.64793617759278</v>
      </c>
      <c r="C580">
        <f t="shared" si="46"/>
        <v>33726.564462289192</v>
      </c>
      <c r="D580">
        <v>42044</v>
      </c>
      <c r="E580">
        <f t="shared" si="47"/>
        <v>4.2043999999999997</v>
      </c>
      <c r="F580">
        <f t="shared" si="48"/>
        <v>0.82454401664932719</v>
      </c>
      <c r="G580">
        <f t="shared" si="49"/>
        <v>0.679872835392206</v>
      </c>
    </row>
    <row r="581" spans="1:7" x14ac:dyDescent="0.35">
      <c r="A581">
        <v>1522</v>
      </c>
      <c r="B581">
        <f t="shared" si="45"/>
        <v>183.64793617759278</v>
      </c>
      <c r="C581">
        <f t="shared" si="46"/>
        <v>33726.564462289192</v>
      </c>
      <c r="D581">
        <v>44921</v>
      </c>
      <c r="E581">
        <f t="shared" si="47"/>
        <v>4.4920999999999998</v>
      </c>
      <c r="F581">
        <f t="shared" si="48"/>
        <v>1.1122440166493273</v>
      </c>
      <c r="G581">
        <f t="shared" si="49"/>
        <v>1.2370867525722289</v>
      </c>
    </row>
    <row r="582" spans="1:7" x14ac:dyDescent="0.35">
      <c r="A582">
        <v>1522</v>
      </c>
      <c r="B582">
        <f t="shared" si="45"/>
        <v>183.64793617759278</v>
      </c>
      <c r="C582">
        <f t="shared" si="46"/>
        <v>33726.564462289192</v>
      </c>
      <c r="D582">
        <v>43834</v>
      </c>
      <c r="E582">
        <f t="shared" si="47"/>
        <v>4.3834</v>
      </c>
      <c r="F582">
        <f t="shared" si="48"/>
        <v>1.0035440166493275</v>
      </c>
      <c r="G582">
        <f t="shared" si="49"/>
        <v>1.0071005933526656</v>
      </c>
    </row>
    <row r="583" spans="1:7" x14ac:dyDescent="0.35">
      <c r="A583">
        <v>1522</v>
      </c>
      <c r="B583">
        <f t="shared" si="45"/>
        <v>183.64793617759278</v>
      </c>
      <c r="C583">
        <f t="shared" si="46"/>
        <v>33726.564462289192</v>
      </c>
      <c r="D583">
        <v>43000</v>
      </c>
      <c r="E583">
        <f t="shared" si="47"/>
        <v>4.3</v>
      </c>
      <c r="F583">
        <f t="shared" si="48"/>
        <v>0.92014401664932732</v>
      </c>
      <c r="G583">
        <f t="shared" si="49"/>
        <v>0.84666501137555761</v>
      </c>
    </row>
    <row r="584" spans="1:7" x14ac:dyDescent="0.35">
      <c r="A584">
        <v>1522</v>
      </c>
      <c r="B584">
        <f t="shared" si="45"/>
        <v>183.64793617759278</v>
      </c>
      <c r="C584">
        <f t="shared" si="46"/>
        <v>33726.564462289192</v>
      </c>
      <c r="D584">
        <v>47704</v>
      </c>
      <c r="E584">
        <f t="shared" si="47"/>
        <v>4.7704000000000004</v>
      </c>
      <c r="F584">
        <f t="shared" si="48"/>
        <v>1.3905440166493279</v>
      </c>
      <c r="G584">
        <f t="shared" si="49"/>
        <v>1.9336126622392464</v>
      </c>
    </row>
    <row r="585" spans="1:7" x14ac:dyDescent="0.35">
      <c r="A585">
        <v>1522</v>
      </c>
      <c r="B585">
        <f t="shared" si="45"/>
        <v>183.64793617759278</v>
      </c>
      <c r="C585">
        <f t="shared" si="46"/>
        <v>33726.564462289192</v>
      </c>
      <c r="D585">
        <v>36336</v>
      </c>
      <c r="E585">
        <f t="shared" si="47"/>
        <v>3.6335999999999999</v>
      </c>
      <c r="F585">
        <f t="shared" si="48"/>
        <v>0.25374401664932744</v>
      </c>
      <c r="G585">
        <f t="shared" si="49"/>
        <v>6.4386025985334161E-2</v>
      </c>
    </row>
    <row r="586" spans="1:7" x14ac:dyDescent="0.35">
      <c r="A586">
        <v>1522</v>
      </c>
      <c r="B586">
        <f t="shared" si="45"/>
        <v>183.64793617759278</v>
      </c>
      <c r="C586">
        <f t="shared" si="46"/>
        <v>33726.564462289192</v>
      </c>
      <c r="D586">
        <v>39089</v>
      </c>
      <c r="E586">
        <f t="shared" si="47"/>
        <v>3.9089</v>
      </c>
      <c r="F586">
        <f t="shared" si="48"/>
        <v>0.52904401664932754</v>
      </c>
      <c r="G586">
        <f t="shared" si="49"/>
        <v>0.27988757155245397</v>
      </c>
    </row>
    <row r="587" spans="1:7" x14ac:dyDescent="0.35">
      <c r="A587">
        <v>1522</v>
      </c>
      <c r="B587">
        <f t="shared" si="45"/>
        <v>183.64793617759278</v>
      </c>
      <c r="C587">
        <f t="shared" si="46"/>
        <v>33726.564462289192</v>
      </c>
      <c r="D587">
        <v>41508</v>
      </c>
      <c r="E587">
        <f t="shared" si="47"/>
        <v>4.1508000000000003</v>
      </c>
      <c r="F587">
        <f t="shared" si="48"/>
        <v>0.77094401664932777</v>
      </c>
      <c r="G587">
        <f t="shared" si="49"/>
        <v>0.59435467680739895</v>
      </c>
    </row>
    <row r="588" spans="1:7" x14ac:dyDescent="0.35">
      <c r="A588">
        <v>1522</v>
      </c>
      <c r="B588">
        <f t="shared" si="45"/>
        <v>183.64793617759278</v>
      </c>
      <c r="C588">
        <f t="shared" si="46"/>
        <v>33726.564462289192</v>
      </c>
      <c r="D588">
        <v>52414</v>
      </c>
      <c r="E588">
        <f t="shared" si="47"/>
        <v>5.2413999999999996</v>
      </c>
      <c r="F588">
        <f t="shared" si="48"/>
        <v>1.8615440166493271</v>
      </c>
      <c r="G588">
        <f t="shared" si="49"/>
        <v>3.4653461259229101</v>
      </c>
    </row>
    <row r="589" spans="1:7" x14ac:dyDescent="0.35">
      <c r="A589">
        <v>1522</v>
      </c>
      <c r="B589">
        <f t="shared" si="45"/>
        <v>183.64793617759278</v>
      </c>
      <c r="C589">
        <f t="shared" si="46"/>
        <v>33726.564462289192</v>
      </c>
      <c r="D589">
        <v>50179</v>
      </c>
      <c r="E589">
        <f t="shared" si="47"/>
        <v>5.0179</v>
      </c>
      <c r="F589">
        <f t="shared" si="48"/>
        <v>1.6380440166493275</v>
      </c>
      <c r="G589">
        <f t="shared" si="49"/>
        <v>2.6831882004806622</v>
      </c>
    </row>
    <row r="590" spans="1:7" x14ac:dyDescent="0.35">
      <c r="A590">
        <v>1522</v>
      </c>
      <c r="B590">
        <f t="shared" si="45"/>
        <v>183.64793617759278</v>
      </c>
      <c r="C590">
        <f t="shared" si="46"/>
        <v>33726.564462289192</v>
      </c>
      <c r="D590">
        <v>50724</v>
      </c>
      <c r="E590">
        <f t="shared" si="47"/>
        <v>5.0724</v>
      </c>
      <c r="F590">
        <f t="shared" si="48"/>
        <v>1.6925440166493275</v>
      </c>
      <c r="G590">
        <f t="shared" si="49"/>
        <v>2.8647052482954392</v>
      </c>
    </row>
    <row r="591" spans="1:7" x14ac:dyDescent="0.35">
      <c r="A591">
        <v>1522</v>
      </c>
      <c r="B591">
        <f t="shared" si="45"/>
        <v>183.64793617759278</v>
      </c>
      <c r="C591">
        <f t="shared" si="46"/>
        <v>33726.564462289192</v>
      </c>
      <c r="D591">
        <v>47898</v>
      </c>
      <c r="E591">
        <f t="shared" si="47"/>
        <v>4.7897999999999996</v>
      </c>
      <c r="F591">
        <f t="shared" si="48"/>
        <v>1.4099440166493271</v>
      </c>
      <c r="G591">
        <f t="shared" si="49"/>
        <v>1.987942130085238</v>
      </c>
    </row>
    <row r="592" spans="1:7" x14ac:dyDescent="0.35">
      <c r="A592">
        <v>1522</v>
      </c>
      <c r="B592">
        <f t="shared" si="45"/>
        <v>183.64793617759278</v>
      </c>
      <c r="C592">
        <f t="shared" si="46"/>
        <v>33726.564462289192</v>
      </c>
      <c r="D592">
        <v>46677</v>
      </c>
      <c r="E592">
        <f t="shared" si="47"/>
        <v>4.6677</v>
      </c>
      <c r="F592">
        <f t="shared" si="48"/>
        <v>1.2878440166493275</v>
      </c>
      <c r="G592">
        <f t="shared" si="49"/>
        <v>1.6585422112194732</v>
      </c>
    </row>
    <row r="593" spans="1:7" x14ac:dyDescent="0.35">
      <c r="A593">
        <v>1522</v>
      </c>
      <c r="B593">
        <f t="shared" si="45"/>
        <v>183.64793617759278</v>
      </c>
      <c r="C593">
        <f t="shared" si="46"/>
        <v>33726.564462289192</v>
      </c>
      <c r="D593">
        <v>57296</v>
      </c>
      <c r="E593">
        <f t="shared" si="47"/>
        <v>5.7295999999999996</v>
      </c>
      <c r="F593">
        <f t="shared" si="48"/>
        <v>2.3497440166493271</v>
      </c>
      <c r="G593">
        <f t="shared" si="49"/>
        <v>5.5212969437793129</v>
      </c>
    </row>
    <row r="594" spans="1:7" x14ac:dyDescent="0.35">
      <c r="A594">
        <v>1522</v>
      </c>
      <c r="B594">
        <f t="shared" si="45"/>
        <v>183.64793617759278</v>
      </c>
      <c r="C594">
        <f t="shared" si="46"/>
        <v>33726.564462289192</v>
      </c>
      <c r="D594">
        <v>50663</v>
      </c>
      <c r="E594">
        <f t="shared" si="47"/>
        <v>5.0663</v>
      </c>
      <c r="F594">
        <f t="shared" si="48"/>
        <v>1.6864440166493275</v>
      </c>
      <c r="G594">
        <f t="shared" si="49"/>
        <v>2.8440934212923175</v>
      </c>
    </row>
    <row r="595" spans="1:7" x14ac:dyDescent="0.35">
      <c r="A595">
        <v>1522</v>
      </c>
      <c r="B595">
        <f t="shared" si="45"/>
        <v>183.64793617759278</v>
      </c>
      <c r="C595">
        <f t="shared" si="46"/>
        <v>33726.564462289192</v>
      </c>
      <c r="D595">
        <v>57920</v>
      </c>
      <c r="E595">
        <f t="shared" si="47"/>
        <v>5.7919999999999998</v>
      </c>
      <c r="F595">
        <f t="shared" si="48"/>
        <v>2.4121440166493273</v>
      </c>
      <c r="G595">
        <f t="shared" si="49"/>
        <v>5.8184387570571499</v>
      </c>
    </row>
    <row r="596" spans="1:7" x14ac:dyDescent="0.35">
      <c r="A596">
        <v>1522</v>
      </c>
      <c r="B596">
        <f t="shared" si="45"/>
        <v>183.64793617759278</v>
      </c>
      <c r="C596">
        <f t="shared" si="46"/>
        <v>33726.564462289192</v>
      </c>
      <c r="D596">
        <v>53763</v>
      </c>
      <c r="E596">
        <f t="shared" si="47"/>
        <v>5.3762999999999996</v>
      </c>
      <c r="F596">
        <f t="shared" si="48"/>
        <v>1.9964440166493271</v>
      </c>
      <c r="G596">
        <f t="shared" si="49"/>
        <v>3.9857887116148989</v>
      </c>
    </row>
    <row r="597" spans="1:7" x14ac:dyDescent="0.35">
      <c r="A597">
        <v>1522</v>
      </c>
      <c r="B597">
        <f t="shared" si="45"/>
        <v>183.64793617759278</v>
      </c>
      <c r="C597">
        <f t="shared" si="46"/>
        <v>33726.564462289192</v>
      </c>
      <c r="D597">
        <v>38599</v>
      </c>
      <c r="E597">
        <f t="shared" si="47"/>
        <v>3.8599000000000001</v>
      </c>
      <c r="F597">
        <f t="shared" si="48"/>
        <v>0.48004401664932761</v>
      </c>
      <c r="G597">
        <f t="shared" si="49"/>
        <v>0.23044225792081993</v>
      </c>
    </row>
    <row r="598" spans="1:7" x14ac:dyDescent="0.35">
      <c r="A598">
        <v>1522</v>
      </c>
      <c r="B598">
        <f t="shared" si="45"/>
        <v>183.64793617759278</v>
      </c>
      <c r="C598">
        <f t="shared" si="46"/>
        <v>33726.564462289192</v>
      </c>
      <c r="D598">
        <v>51899</v>
      </c>
      <c r="E598">
        <f t="shared" si="47"/>
        <v>5.1898999999999997</v>
      </c>
      <c r="F598">
        <f t="shared" si="48"/>
        <v>1.8100440166493272</v>
      </c>
      <c r="G598">
        <f t="shared" si="49"/>
        <v>3.2762593422080299</v>
      </c>
    </row>
    <row r="599" spans="1:7" x14ac:dyDescent="0.35">
      <c r="A599">
        <v>1522</v>
      </c>
      <c r="B599">
        <f t="shared" si="45"/>
        <v>183.64793617759278</v>
      </c>
      <c r="C599">
        <f t="shared" si="46"/>
        <v>33726.564462289192</v>
      </c>
      <c r="D599">
        <v>62435</v>
      </c>
      <c r="E599">
        <f t="shared" si="47"/>
        <v>6.2435</v>
      </c>
      <c r="F599">
        <f t="shared" si="48"/>
        <v>2.8636440166493276</v>
      </c>
      <c r="G599">
        <f t="shared" si="49"/>
        <v>8.2004570540914941</v>
      </c>
    </row>
    <row r="600" spans="1:7" x14ac:dyDescent="0.35">
      <c r="A600">
        <v>1522</v>
      </c>
      <c r="B600">
        <f t="shared" si="45"/>
        <v>183.64793617759278</v>
      </c>
      <c r="C600">
        <f t="shared" si="46"/>
        <v>33726.564462289192</v>
      </c>
      <c r="D600">
        <v>62051</v>
      </c>
      <c r="E600">
        <f t="shared" si="47"/>
        <v>6.2050999999999998</v>
      </c>
      <c r="F600">
        <f t="shared" si="48"/>
        <v>2.8252440166493273</v>
      </c>
      <c r="G600">
        <f t="shared" si="49"/>
        <v>7.9820037536128243</v>
      </c>
    </row>
    <row r="601" spans="1:7" x14ac:dyDescent="0.35">
      <c r="A601">
        <v>1522</v>
      </c>
      <c r="B601">
        <f t="shared" si="45"/>
        <v>183.64793617759278</v>
      </c>
      <c r="C601">
        <f t="shared" si="46"/>
        <v>33726.564462289192</v>
      </c>
      <c r="D601">
        <v>60221</v>
      </c>
      <c r="E601">
        <f t="shared" si="47"/>
        <v>6.0221</v>
      </c>
      <c r="F601">
        <f t="shared" si="48"/>
        <v>2.6422440166493275</v>
      </c>
      <c r="G601">
        <f t="shared" si="49"/>
        <v>6.9814534435191717</v>
      </c>
    </row>
    <row r="602" spans="1:7" x14ac:dyDescent="0.35">
      <c r="A602">
        <v>1522</v>
      </c>
      <c r="B602">
        <f t="shared" si="45"/>
        <v>183.64793617759278</v>
      </c>
      <c r="C602">
        <f t="shared" si="46"/>
        <v>33726.564462289192</v>
      </c>
      <c r="D602">
        <v>68972</v>
      </c>
      <c r="E602">
        <f t="shared" si="47"/>
        <v>6.8971999999999998</v>
      </c>
      <c r="F602">
        <f t="shared" si="48"/>
        <v>3.5173440166493273</v>
      </c>
      <c r="G602">
        <f t="shared" si="49"/>
        <v>12.371708931458823</v>
      </c>
    </row>
    <row r="603" spans="1:7" x14ac:dyDescent="0.35">
      <c r="A603">
        <v>1522</v>
      </c>
      <c r="B603">
        <f t="shared" si="45"/>
        <v>183.64793617759278</v>
      </c>
      <c r="C603">
        <f t="shared" si="46"/>
        <v>33726.564462289192</v>
      </c>
      <c r="D603">
        <v>65564</v>
      </c>
      <c r="E603">
        <f t="shared" si="47"/>
        <v>6.5564</v>
      </c>
      <c r="F603">
        <f t="shared" si="48"/>
        <v>3.1765440166493275</v>
      </c>
      <c r="G603">
        <f t="shared" si="49"/>
        <v>10.090431889710644</v>
      </c>
    </row>
    <row r="604" spans="1:7" x14ac:dyDescent="0.35">
      <c r="A604">
        <v>645</v>
      </c>
      <c r="B604">
        <f t="shared" si="45"/>
        <v>-693.35206382240722</v>
      </c>
      <c r="C604">
        <f t="shared" si="46"/>
        <v>480737.08440679143</v>
      </c>
      <c r="D604">
        <v>52498</v>
      </c>
      <c r="E604">
        <f t="shared" si="47"/>
        <v>5.2497999999999996</v>
      </c>
      <c r="F604">
        <f t="shared" si="48"/>
        <v>1.8699440166493271</v>
      </c>
      <c r="G604">
        <f t="shared" si="49"/>
        <v>3.4966906254026187</v>
      </c>
    </row>
    <row r="605" spans="1:7" x14ac:dyDescent="0.35">
      <c r="A605">
        <v>645</v>
      </c>
      <c r="B605">
        <f t="shared" si="45"/>
        <v>-693.35206382240722</v>
      </c>
      <c r="C605">
        <f t="shared" si="46"/>
        <v>480737.08440679143</v>
      </c>
      <c r="D605">
        <v>53272</v>
      </c>
      <c r="E605">
        <f t="shared" si="47"/>
        <v>5.3272000000000004</v>
      </c>
      <c r="F605">
        <f t="shared" si="48"/>
        <v>1.9473440166493279</v>
      </c>
      <c r="G605">
        <f t="shared" si="49"/>
        <v>3.7921487191799379</v>
      </c>
    </row>
    <row r="606" spans="1:7" x14ac:dyDescent="0.35">
      <c r="A606">
        <v>645</v>
      </c>
      <c r="B606">
        <f t="shared" si="45"/>
        <v>-693.35206382240722</v>
      </c>
      <c r="C606">
        <f t="shared" si="46"/>
        <v>480737.08440679143</v>
      </c>
      <c r="D606">
        <v>54035</v>
      </c>
      <c r="E606">
        <f t="shared" si="47"/>
        <v>5.4035000000000002</v>
      </c>
      <c r="F606">
        <f t="shared" si="48"/>
        <v>2.0236440166493277</v>
      </c>
      <c r="G606">
        <f t="shared" si="49"/>
        <v>4.0951351061206243</v>
      </c>
    </row>
    <row r="607" spans="1:7" x14ac:dyDescent="0.35">
      <c r="A607">
        <v>645</v>
      </c>
      <c r="B607">
        <f t="shared" si="45"/>
        <v>-693.35206382240722</v>
      </c>
      <c r="C607">
        <f t="shared" si="46"/>
        <v>480737.08440679143</v>
      </c>
      <c r="D607">
        <v>55005</v>
      </c>
      <c r="E607">
        <f t="shared" si="47"/>
        <v>5.5004999999999997</v>
      </c>
      <c r="F607">
        <f t="shared" si="48"/>
        <v>2.1206440166493272</v>
      </c>
      <c r="G607">
        <f t="shared" si="49"/>
        <v>4.4971310453505922</v>
      </c>
    </row>
    <row r="608" spans="1:7" x14ac:dyDescent="0.35">
      <c r="A608">
        <v>645</v>
      </c>
      <c r="B608">
        <f t="shared" si="45"/>
        <v>-693.35206382240722</v>
      </c>
      <c r="C608">
        <f t="shared" si="46"/>
        <v>480737.08440679143</v>
      </c>
      <c r="D608">
        <v>57166</v>
      </c>
      <c r="E608">
        <f t="shared" si="47"/>
        <v>5.7165999999999997</v>
      </c>
      <c r="F608">
        <f t="shared" si="48"/>
        <v>2.3367440166493272</v>
      </c>
      <c r="G608">
        <f t="shared" si="49"/>
        <v>5.4603725993464307</v>
      </c>
    </row>
    <row r="609" spans="1:7" x14ac:dyDescent="0.35">
      <c r="A609">
        <v>645</v>
      </c>
      <c r="B609">
        <f t="shared" si="45"/>
        <v>-693.35206382240722</v>
      </c>
      <c r="C609">
        <f t="shared" si="46"/>
        <v>480737.08440679143</v>
      </c>
      <c r="D609">
        <v>56369</v>
      </c>
      <c r="E609">
        <f t="shared" si="47"/>
        <v>5.6368999999999998</v>
      </c>
      <c r="F609">
        <f t="shared" si="48"/>
        <v>2.2570440166493273</v>
      </c>
      <c r="G609">
        <f t="shared" si="49"/>
        <v>5.0942476930925285</v>
      </c>
    </row>
    <row r="610" spans="1:7" x14ac:dyDescent="0.35">
      <c r="A610">
        <v>645</v>
      </c>
      <c r="B610">
        <f t="shared" si="45"/>
        <v>-693.35206382240722</v>
      </c>
      <c r="C610">
        <f t="shared" si="46"/>
        <v>480737.08440679143</v>
      </c>
      <c r="D610">
        <v>57959</v>
      </c>
      <c r="E610">
        <f t="shared" si="47"/>
        <v>5.7958999999999996</v>
      </c>
      <c r="F610">
        <f t="shared" si="48"/>
        <v>2.4160440166493271</v>
      </c>
      <c r="G610">
        <f t="shared" si="49"/>
        <v>5.8372686903870141</v>
      </c>
    </row>
    <row r="611" spans="1:7" x14ac:dyDescent="0.35">
      <c r="A611">
        <v>645</v>
      </c>
      <c r="B611">
        <f t="shared" si="45"/>
        <v>-693.35206382240722</v>
      </c>
      <c r="C611">
        <f t="shared" si="46"/>
        <v>480737.08440679143</v>
      </c>
      <c r="D611">
        <v>58462</v>
      </c>
      <c r="E611">
        <f t="shared" si="47"/>
        <v>5.8461999999999996</v>
      </c>
      <c r="F611">
        <f t="shared" si="48"/>
        <v>2.4663440166493271</v>
      </c>
      <c r="G611">
        <f t="shared" si="49"/>
        <v>6.0828528084619364</v>
      </c>
    </row>
    <row r="612" spans="1:7" x14ac:dyDescent="0.35">
      <c r="A612">
        <v>645</v>
      </c>
      <c r="B612">
        <f t="shared" si="45"/>
        <v>-693.35206382240722</v>
      </c>
      <c r="C612">
        <f t="shared" si="46"/>
        <v>480737.08440679143</v>
      </c>
      <c r="D612">
        <v>58288</v>
      </c>
      <c r="E612">
        <f t="shared" si="47"/>
        <v>5.8288000000000002</v>
      </c>
      <c r="F612">
        <f t="shared" si="48"/>
        <v>2.4489440166493277</v>
      </c>
      <c r="G612">
        <f t="shared" si="49"/>
        <v>5.9973267966825423</v>
      </c>
    </row>
    <row r="613" spans="1:7" x14ac:dyDescent="0.35">
      <c r="A613">
        <v>645</v>
      </c>
      <c r="B613">
        <f t="shared" si="45"/>
        <v>-693.35206382240722</v>
      </c>
      <c r="C613">
        <f t="shared" si="46"/>
        <v>480737.08440679143</v>
      </c>
      <c r="D613">
        <v>60210</v>
      </c>
      <c r="E613">
        <f t="shared" si="47"/>
        <v>6.0209999999999999</v>
      </c>
      <c r="F613">
        <f t="shared" si="48"/>
        <v>2.6411440166493274</v>
      </c>
      <c r="G613">
        <f t="shared" si="49"/>
        <v>6.9756417166825431</v>
      </c>
    </row>
    <row r="614" spans="1:7" x14ac:dyDescent="0.35">
      <c r="A614">
        <v>645</v>
      </c>
      <c r="B614">
        <f t="shared" si="45"/>
        <v>-693.35206382240722</v>
      </c>
      <c r="C614">
        <f t="shared" si="46"/>
        <v>480737.08440679143</v>
      </c>
      <c r="D614">
        <v>62050</v>
      </c>
      <c r="E614">
        <f t="shared" si="47"/>
        <v>6.2050000000000001</v>
      </c>
      <c r="F614">
        <f t="shared" si="48"/>
        <v>2.8251440166493276</v>
      </c>
      <c r="G614">
        <f t="shared" si="49"/>
        <v>7.9814387148094958</v>
      </c>
    </row>
    <row r="615" spans="1:7" x14ac:dyDescent="0.35">
      <c r="A615">
        <v>645</v>
      </c>
      <c r="B615">
        <f t="shared" si="45"/>
        <v>-693.35206382240722</v>
      </c>
      <c r="C615">
        <f t="shared" si="46"/>
        <v>480737.08440679143</v>
      </c>
      <c r="D615">
        <v>63111</v>
      </c>
      <c r="E615">
        <f t="shared" si="47"/>
        <v>6.3110999999999997</v>
      </c>
      <c r="F615">
        <f t="shared" si="48"/>
        <v>2.9312440166493272</v>
      </c>
      <c r="G615">
        <f t="shared" si="49"/>
        <v>8.5921914851424805</v>
      </c>
    </row>
    <row r="616" spans="1:7" x14ac:dyDescent="0.35">
      <c r="A616">
        <v>645</v>
      </c>
      <c r="B616">
        <f t="shared" si="45"/>
        <v>-693.35206382240722</v>
      </c>
      <c r="C616">
        <f t="shared" si="46"/>
        <v>480737.08440679143</v>
      </c>
      <c r="D616">
        <v>63529</v>
      </c>
      <c r="E616">
        <f t="shared" si="47"/>
        <v>6.3529</v>
      </c>
      <c r="F616">
        <f t="shared" si="48"/>
        <v>2.9730440166493275</v>
      </c>
      <c r="G616">
        <f t="shared" si="49"/>
        <v>8.8389907249343675</v>
      </c>
    </row>
    <row r="617" spans="1:7" x14ac:dyDescent="0.35">
      <c r="A617">
        <v>645</v>
      </c>
      <c r="B617">
        <f t="shared" si="45"/>
        <v>-693.35206382240722</v>
      </c>
      <c r="C617">
        <f t="shared" si="46"/>
        <v>480737.08440679143</v>
      </c>
      <c r="D617">
        <v>63344</v>
      </c>
      <c r="E617">
        <f t="shared" si="47"/>
        <v>6.3343999999999996</v>
      </c>
      <c r="F617">
        <f t="shared" si="48"/>
        <v>2.9545440166493271</v>
      </c>
      <c r="G617">
        <f t="shared" si="49"/>
        <v>8.7293303463183385</v>
      </c>
    </row>
    <row r="618" spans="1:7" x14ac:dyDescent="0.35">
      <c r="A618">
        <v>645</v>
      </c>
      <c r="B618">
        <f t="shared" si="45"/>
        <v>-693.35206382240722</v>
      </c>
      <c r="C618">
        <f t="shared" si="46"/>
        <v>480737.08440679143</v>
      </c>
      <c r="D618">
        <v>62642</v>
      </c>
      <c r="E618">
        <f t="shared" si="47"/>
        <v>6.2641999999999998</v>
      </c>
      <c r="F618">
        <f t="shared" si="48"/>
        <v>2.8843440166493273</v>
      </c>
      <c r="G618">
        <f t="shared" si="49"/>
        <v>8.3194404063807745</v>
      </c>
    </row>
    <row r="619" spans="1:7" x14ac:dyDescent="0.35">
      <c r="A619">
        <v>645</v>
      </c>
      <c r="B619">
        <f t="shared" si="45"/>
        <v>-693.35206382240722</v>
      </c>
      <c r="C619">
        <f t="shared" si="46"/>
        <v>480737.08440679143</v>
      </c>
      <c r="D619">
        <v>61524</v>
      </c>
      <c r="E619">
        <f t="shared" si="47"/>
        <v>6.1524000000000001</v>
      </c>
      <c r="F619">
        <f t="shared" si="48"/>
        <v>2.7725440166493276</v>
      </c>
      <c r="G619">
        <f t="shared" si="49"/>
        <v>7.687000324257987</v>
      </c>
    </row>
    <row r="620" spans="1:7" x14ac:dyDescent="0.35">
      <c r="A620">
        <v>645</v>
      </c>
      <c r="B620">
        <f t="shared" si="45"/>
        <v>-693.35206382240722</v>
      </c>
      <c r="C620">
        <f t="shared" si="46"/>
        <v>480737.08440679143</v>
      </c>
      <c r="D620">
        <v>61855</v>
      </c>
      <c r="E620">
        <f t="shared" si="47"/>
        <v>6.1855000000000002</v>
      </c>
      <c r="F620">
        <f t="shared" si="48"/>
        <v>2.8056440166493277</v>
      </c>
      <c r="G620">
        <f t="shared" si="49"/>
        <v>7.8716383481601735</v>
      </c>
    </row>
    <row r="621" spans="1:7" x14ac:dyDescent="0.35">
      <c r="A621">
        <v>645</v>
      </c>
      <c r="B621">
        <f t="shared" si="45"/>
        <v>-693.35206382240722</v>
      </c>
      <c r="C621">
        <f t="shared" si="46"/>
        <v>480737.08440679143</v>
      </c>
      <c r="D621">
        <v>63085</v>
      </c>
      <c r="E621">
        <f t="shared" si="47"/>
        <v>6.3085000000000004</v>
      </c>
      <c r="F621">
        <f t="shared" si="48"/>
        <v>2.9286440166493279</v>
      </c>
      <c r="G621">
        <f t="shared" si="49"/>
        <v>8.5769557762559092</v>
      </c>
    </row>
    <row r="622" spans="1:7" x14ac:dyDescent="0.35">
      <c r="A622">
        <v>645</v>
      </c>
      <c r="B622">
        <f t="shared" si="45"/>
        <v>-693.35206382240722</v>
      </c>
      <c r="C622">
        <f t="shared" si="46"/>
        <v>480737.08440679143</v>
      </c>
      <c r="D622">
        <v>62527</v>
      </c>
      <c r="E622">
        <f t="shared" si="47"/>
        <v>6.2526999999999999</v>
      </c>
      <c r="F622">
        <f t="shared" si="48"/>
        <v>2.8728440166493274</v>
      </c>
      <c r="G622">
        <f t="shared" si="49"/>
        <v>8.2532327439978417</v>
      </c>
    </row>
    <row r="623" spans="1:7" x14ac:dyDescent="0.35">
      <c r="A623">
        <v>645</v>
      </c>
      <c r="B623">
        <f t="shared" si="45"/>
        <v>-693.35206382240722</v>
      </c>
      <c r="C623">
        <f t="shared" si="46"/>
        <v>480737.08440679143</v>
      </c>
      <c r="D623">
        <v>62763</v>
      </c>
      <c r="E623">
        <f t="shared" si="47"/>
        <v>6.2763</v>
      </c>
      <c r="F623">
        <f t="shared" si="48"/>
        <v>2.8964440166493275</v>
      </c>
      <c r="G623">
        <f t="shared" si="49"/>
        <v>8.3893879415836903</v>
      </c>
    </row>
    <row r="624" spans="1:7" x14ac:dyDescent="0.35">
      <c r="A624">
        <v>645</v>
      </c>
      <c r="B624">
        <f t="shared" si="45"/>
        <v>-693.35206382240722</v>
      </c>
      <c r="C624">
        <f t="shared" si="46"/>
        <v>480737.08440679143</v>
      </c>
      <c r="D624">
        <v>64223</v>
      </c>
      <c r="E624">
        <f t="shared" si="47"/>
        <v>6.4222999999999999</v>
      </c>
      <c r="F624">
        <f t="shared" si="48"/>
        <v>3.0424440166493274</v>
      </c>
      <c r="G624">
        <f t="shared" si="49"/>
        <v>9.2564655944452934</v>
      </c>
    </row>
    <row r="625" spans="1:7" x14ac:dyDescent="0.35">
      <c r="A625">
        <v>645</v>
      </c>
      <c r="B625">
        <f t="shared" si="45"/>
        <v>-693.35206382240722</v>
      </c>
      <c r="C625">
        <f t="shared" si="46"/>
        <v>480737.08440679143</v>
      </c>
      <c r="D625">
        <v>65558</v>
      </c>
      <c r="E625">
        <f t="shared" si="47"/>
        <v>6.5557999999999996</v>
      </c>
      <c r="F625">
        <f t="shared" si="48"/>
        <v>3.1759440166493271</v>
      </c>
      <c r="G625">
        <f t="shared" si="49"/>
        <v>10.086620396890661</v>
      </c>
    </row>
    <row r="626" spans="1:7" x14ac:dyDescent="0.35">
      <c r="A626">
        <v>645</v>
      </c>
      <c r="B626">
        <f t="shared" si="45"/>
        <v>-693.35206382240722</v>
      </c>
      <c r="C626">
        <f t="shared" si="46"/>
        <v>480737.08440679143</v>
      </c>
      <c r="D626">
        <v>65820</v>
      </c>
      <c r="E626">
        <f t="shared" si="47"/>
        <v>6.5819999999999999</v>
      </c>
      <c r="F626">
        <f t="shared" si="48"/>
        <v>3.2021440166493274</v>
      </c>
      <c r="G626">
        <f t="shared" si="49"/>
        <v>10.253726303363088</v>
      </c>
    </row>
    <row r="627" spans="1:7" x14ac:dyDescent="0.35">
      <c r="A627">
        <v>645</v>
      </c>
      <c r="B627">
        <f t="shared" si="45"/>
        <v>-693.35206382240722</v>
      </c>
      <c r="C627">
        <f t="shared" si="46"/>
        <v>480737.08440679143</v>
      </c>
      <c r="D627">
        <v>65481</v>
      </c>
      <c r="E627">
        <f t="shared" si="47"/>
        <v>6.5480999999999998</v>
      </c>
      <c r="F627">
        <f t="shared" si="48"/>
        <v>3.1682440166493273</v>
      </c>
      <c r="G627">
        <f t="shared" si="49"/>
        <v>10.037770149034262</v>
      </c>
    </row>
    <row r="628" spans="1:7" x14ac:dyDescent="0.35">
      <c r="A628">
        <v>645</v>
      </c>
      <c r="B628">
        <f t="shared" si="45"/>
        <v>-693.35206382240722</v>
      </c>
      <c r="C628">
        <f t="shared" si="46"/>
        <v>480737.08440679143</v>
      </c>
      <c r="D628">
        <v>66862</v>
      </c>
      <c r="E628">
        <f t="shared" si="47"/>
        <v>6.6862000000000004</v>
      </c>
      <c r="F628">
        <f t="shared" si="48"/>
        <v>3.3063440166493279</v>
      </c>
      <c r="G628">
        <f t="shared" si="49"/>
        <v>10.931910756432812</v>
      </c>
    </row>
    <row r="629" spans="1:7" x14ac:dyDescent="0.35">
      <c r="A629">
        <v>645</v>
      </c>
      <c r="B629">
        <f t="shared" si="45"/>
        <v>-693.35206382240722</v>
      </c>
      <c r="C629">
        <f t="shared" si="46"/>
        <v>480737.08440679143</v>
      </c>
      <c r="D629">
        <v>67747</v>
      </c>
      <c r="E629">
        <f t="shared" si="47"/>
        <v>6.7747000000000002</v>
      </c>
      <c r="F629">
        <f t="shared" si="48"/>
        <v>3.3948440166493277</v>
      </c>
      <c r="G629">
        <f t="shared" si="49"/>
        <v>11.52496589737974</v>
      </c>
    </row>
    <row r="630" spans="1:7" x14ac:dyDescent="0.35">
      <c r="A630">
        <v>645</v>
      </c>
      <c r="B630">
        <f t="shared" si="45"/>
        <v>-693.35206382240722</v>
      </c>
      <c r="C630">
        <f t="shared" si="46"/>
        <v>480737.08440679143</v>
      </c>
      <c r="D630">
        <v>67099</v>
      </c>
      <c r="E630">
        <f t="shared" si="47"/>
        <v>6.7099000000000002</v>
      </c>
      <c r="F630">
        <f t="shared" si="48"/>
        <v>3.3300440166493277</v>
      </c>
      <c r="G630">
        <f t="shared" si="49"/>
        <v>11.089193152821988</v>
      </c>
    </row>
    <row r="631" spans="1:7" x14ac:dyDescent="0.35">
      <c r="A631">
        <v>645</v>
      </c>
      <c r="B631">
        <f t="shared" si="45"/>
        <v>-693.35206382240722</v>
      </c>
      <c r="C631">
        <f t="shared" si="46"/>
        <v>480737.08440679143</v>
      </c>
      <c r="D631">
        <v>68095</v>
      </c>
      <c r="E631">
        <f t="shared" si="47"/>
        <v>6.8094999999999999</v>
      </c>
      <c r="F631">
        <f t="shared" si="48"/>
        <v>3.4296440166493274</v>
      </c>
      <c r="G631">
        <f t="shared" si="49"/>
        <v>11.762458080938531</v>
      </c>
    </row>
    <row r="632" spans="1:7" x14ac:dyDescent="0.35">
      <c r="A632">
        <v>645</v>
      </c>
      <c r="B632">
        <f t="shared" si="45"/>
        <v>-693.35206382240722</v>
      </c>
      <c r="C632">
        <f t="shared" si="46"/>
        <v>480737.08440679143</v>
      </c>
      <c r="D632">
        <v>68864</v>
      </c>
      <c r="E632">
        <f t="shared" si="47"/>
        <v>6.8864000000000001</v>
      </c>
      <c r="F632">
        <f t="shared" si="48"/>
        <v>3.5065440166493276</v>
      </c>
      <c r="G632">
        <f t="shared" si="49"/>
        <v>12.2958509406992</v>
      </c>
    </row>
    <row r="633" spans="1:7" x14ac:dyDescent="0.35">
      <c r="A633">
        <v>645</v>
      </c>
      <c r="B633">
        <f t="shared" si="45"/>
        <v>-693.35206382240722</v>
      </c>
      <c r="C633">
        <f t="shared" si="46"/>
        <v>480737.08440679143</v>
      </c>
      <c r="D633">
        <v>69324</v>
      </c>
      <c r="E633">
        <f t="shared" si="47"/>
        <v>6.9324000000000003</v>
      </c>
      <c r="F633">
        <f t="shared" si="48"/>
        <v>3.5525440166493278</v>
      </c>
      <c r="G633">
        <f t="shared" si="49"/>
        <v>12.620568990230939</v>
      </c>
    </row>
    <row r="634" spans="1:7" x14ac:dyDescent="0.35">
      <c r="A634">
        <v>3240</v>
      </c>
      <c r="B634">
        <f t="shared" si="45"/>
        <v>1901.6479361775928</v>
      </c>
      <c r="C634">
        <f t="shared" si="46"/>
        <v>3616264.8731684978</v>
      </c>
      <c r="D634">
        <v>46994</v>
      </c>
      <c r="E634">
        <f t="shared" si="47"/>
        <v>4.6993999999999998</v>
      </c>
      <c r="F634">
        <f t="shared" si="48"/>
        <v>1.3195440166493273</v>
      </c>
      <c r="G634">
        <f t="shared" si="49"/>
        <v>1.7411964118750403</v>
      </c>
    </row>
    <row r="635" spans="1:7" x14ac:dyDescent="0.35">
      <c r="A635">
        <v>3240</v>
      </c>
      <c r="B635">
        <f t="shared" si="45"/>
        <v>1901.6479361775928</v>
      </c>
      <c r="C635">
        <f t="shared" si="46"/>
        <v>3616264.8731684978</v>
      </c>
      <c r="D635">
        <v>46774</v>
      </c>
      <c r="E635">
        <f t="shared" si="47"/>
        <v>4.6773999999999996</v>
      </c>
      <c r="F635">
        <f t="shared" si="48"/>
        <v>1.2975440166493271</v>
      </c>
      <c r="G635">
        <f t="shared" si="49"/>
        <v>1.683620475142469</v>
      </c>
    </row>
    <row r="636" spans="1:7" x14ac:dyDescent="0.35">
      <c r="A636">
        <v>3240</v>
      </c>
      <c r="B636">
        <f t="shared" si="45"/>
        <v>1901.6479361775928</v>
      </c>
      <c r="C636">
        <f t="shared" si="46"/>
        <v>3616264.8731684978</v>
      </c>
      <c r="D636">
        <v>53501</v>
      </c>
      <c r="E636">
        <f t="shared" si="47"/>
        <v>5.3501000000000003</v>
      </c>
      <c r="F636">
        <f t="shared" si="48"/>
        <v>1.9702440166493278</v>
      </c>
      <c r="G636">
        <f t="shared" si="49"/>
        <v>3.8818614851424766</v>
      </c>
    </row>
    <row r="637" spans="1:7" x14ac:dyDescent="0.35">
      <c r="A637">
        <v>3240</v>
      </c>
      <c r="B637">
        <f t="shared" si="45"/>
        <v>1901.6479361775928</v>
      </c>
      <c r="C637">
        <f t="shared" si="46"/>
        <v>3616264.8731684978</v>
      </c>
      <c r="D637">
        <v>40748</v>
      </c>
      <c r="E637">
        <f t="shared" si="47"/>
        <v>4.0747999999999998</v>
      </c>
      <c r="F637">
        <f t="shared" si="48"/>
        <v>0.69494401664932726</v>
      </c>
      <c r="G637">
        <f t="shared" si="49"/>
        <v>0.48294718627670041</v>
      </c>
    </row>
    <row r="638" spans="1:7" x14ac:dyDescent="0.35">
      <c r="A638">
        <v>3240</v>
      </c>
      <c r="B638">
        <f t="shared" si="45"/>
        <v>1901.6479361775928</v>
      </c>
      <c r="C638">
        <f t="shared" si="46"/>
        <v>3616264.8731684978</v>
      </c>
      <c r="D638">
        <v>40618</v>
      </c>
      <c r="E638">
        <f t="shared" si="47"/>
        <v>4.0617999999999999</v>
      </c>
      <c r="F638">
        <f t="shared" si="48"/>
        <v>0.68194401664932736</v>
      </c>
      <c r="G638">
        <f t="shared" si="49"/>
        <v>0.46504764184381808</v>
      </c>
    </row>
    <row r="639" spans="1:7" x14ac:dyDescent="0.35">
      <c r="A639">
        <v>3240</v>
      </c>
      <c r="B639">
        <f t="shared" si="45"/>
        <v>1901.6479361775928</v>
      </c>
      <c r="C639">
        <f t="shared" si="46"/>
        <v>3616264.8731684978</v>
      </c>
      <c r="D639">
        <v>39959</v>
      </c>
      <c r="E639">
        <f t="shared" si="47"/>
        <v>3.9958999999999998</v>
      </c>
      <c r="F639">
        <f t="shared" si="48"/>
        <v>0.61604401664932729</v>
      </c>
      <c r="G639">
        <f t="shared" si="49"/>
        <v>0.37951023044943666</v>
      </c>
    </row>
    <row r="640" spans="1:7" x14ac:dyDescent="0.35">
      <c r="A640">
        <v>3240</v>
      </c>
      <c r="B640">
        <f t="shared" si="45"/>
        <v>1901.6479361775928</v>
      </c>
      <c r="C640">
        <f t="shared" si="46"/>
        <v>3616264.8731684978</v>
      </c>
      <c r="D640">
        <v>40960</v>
      </c>
      <c r="E640">
        <f t="shared" si="47"/>
        <v>4.0960000000000001</v>
      </c>
      <c r="F640">
        <f t="shared" si="48"/>
        <v>0.71614401664932759</v>
      </c>
      <c r="G640">
        <f t="shared" si="49"/>
        <v>0.51286225258263241</v>
      </c>
    </row>
    <row r="641" spans="1:7" x14ac:dyDescent="0.35">
      <c r="A641">
        <v>3240</v>
      </c>
      <c r="B641">
        <f t="shared" si="45"/>
        <v>1901.6479361775928</v>
      </c>
      <c r="C641">
        <f t="shared" si="46"/>
        <v>3616264.8731684978</v>
      </c>
      <c r="D641">
        <v>41202</v>
      </c>
      <c r="E641">
        <f t="shared" si="47"/>
        <v>4.1201999999999996</v>
      </c>
      <c r="F641">
        <f t="shared" si="48"/>
        <v>0.74034401664932714</v>
      </c>
      <c r="G641">
        <f t="shared" si="49"/>
        <v>0.54810926298845919</v>
      </c>
    </row>
    <row r="642" spans="1:7" x14ac:dyDescent="0.35">
      <c r="A642">
        <v>3240</v>
      </c>
      <c r="B642">
        <f t="shared" si="45"/>
        <v>1901.6479361775928</v>
      </c>
      <c r="C642">
        <f t="shared" si="46"/>
        <v>3616264.8731684978</v>
      </c>
      <c r="D642">
        <v>40590</v>
      </c>
      <c r="E642">
        <f t="shared" si="47"/>
        <v>4.0590000000000002</v>
      </c>
      <c r="F642">
        <f t="shared" si="48"/>
        <v>0.67914401664932766</v>
      </c>
      <c r="G642">
        <f t="shared" si="49"/>
        <v>0.46123659535058226</v>
      </c>
    </row>
    <row r="643" spans="1:7" x14ac:dyDescent="0.35">
      <c r="A643">
        <v>3240</v>
      </c>
      <c r="B643">
        <f t="shared" ref="B643:B706" si="50">A643-$J$1</f>
        <v>1901.6479361775928</v>
      </c>
      <c r="C643">
        <f t="shared" ref="C643:C706" si="51">B643^2</f>
        <v>3616264.8731684978</v>
      </c>
      <c r="D643">
        <v>42840</v>
      </c>
      <c r="E643">
        <f t="shared" ref="E643:E706" si="52">D643/10000</f>
        <v>4.2839999999999998</v>
      </c>
      <c r="F643">
        <f t="shared" ref="F643:F706" si="53">E643-$J$2</f>
        <v>0.90414401664932731</v>
      </c>
      <c r="G643">
        <f t="shared" ref="G643:G706" si="54">F643^2</f>
        <v>0.817476402842779</v>
      </c>
    </row>
    <row r="644" spans="1:7" x14ac:dyDescent="0.35">
      <c r="A644">
        <v>3240</v>
      </c>
      <c r="B644">
        <f t="shared" si="50"/>
        <v>1901.6479361775928</v>
      </c>
      <c r="C644">
        <f t="shared" si="51"/>
        <v>3616264.8731684978</v>
      </c>
      <c r="D644">
        <v>40794</v>
      </c>
      <c r="E644">
        <f t="shared" si="52"/>
        <v>4.0793999999999997</v>
      </c>
      <c r="F644">
        <f t="shared" si="53"/>
        <v>0.69954401664932719</v>
      </c>
      <c r="G644">
        <f t="shared" si="54"/>
        <v>0.48936183122987414</v>
      </c>
    </row>
    <row r="645" spans="1:7" x14ac:dyDescent="0.35">
      <c r="A645">
        <v>3240</v>
      </c>
      <c r="B645">
        <f t="shared" si="50"/>
        <v>1901.6479361775928</v>
      </c>
      <c r="C645">
        <f t="shared" si="51"/>
        <v>3616264.8731684978</v>
      </c>
      <c r="D645">
        <v>46445</v>
      </c>
      <c r="E645">
        <f t="shared" si="52"/>
        <v>4.6444999999999999</v>
      </c>
      <c r="F645">
        <f t="shared" si="53"/>
        <v>1.2646440166493274</v>
      </c>
      <c r="G645">
        <f t="shared" si="54"/>
        <v>1.5993244888469442</v>
      </c>
    </row>
    <row r="646" spans="1:7" x14ac:dyDescent="0.35">
      <c r="A646">
        <v>3240</v>
      </c>
      <c r="B646">
        <f t="shared" si="50"/>
        <v>1901.6479361775928</v>
      </c>
      <c r="C646">
        <f t="shared" si="51"/>
        <v>3616264.8731684978</v>
      </c>
      <c r="D646">
        <v>47116</v>
      </c>
      <c r="E646">
        <f t="shared" si="52"/>
        <v>4.7115999999999998</v>
      </c>
      <c r="F646">
        <f t="shared" si="53"/>
        <v>1.3317440166493273</v>
      </c>
      <c r="G646">
        <f t="shared" si="54"/>
        <v>1.7735421258812838</v>
      </c>
    </row>
    <row r="647" spans="1:7" x14ac:dyDescent="0.35">
      <c r="A647">
        <v>3240</v>
      </c>
      <c r="B647">
        <f t="shared" si="50"/>
        <v>1901.6479361775928</v>
      </c>
      <c r="C647">
        <f t="shared" si="51"/>
        <v>3616264.8731684978</v>
      </c>
      <c r="D647">
        <v>48009</v>
      </c>
      <c r="E647">
        <f t="shared" si="52"/>
        <v>4.8009000000000004</v>
      </c>
      <c r="F647">
        <f t="shared" si="53"/>
        <v>1.4210440166493279</v>
      </c>
      <c r="G647">
        <f t="shared" si="54"/>
        <v>2.0193660972548555</v>
      </c>
    </row>
    <row r="648" spans="1:7" x14ac:dyDescent="0.35">
      <c r="A648">
        <v>3240</v>
      </c>
      <c r="B648">
        <f t="shared" si="50"/>
        <v>1901.6479361775928</v>
      </c>
      <c r="C648">
        <f t="shared" si="51"/>
        <v>3616264.8731684978</v>
      </c>
      <c r="D648">
        <v>47324</v>
      </c>
      <c r="E648">
        <f t="shared" si="52"/>
        <v>4.7324000000000002</v>
      </c>
      <c r="F648">
        <f t="shared" si="53"/>
        <v>1.3525440166493277</v>
      </c>
      <c r="G648">
        <f t="shared" si="54"/>
        <v>1.8293753169738967</v>
      </c>
    </row>
    <row r="649" spans="1:7" x14ac:dyDescent="0.35">
      <c r="A649">
        <v>3240</v>
      </c>
      <c r="B649">
        <f t="shared" si="50"/>
        <v>1901.6479361775928</v>
      </c>
      <c r="C649">
        <f t="shared" si="51"/>
        <v>3616264.8731684978</v>
      </c>
      <c r="D649">
        <v>45472</v>
      </c>
      <c r="E649">
        <f t="shared" si="52"/>
        <v>4.5472000000000001</v>
      </c>
      <c r="F649">
        <f t="shared" si="53"/>
        <v>1.1673440166493276</v>
      </c>
      <c r="G649">
        <f t="shared" si="54"/>
        <v>1.3626920532069857</v>
      </c>
    </row>
    <row r="650" spans="1:7" x14ac:dyDescent="0.35">
      <c r="A650">
        <v>3240</v>
      </c>
      <c r="B650">
        <f t="shared" si="50"/>
        <v>1901.6479361775928</v>
      </c>
      <c r="C650">
        <f t="shared" si="51"/>
        <v>3616264.8731684978</v>
      </c>
      <c r="D650">
        <v>48001</v>
      </c>
      <c r="E650">
        <f t="shared" si="52"/>
        <v>4.8000999999999996</v>
      </c>
      <c r="F650">
        <f t="shared" si="53"/>
        <v>1.4202440166493271</v>
      </c>
      <c r="G650">
        <f t="shared" si="54"/>
        <v>2.0170930668282141</v>
      </c>
    </row>
    <row r="651" spans="1:7" x14ac:dyDescent="0.35">
      <c r="A651">
        <v>3240</v>
      </c>
      <c r="B651">
        <f t="shared" si="50"/>
        <v>1901.6479361775928</v>
      </c>
      <c r="C651">
        <f t="shared" si="51"/>
        <v>3616264.8731684978</v>
      </c>
      <c r="D651">
        <v>48038</v>
      </c>
      <c r="E651">
        <f t="shared" si="52"/>
        <v>4.8037999999999998</v>
      </c>
      <c r="F651">
        <f t="shared" si="53"/>
        <v>1.4239440166493273</v>
      </c>
      <c r="G651">
        <f t="shared" si="54"/>
        <v>2.0276165625514198</v>
      </c>
    </row>
    <row r="652" spans="1:7" x14ac:dyDescent="0.35">
      <c r="A652">
        <v>3240</v>
      </c>
      <c r="B652">
        <f t="shared" si="50"/>
        <v>1901.6479361775928</v>
      </c>
      <c r="C652">
        <f t="shared" si="51"/>
        <v>3616264.8731684978</v>
      </c>
      <c r="D652">
        <v>48388</v>
      </c>
      <c r="E652">
        <f t="shared" si="52"/>
        <v>4.8388</v>
      </c>
      <c r="F652">
        <f t="shared" si="53"/>
        <v>1.4589440166493275</v>
      </c>
      <c r="G652">
        <f t="shared" si="54"/>
        <v>2.1285176437168731</v>
      </c>
    </row>
    <row r="653" spans="1:7" x14ac:dyDescent="0.35">
      <c r="A653">
        <v>3240</v>
      </c>
      <c r="B653">
        <f t="shared" si="50"/>
        <v>1901.6479361775928</v>
      </c>
      <c r="C653">
        <f t="shared" si="51"/>
        <v>3616264.8731684978</v>
      </c>
      <c r="D653">
        <v>45717</v>
      </c>
      <c r="E653">
        <f t="shared" si="52"/>
        <v>4.5716999999999999</v>
      </c>
      <c r="F653">
        <f t="shared" si="53"/>
        <v>1.1918440166493274</v>
      </c>
      <c r="G653">
        <f t="shared" si="54"/>
        <v>1.4204921600228022</v>
      </c>
    </row>
    <row r="654" spans="1:7" x14ac:dyDescent="0.35">
      <c r="A654">
        <v>3240</v>
      </c>
      <c r="B654">
        <f t="shared" si="50"/>
        <v>1901.6479361775928</v>
      </c>
      <c r="C654">
        <f t="shared" si="51"/>
        <v>3616264.8731684978</v>
      </c>
      <c r="D654">
        <v>49020</v>
      </c>
      <c r="E654">
        <f t="shared" si="52"/>
        <v>4.9020000000000001</v>
      </c>
      <c r="F654">
        <f t="shared" si="53"/>
        <v>1.5221440166493276</v>
      </c>
      <c r="G654">
        <f t="shared" si="54"/>
        <v>2.3169224074213486</v>
      </c>
    </row>
    <row r="655" spans="1:7" x14ac:dyDescent="0.35">
      <c r="A655">
        <v>3240</v>
      </c>
      <c r="B655">
        <f t="shared" si="50"/>
        <v>1901.6479361775928</v>
      </c>
      <c r="C655">
        <f t="shared" si="51"/>
        <v>3616264.8731684978</v>
      </c>
      <c r="D655">
        <v>48887</v>
      </c>
      <c r="E655">
        <f t="shared" si="52"/>
        <v>4.8887</v>
      </c>
      <c r="F655">
        <f t="shared" si="53"/>
        <v>1.5088440166493275</v>
      </c>
      <c r="G655">
        <f t="shared" si="54"/>
        <v>2.2766102665784764</v>
      </c>
    </row>
    <row r="656" spans="1:7" x14ac:dyDescent="0.35">
      <c r="A656">
        <v>3240</v>
      </c>
      <c r="B656">
        <f t="shared" si="50"/>
        <v>1901.6479361775928</v>
      </c>
      <c r="C656">
        <f t="shared" si="51"/>
        <v>3616264.8731684978</v>
      </c>
      <c r="D656">
        <v>46956</v>
      </c>
      <c r="E656">
        <f t="shared" si="52"/>
        <v>4.6955999999999998</v>
      </c>
      <c r="F656">
        <f t="shared" si="53"/>
        <v>1.3157440166493273</v>
      </c>
      <c r="G656">
        <f t="shared" si="54"/>
        <v>1.7311823173485053</v>
      </c>
    </row>
    <row r="657" spans="1:7" x14ac:dyDescent="0.35">
      <c r="A657">
        <v>3240</v>
      </c>
      <c r="B657">
        <f t="shared" si="50"/>
        <v>1901.6479361775928</v>
      </c>
      <c r="C657">
        <f t="shared" si="51"/>
        <v>3616264.8731684978</v>
      </c>
      <c r="D657">
        <v>41223</v>
      </c>
      <c r="E657">
        <f t="shared" si="52"/>
        <v>4.1223000000000001</v>
      </c>
      <c r="F657">
        <f t="shared" si="53"/>
        <v>0.74244401664932758</v>
      </c>
      <c r="G657">
        <f t="shared" si="54"/>
        <v>0.55122311785838696</v>
      </c>
    </row>
    <row r="658" spans="1:7" x14ac:dyDescent="0.35">
      <c r="A658">
        <v>3240</v>
      </c>
      <c r="B658">
        <f t="shared" si="50"/>
        <v>1901.6479361775928</v>
      </c>
      <c r="C658">
        <f t="shared" si="51"/>
        <v>3616264.8731684978</v>
      </c>
      <c r="D658">
        <v>39589</v>
      </c>
      <c r="E658">
        <f t="shared" si="52"/>
        <v>3.9588999999999999</v>
      </c>
      <c r="F658">
        <f t="shared" si="53"/>
        <v>0.57904401664932736</v>
      </c>
      <c r="G658">
        <f t="shared" si="54"/>
        <v>0.33529197321738652</v>
      </c>
    </row>
    <row r="659" spans="1:7" x14ac:dyDescent="0.35">
      <c r="A659">
        <v>3240</v>
      </c>
      <c r="B659">
        <f t="shared" si="50"/>
        <v>1901.6479361775928</v>
      </c>
      <c r="C659">
        <f t="shared" si="51"/>
        <v>3616264.8731684978</v>
      </c>
      <c r="D659">
        <v>48066</v>
      </c>
      <c r="E659">
        <f t="shared" si="52"/>
        <v>4.8066000000000004</v>
      </c>
      <c r="F659">
        <f t="shared" si="53"/>
        <v>1.4267440166493279</v>
      </c>
      <c r="G659">
        <f t="shared" si="54"/>
        <v>2.0355984890446579</v>
      </c>
    </row>
    <row r="660" spans="1:7" x14ac:dyDescent="0.35">
      <c r="A660">
        <v>3240</v>
      </c>
      <c r="B660">
        <f t="shared" si="50"/>
        <v>1901.6479361775928</v>
      </c>
      <c r="C660">
        <f t="shared" si="51"/>
        <v>3616264.8731684978</v>
      </c>
      <c r="D660">
        <v>38371</v>
      </c>
      <c r="E660">
        <f t="shared" si="52"/>
        <v>3.8371</v>
      </c>
      <c r="F660">
        <f t="shared" si="53"/>
        <v>0.45724401664932746</v>
      </c>
      <c r="G660">
        <f t="shared" si="54"/>
        <v>0.20907209076161046</v>
      </c>
    </row>
    <row r="661" spans="1:7" x14ac:dyDescent="0.35">
      <c r="A661">
        <v>3240</v>
      </c>
      <c r="B661">
        <f t="shared" si="50"/>
        <v>1901.6479361775928</v>
      </c>
      <c r="C661">
        <f t="shared" si="51"/>
        <v>3616264.8731684978</v>
      </c>
      <c r="D661">
        <v>47836</v>
      </c>
      <c r="E661">
        <f t="shared" si="52"/>
        <v>4.7835999999999999</v>
      </c>
      <c r="F661">
        <f t="shared" si="53"/>
        <v>1.4037440166493274</v>
      </c>
      <c r="G661">
        <f t="shared" si="54"/>
        <v>1.970497264278787</v>
      </c>
    </row>
    <row r="662" spans="1:7" x14ac:dyDescent="0.35">
      <c r="A662">
        <v>3240</v>
      </c>
      <c r="B662">
        <f t="shared" si="50"/>
        <v>1901.6479361775928</v>
      </c>
      <c r="C662">
        <f t="shared" si="51"/>
        <v>3616264.8731684978</v>
      </c>
      <c r="D662">
        <v>48709</v>
      </c>
      <c r="E662">
        <f t="shared" si="52"/>
        <v>4.8708999999999998</v>
      </c>
      <c r="F662">
        <f t="shared" si="53"/>
        <v>1.4910440166493273</v>
      </c>
      <c r="G662">
        <f t="shared" si="54"/>
        <v>2.2232122595857593</v>
      </c>
    </row>
    <row r="663" spans="1:7" x14ac:dyDescent="0.35">
      <c r="A663">
        <v>3240</v>
      </c>
      <c r="B663">
        <f t="shared" si="50"/>
        <v>1901.6479361775928</v>
      </c>
      <c r="C663">
        <f t="shared" si="51"/>
        <v>3616264.8731684978</v>
      </c>
      <c r="D663">
        <v>47109</v>
      </c>
      <c r="E663">
        <f t="shared" si="52"/>
        <v>4.7108999999999996</v>
      </c>
      <c r="F663">
        <f t="shared" si="53"/>
        <v>1.3310440166493271</v>
      </c>
      <c r="G663">
        <f t="shared" si="54"/>
        <v>1.7716781742579744</v>
      </c>
    </row>
    <row r="664" spans="1:7" x14ac:dyDescent="0.35">
      <c r="A664">
        <v>900</v>
      </c>
      <c r="B664">
        <f t="shared" si="50"/>
        <v>-438.35206382240722</v>
      </c>
      <c r="C664">
        <f t="shared" si="51"/>
        <v>192152.53185736376</v>
      </c>
      <c r="D664">
        <v>10156</v>
      </c>
      <c r="E664">
        <f t="shared" si="52"/>
        <v>1.0156000000000001</v>
      </c>
      <c r="F664">
        <f t="shared" si="53"/>
        <v>-2.3642559833506724</v>
      </c>
      <c r="G664">
        <f t="shared" si="54"/>
        <v>5.5897063548094552</v>
      </c>
    </row>
    <row r="665" spans="1:7" x14ac:dyDescent="0.35">
      <c r="A665">
        <v>900</v>
      </c>
      <c r="B665">
        <f t="shared" si="50"/>
        <v>-438.35206382240722</v>
      </c>
      <c r="C665">
        <f t="shared" si="51"/>
        <v>192152.53185736376</v>
      </c>
      <c r="D665">
        <v>10156</v>
      </c>
      <c r="E665">
        <f t="shared" si="52"/>
        <v>1.0156000000000001</v>
      </c>
      <c r="F665">
        <f t="shared" si="53"/>
        <v>-2.3642559833506724</v>
      </c>
      <c r="G665">
        <f t="shared" si="54"/>
        <v>5.5897063548094552</v>
      </c>
    </row>
    <row r="666" spans="1:7" x14ac:dyDescent="0.35">
      <c r="A666">
        <v>900</v>
      </c>
      <c r="B666">
        <f t="shared" si="50"/>
        <v>-438.35206382240722</v>
      </c>
      <c r="C666">
        <f t="shared" si="51"/>
        <v>192152.53185736376</v>
      </c>
      <c r="D666">
        <v>10156</v>
      </c>
      <c r="E666">
        <f t="shared" si="52"/>
        <v>1.0156000000000001</v>
      </c>
      <c r="F666">
        <f t="shared" si="53"/>
        <v>-2.3642559833506724</v>
      </c>
      <c r="G666">
        <f t="shared" si="54"/>
        <v>5.5897063548094552</v>
      </c>
    </row>
    <row r="667" spans="1:7" x14ac:dyDescent="0.35">
      <c r="A667">
        <v>900</v>
      </c>
      <c r="B667">
        <f t="shared" si="50"/>
        <v>-438.35206382240722</v>
      </c>
      <c r="C667">
        <f t="shared" si="51"/>
        <v>192152.53185736376</v>
      </c>
      <c r="D667">
        <v>11538</v>
      </c>
      <c r="E667">
        <f t="shared" si="52"/>
        <v>1.1537999999999999</v>
      </c>
      <c r="F667">
        <f t="shared" si="53"/>
        <v>-2.2260559833506726</v>
      </c>
      <c r="G667">
        <f t="shared" si="54"/>
        <v>4.9553252410113302</v>
      </c>
    </row>
    <row r="668" spans="1:7" x14ac:dyDescent="0.35">
      <c r="A668">
        <v>900</v>
      </c>
      <c r="B668">
        <f t="shared" si="50"/>
        <v>-438.35206382240722</v>
      </c>
      <c r="C668">
        <f t="shared" si="51"/>
        <v>192152.53185736376</v>
      </c>
      <c r="D668">
        <v>11407</v>
      </c>
      <c r="E668">
        <f t="shared" si="52"/>
        <v>1.1407</v>
      </c>
      <c r="F668">
        <f t="shared" si="53"/>
        <v>-2.2391559833506722</v>
      </c>
      <c r="G668">
        <f t="shared" si="54"/>
        <v>5.0138195177751159</v>
      </c>
    </row>
    <row r="669" spans="1:7" x14ac:dyDescent="0.35">
      <c r="A669">
        <v>900</v>
      </c>
      <c r="B669">
        <f t="shared" si="50"/>
        <v>-438.35206382240722</v>
      </c>
      <c r="C669">
        <f t="shared" si="51"/>
        <v>192152.53185736376</v>
      </c>
      <c r="D669">
        <v>11852</v>
      </c>
      <c r="E669">
        <f t="shared" si="52"/>
        <v>1.1852</v>
      </c>
      <c r="F669">
        <f t="shared" si="53"/>
        <v>-2.1946559833506725</v>
      </c>
      <c r="G669">
        <f t="shared" si="54"/>
        <v>4.8165148852569075</v>
      </c>
    </row>
    <row r="670" spans="1:7" x14ac:dyDescent="0.35">
      <c r="A670">
        <v>900</v>
      </c>
      <c r="B670">
        <f t="shared" si="50"/>
        <v>-438.35206382240722</v>
      </c>
      <c r="C670">
        <f t="shared" si="51"/>
        <v>192152.53185736376</v>
      </c>
      <c r="D670">
        <v>11786</v>
      </c>
      <c r="E670">
        <f t="shared" si="52"/>
        <v>1.1786000000000001</v>
      </c>
      <c r="F670">
        <f t="shared" si="53"/>
        <v>-2.2012559833506726</v>
      </c>
      <c r="G670">
        <f t="shared" si="54"/>
        <v>4.8455279042371364</v>
      </c>
    </row>
    <row r="671" spans="1:7" x14ac:dyDescent="0.35">
      <c r="A671">
        <v>900</v>
      </c>
      <c r="B671">
        <f t="shared" si="50"/>
        <v>-438.35206382240722</v>
      </c>
      <c r="C671">
        <f t="shared" si="51"/>
        <v>192152.53185736376</v>
      </c>
      <c r="D671">
        <v>11807</v>
      </c>
      <c r="E671">
        <f t="shared" si="52"/>
        <v>1.1807000000000001</v>
      </c>
      <c r="F671">
        <f t="shared" si="53"/>
        <v>-2.1991559833506722</v>
      </c>
      <c r="G671">
        <f t="shared" si="54"/>
        <v>4.836287039107062</v>
      </c>
    </row>
    <row r="672" spans="1:7" x14ac:dyDescent="0.35">
      <c r="A672">
        <v>900</v>
      </c>
      <c r="B672">
        <f t="shared" si="50"/>
        <v>-438.35206382240722</v>
      </c>
      <c r="C672">
        <f t="shared" si="51"/>
        <v>192152.53185736376</v>
      </c>
      <c r="D672">
        <v>11827</v>
      </c>
      <c r="E672">
        <f t="shared" si="52"/>
        <v>1.1827000000000001</v>
      </c>
      <c r="F672">
        <f t="shared" si="53"/>
        <v>-2.1971559833506724</v>
      </c>
      <c r="G672">
        <f t="shared" si="54"/>
        <v>4.8274944151736605</v>
      </c>
    </row>
    <row r="673" spans="1:7" x14ac:dyDescent="0.35">
      <c r="A673">
        <v>900</v>
      </c>
      <c r="B673">
        <f t="shared" si="50"/>
        <v>-438.35206382240722</v>
      </c>
      <c r="C673">
        <f t="shared" si="51"/>
        <v>192152.53185736376</v>
      </c>
      <c r="D673">
        <v>11850</v>
      </c>
      <c r="E673">
        <f t="shared" si="52"/>
        <v>1.1850000000000001</v>
      </c>
      <c r="F673">
        <f t="shared" si="53"/>
        <v>-2.1948559833506724</v>
      </c>
      <c r="G673">
        <f t="shared" si="54"/>
        <v>4.8173927876502471</v>
      </c>
    </row>
    <row r="674" spans="1:7" x14ac:dyDescent="0.35">
      <c r="A674">
        <v>900</v>
      </c>
      <c r="B674">
        <f t="shared" si="50"/>
        <v>-438.35206382240722</v>
      </c>
      <c r="C674">
        <f t="shared" si="51"/>
        <v>192152.53185736376</v>
      </c>
      <c r="D674">
        <v>11876</v>
      </c>
      <c r="E674">
        <f t="shared" si="52"/>
        <v>1.1876</v>
      </c>
      <c r="F674">
        <f t="shared" si="53"/>
        <v>-2.1922559833506723</v>
      </c>
      <c r="G674">
        <f t="shared" si="54"/>
        <v>4.8059862965368234</v>
      </c>
    </row>
    <row r="675" spans="1:7" x14ac:dyDescent="0.35">
      <c r="A675">
        <v>900</v>
      </c>
      <c r="B675">
        <f t="shared" si="50"/>
        <v>-438.35206382240722</v>
      </c>
      <c r="C675">
        <f t="shared" si="51"/>
        <v>192152.53185736376</v>
      </c>
      <c r="D675">
        <v>11904</v>
      </c>
      <c r="E675">
        <f t="shared" si="52"/>
        <v>1.1903999999999999</v>
      </c>
      <c r="F675">
        <f t="shared" si="53"/>
        <v>-2.1894559833506726</v>
      </c>
      <c r="G675">
        <f t="shared" si="54"/>
        <v>4.7937175030300603</v>
      </c>
    </row>
    <row r="676" spans="1:7" x14ac:dyDescent="0.35">
      <c r="A676">
        <v>900</v>
      </c>
      <c r="B676">
        <f t="shared" si="50"/>
        <v>-438.35206382240722</v>
      </c>
      <c r="C676">
        <f t="shared" si="51"/>
        <v>192152.53185736376</v>
      </c>
      <c r="D676">
        <v>11931</v>
      </c>
      <c r="E676">
        <f t="shared" si="52"/>
        <v>1.1931</v>
      </c>
      <c r="F676">
        <f t="shared" si="53"/>
        <v>-2.1867559833506727</v>
      </c>
      <c r="G676">
        <f t="shared" si="54"/>
        <v>4.7819017307199676</v>
      </c>
    </row>
    <row r="677" spans="1:7" x14ac:dyDescent="0.35">
      <c r="A677">
        <v>900</v>
      </c>
      <c r="B677">
        <f t="shared" si="50"/>
        <v>-438.35206382240722</v>
      </c>
      <c r="C677">
        <f t="shared" si="51"/>
        <v>192152.53185736376</v>
      </c>
      <c r="D677">
        <v>11955</v>
      </c>
      <c r="E677">
        <f t="shared" si="52"/>
        <v>1.1955</v>
      </c>
      <c r="F677">
        <f t="shared" si="53"/>
        <v>-2.1843559833506725</v>
      </c>
      <c r="G677">
        <f t="shared" si="54"/>
        <v>4.7714110619998831</v>
      </c>
    </row>
    <row r="678" spans="1:7" x14ac:dyDescent="0.35">
      <c r="A678">
        <v>900</v>
      </c>
      <c r="B678">
        <f t="shared" si="50"/>
        <v>-438.35206382240722</v>
      </c>
      <c r="C678">
        <f t="shared" si="51"/>
        <v>192152.53185736376</v>
      </c>
      <c r="D678">
        <v>12020</v>
      </c>
      <c r="E678">
        <f t="shared" si="52"/>
        <v>1.202</v>
      </c>
      <c r="F678">
        <f t="shared" si="53"/>
        <v>-2.1778559833506725</v>
      </c>
      <c r="G678">
        <f t="shared" si="54"/>
        <v>4.7430566842163246</v>
      </c>
    </row>
    <row r="679" spans="1:7" x14ac:dyDescent="0.35">
      <c r="A679">
        <v>900</v>
      </c>
      <c r="B679">
        <f t="shared" si="50"/>
        <v>-438.35206382240722</v>
      </c>
      <c r="C679">
        <f t="shared" si="51"/>
        <v>192152.53185736376</v>
      </c>
      <c r="D679">
        <v>12026</v>
      </c>
      <c r="E679">
        <f t="shared" si="52"/>
        <v>1.2025999999999999</v>
      </c>
      <c r="F679">
        <f t="shared" si="53"/>
        <v>-2.1772559833506726</v>
      </c>
      <c r="G679">
        <f t="shared" si="54"/>
        <v>4.7404436170363047</v>
      </c>
    </row>
    <row r="680" spans="1:7" x14ac:dyDescent="0.35">
      <c r="A680">
        <v>900</v>
      </c>
      <c r="B680">
        <f t="shared" si="50"/>
        <v>-438.35206382240722</v>
      </c>
      <c r="C680">
        <f t="shared" si="51"/>
        <v>192152.53185736376</v>
      </c>
      <c r="D680">
        <v>12027</v>
      </c>
      <c r="E680">
        <f t="shared" si="52"/>
        <v>1.2027000000000001</v>
      </c>
      <c r="F680">
        <f t="shared" si="53"/>
        <v>-2.1771559833506724</v>
      </c>
      <c r="G680">
        <f t="shared" si="54"/>
        <v>4.7400081758396331</v>
      </c>
    </row>
    <row r="681" spans="1:7" x14ac:dyDescent="0.35">
      <c r="A681">
        <v>900</v>
      </c>
      <c r="B681">
        <f t="shared" si="50"/>
        <v>-438.35206382240722</v>
      </c>
      <c r="C681">
        <f t="shared" si="51"/>
        <v>192152.53185736376</v>
      </c>
      <c r="D681">
        <v>12020</v>
      </c>
      <c r="E681">
        <f t="shared" si="52"/>
        <v>1.202</v>
      </c>
      <c r="F681">
        <f t="shared" si="53"/>
        <v>-2.1778559833506725</v>
      </c>
      <c r="G681">
        <f t="shared" si="54"/>
        <v>4.7430566842163246</v>
      </c>
    </row>
    <row r="682" spans="1:7" x14ac:dyDescent="0.35">
      <c r="A682">
        <v>900</v>
      </c>
      <c r="B682">
        <f t="shared" si="50"/>
        <v>-438.35206382240722</v>
      </c>
      <c r="C682">
        <f t="shared" si="51"/>
        <v>192152.53185736376</v>
      </c>
      <c r="D682">
        <v>12000</v>
      </c>
      <c r="E682">
        <f t="shared" si="52"/>
        <v>1.2</v>
      </c>
      <c r="F682">
        <f t="shared" si="53"/>
        <v>-2.1798559833506728</v>
      </c>
      <c r="G682">
        <f t="shared" si="54"/>
        <v>4.7517721081497282</v>
      </c>
    </row>
    <row r="683" spans="1:7" x14ac:dyDescent="0.35">
      <c r="A683">
        <v>900</v>
      </c>
      <c r="B683">
        <f t="shared" si="50"/>
        <v>-438.35206382240722</v>
      </c>
      <c r="C683">
        <f t="shared" si="51"/>
        <v>192152.53185736376</v>
      </c>
      <c r="D683">
        <v>11765</v>
      </c>
      <c r="E683">
        <f t="shared" si="52"/>
        <v>1.1765000000000001</v>
      </c>
      <c r="F683">
        <f t="shared" si="53"/>
        <v>-2.2033559833506722</v>
      </c>
      <c r="G683">
        <f t="shared" si="54"/>
        <v>4.8547775893672078</v>
      </c>
    </row>
    <row r="684" spans="1:7" x14ac:dyDescent="0.35">
      <c r="A684">
        <v>900</v>
      </c>
      <c r="B684">
        <f t="shared" si="50"/>
        <v>-438.35206382240722</v>
      </c>
      <c r="C684">
        <f t="shared" si="51"/>
        <v>192152.53185736376</v>
      </c>
      <c r="D684">
        <v>12143</v>
      </c>
      <c r="E684">
        <f t="shared" si="52"/>
        <v>1.2142999999999999</v>
      </c>
      <c r="F684">
        <f t="shared" si="53"/>
        <v>-2.1655559833506723</v>
      </c>
      <c r="G684">
        <f t="shared" si="54"/>
        <v>4.6896327170258978</v>
      </c>
    </row>
    <row r="685" spans="1:7" x14ac:dyDescent="0.35">
      <c r="A685">
        <v>900</v>
      </c>
      <c r="B685">
        <f t="shared" si="50"/>
        <v>-438.35206382240722</v>
      </c>
      <c r="C685">
        <f t="shared" si="51"/>
        <v>192152.53185736376</v>
      </c>
      <c r="D685">
        <v>11765</v>
      </c>
      <c r="E685">
        <f t="shared" si="52"/>
        <v>1.1765000000000001</v>
      </c>
      <c r="F685">
        <f t="shared" si="53"/>
        <v>-2.2033559833506722</v>
      </c>
      <c r="G685">
        <f t="shared" si="54"/>
        <v>4.8547775893672078</v>
      </c>
    </row>
    <row r="686" spans="1:7" x14ac:dyDescent="0.35">
      <c r="A686">
        <v>900</v>
      </c>
      <c r="B686">
        <f t="shared" si="50"/>
        <v>-438.35206382240722</v>
      </c>
      <c r="C686">
        <f t="shared" si="51"/>
        <v>192152.53185736376</v>
      </c>
      <c r="D686">
        <v>12151</v>
      </c>
      <c r="E686">
        <f t="shared" si="52"/>
        <v>1.2151000000000001</v>
      </c>
      <c r="F686">
        <f t="shared" si="53"/>
        <v>-2.1647559833506724</v>
      </c>
      <c r="G686">
        <f t="shared" si="54"/>
        <v>4.6861684674525366</v>
      </c>
    </row>
    <row r="687" spans="1:7" x14ac:dyDescent="0.35">
      <c r="A687">
        <v>900</v>
      </c>
      <c r="B687">
        <f t="shared" si="50"/>
        <v>-438.35206382240722</v>
      </c>
      <c r="C687">
        <f t="shared" si="51"/>
        <v>192152.53185736376</v>
      </c>
      <c r="D687">
        <v>12632</v>
      </c>
      <c r="E687">
        <f t="shared" si="52"/>
        <v>1.2632000000000001</v>
      </c>
      <c r="F687">
        <f t="shared" si="53"/>
        <v>-2.1166559833506726</v>
      </c>
      <c r="G687">
        <f t="shared" si="54"/>
        <v>4.4802325518542032</v>
      </c>
    </row>
    <row r="688" spans="1:7" x14ac:dyDescent="0.35">
      <c r="A688">
        <v>900</v>
      </c>
      <c r="B688">
        <f t="shared" si="50"/>
        <v>-438.35206382240722</v>
      </c>
      <c r="C688">
        <f t="shared" si="51"/>
        <v>192152.53185736376</v>
      </c>
      <c r="D688">
        <v>12619</v>
      </c>
      <c r="E688">
        <f t="shared" si="52"/>
        <v>1.2619</v>
      </c>
      <c r="F688">
        <f t="shared" si="53"/>
        <v>-2.1179559833506723</v>
      </c>
      <c r="G688">
        <f t="shared" si="54"/>
        <v>4.4857375474109134</v>
      </c>
    </row>
    <row r="689" spans="1:7" x14ac:dyDescent="0.35">
      <c r="A689">
        <v>900</v>
      </c>
      <c r="B689">
        <f t="shared" si="50"/>
        <v>-438.35206382240722</v>
      </c>
      <c r="C689">
        <f t="shared" si="51"/>
        <v>192152.53185736376</v>
      </c>
      <c r="D689">
        <v>12273</v>
      </c>
      <c r="E689">
        <f t="shared" si="52"/>
        <v>1.2273000000000001</v>
      </c>
      <c r="F689">
        <f t="shared" si="53"/>
        <v>-2.1525559833506724</v>
      </c>
      <c r="G689">
        <f t="shared" si="54"/>
        <v>4.6334972614587802</v>
      </c>
    </row>
    <row r="690" spans="1:7" x14ac:dyDescent="0.35">
      <c r="A690">
        <v>900</v>
      </c>
      <c r="B690">
        <f t="shared" si="50"/>
        <v>-438.35206382240722</v>
      </c>
      <c r="C690">
        <f t="shared" si="51"/>
        <v>192152.53185736376</v>
      </c>
      <c r="D690">
        <v>12889</v>
      </c>
      <c r="E690">
        <f t="shared" si="52"/>
        <v>1.2888999999999999</v>
      </c>
      <c r="F690">
        <f t="shared" si="53"/>
        <v>-2.0909559833506726</v>
      </c>
      <c r="G690">
        <f t="shared" si="54"/>
        <v>4.3720969243099779</v>
      </c>
    </row>
    <row r="691" spans="1:7" x14ac:dyDescent="0.35">
      <c r="A691">
        <v>900</v>
      </c>
      <c r="B691">
        <f t="shared" si="50"/>
        <v>-438.35206382240722</v>
      </c>
      <c r="C691">
        <f t="shared" si="51"/>
        <v>192152.53185736376</v>
      </c>
      <c r="D691">
        <v>12758</v>
      </c>
      <c r="E691">
        <f t="shared" si="52"/>
        <v>1.2758</v>
      </c>
      <c r="F691">
        <f t="shared" si="53"/>
        <v>-2.1040559833506727</v>
      </c>
      <c r="G691">
        <f t="shared" si="54"/>
        <v>4.4270515810737665</v>
      </c>
    </row>
    <row r="692" spans="1:7" x14ac:dyDescent="0.35">
      <c r="A692">
        <v>900</v>
      </c>
      <c r="B692">
        <f t="shared" si="50"/>
        <v>-438.35206382240722</v>
      </c>
      <c r="C692">
        <f t="shared" si="51"/>
        <v>192152.53185736376</v>
      </c>
      <c r="D692">
        <v>12689</v>
      </c>
      <c r="E692">
        <f t="shared" si="52"/>
        <v>1.2688999999999999</v>
      </c>
      <c r="F692">
        <f t="shared" si="53"/>
        <v>-2.1109559833506726</v>
      </c>
      <c r="G692">
        <f t="shared" si="54"/>
        <v>4.4561351636440047</v>
      </c>
    </row>
    <row r="693" spans="1:7" x14ac:dyDescent="0.35">
      <c r="A693">
        <v>900</v>
      </c>
      <c r="B693">
        <f t="shared" si="50"/>
        <v>-438.35206382240722</v>
      </c>
      <c r="C693">
        <f t="shared" si="51"/>
        <v>192152.53185736376</v>
      </c>
      <c r="D693">
        <v>12772</v>
      </c>
      <c r="E693">
        <f t="shared" si="52"/>
        <v>1.2771999999999999</v>
      </c>
      <c r="F693">
        <f t="shared" si="53"/>
        <v>-2.1026559833506724</v>
      </c>
      <c r="G693">
        <f t="shared" si="54"/>
        <v>4.4211621843203828</v>
      </c>
    </row>
    <row r="694" spans="1:7" x14ac:dyDescent="0.35">
      <c r="A694">
        <v>2926</v>
      </c>
      <c r="B694">
        <f t="shared" si="50"/>
        <v>1587.6479361775928</v>
      </c>
      <c r="C694">
        <f t="shared" si="51"/>
        <v>2520625.9692489696</v>
      </c>
      <c r="D694">
        <v>30352</v>
      </c>
      <c r="E694">
        <f t="shared" si="52"/>
        <v>3.0352000000000001</v>
      </c>
      <c r="F694">
        <f t="shared" si="53"/>
        <v>-0.34465598335067238</v>
      </c>
      <c r="G694">
        <f t="shared" si="54"/>
        <v>0.11878774685941895</v>
      </c>
    </row>
    <row r="695" spans="1:7" x14ac:dyDescent="0.35">
      <c r="A695">
        <v>2926</v>
      </c>
      <c r="B695">
        <f t="shared" si="50"/>
        <v>1587.6479361775928</v>
      </c>
      <c r="C695">
        <f t="shared" si="51"/>
        <v>2520625.9692489696</v>
      </c>
      <c r="D695">
        <v>30638</v>
      </c>
      <c r="E695">
        <f t="shared" si="52"/>
        <v>3.0638000000000001</v>
      </c>
      <c r="F695">
        <f t="shared" si="53"/>
        <v>-0.31605598335067242</v>
      </c>
      <c r="G695">
        <f t="shared" si="54"/>
        <v>9.9891384611760517E-2</v>
      </c>
    </row>
    <row r="696" spans="1:7" x14ac:dyDescent="0.35">
      <c r="A696">
        <v>2926</v>
      </c>
      <c r="B696">
        <f t="shared" si="50"/>
        <v>1587.6479361775928</v>
      </c>
      <c r="C696">
        <f t="shared" si="51"/>
        <v>2520625.9692489696</v>
      </c>
      <c r="D696">
        <v>30281</v>
      </c>
      <c r="E696">
        <f t="shared" si="52"/>
        <v>3.0280999999999998</v>
      </c>
      <c r="F696">
        <f t="shared" si="53"/>
        <v>-0.35175598335067271</v>
      </c>
      <c r="G696">
        <f t="shared" si="54"/>
        <v>0.12373227182299873</v>
      </c>
    </row>
    <row r="697" spans="1:7" x14ac:dyDescent="0.35">
      <c r="A697">
        <v>2926</v>
      </c>
      <c r="B697">
        <f t="shared" si="50"/>
        <v>1587.6479361775928</v>
      </c>
      <c r="C697">
        <f t="shared" si="51"/>
        <v>2520625.9692489696</v>
      </c>
      <c r="D697">
        <v>36313</v>
      </c>
      <c r="E697">
        <f t="shared" si="52"/>
        <v>3.6313</v>
      </c>
      <c r="F697">
        <f t="shared" si="53"/>
        <v>0.25144401664932747</v>
      </c>
      <c r="G697">
        <f t="shared" si="54"/>
        <v>6.3224093508747276E-2</v>
      </c>
    </row>
    <row r="698" spans="1:7" x14ac:dyDescent="0.35">
      <c r="A698">
        <v>2926</v>
      </c>
      <c r="B698">
        <f t="shared" si="50"/>
        <v>1587.6479361775928</v>
      </c>
      <c r="C698">
        <f t="shared" si="51"/>
        <v>2520625.9692489696</v>
      </c>
      <c r="D698">
        <v>42823</v>
      </c>
      <c r="E698">
        <f t="shared" si="52"/>
        <v>4.2823000000000002</v>
      </c>
      <c r="F698">
        <f t="shared" si="53"/>
        <v>0.90244401664932772</v>
      </c>
      <c r="G698">
        <f t="shared" si="54"/>
        <v>0.81440520318617204</v>
      </c>
    </row>
    <row r="699" spans="1:7" x14ac:dyDescent="0.35">
      <c r="A699">
        <v>2926</v>
      </c>
      <c r="B699">
        <f t="shared" si="50"/>
        <v>1587.6479361775928</v>
      </c>
      <c r="C699">
        <f t="shared" si="51"/>
        <v>2520625.9692489696</v>
      </c>
      <c r="D699">
        <v>44019</v>
      </c>
      <c r="E699">
        <f t="shared" si="52"/>
        <v>4.4019000000000004</v>
      </c>
      <c r="F699">
        <f t="shared" si="53"/>
        <v>1.0220440166493279</v>
      </c>
      <c r="G699">
        <f t="shared" si="54"/>
        <v>1.0445739719686915</v>
      </c>
    </row>
    <row r="700" spans="1:7" x14ac:dyDescent="0.35">
      <c r="A700">
        <v>2926</v>
      </c>
      <c r="B700">
        <f t="shared" si="50"/>
        <v>1587.6479361775928</v>
      </c>
      <c r="C700">
        <f t="shared" si="51"/>
        <v>2520625.9692489696</v>
      </c>
      <c r="D700">
        <v>38418</v>
      </c>
      <c r="E700">
        <f t="shared" si="52"/>
        <v>3.8418000000000001</v>
      </c>
      <c r="F700">
        <f t="shared" si="53"/>
        <v>0.4619440166493276</v>
      </c>
      <c r="G700">
        <f t="shared" si="54"/>
        <v>0.21339227451811427</v>
      </c>
    </row>
    <row r="701" spans="1:7" x14ac:dyDescent="0.35">
      <c r="A701">
        <v>2926</v>
      </c>
      <c r="B701">
        <f t="shared" si="50"/>
        <v>1587.6479361775928</v>
      </c>
      <c r="C701">
        <f t="shared" si="51"/>
        <v>2520625.9692489696</v>
      </c>
      <c r="D701">
        <v>41264</v>
      </c>
      <c r="E701">
        <f t="shared" si="52"/>
        <v>4.1264000000000003</v>
      </c>
      <c r="F701">
        <f t="shared" si="53"/>
        <v>0.74654401664932779</v>
      </c>
      <c r="G701">
        <f t="shared" si="54"/>
        <v>0.55732796879491175</v>
      </c>
    </row>
    <row r="702" spans="1:7" x14ac:dyDescent="0.35">
      <c r="A702">
        <v>2926</v>
      </c>
      <c r="B702">
        <f t="shared" si="50"/>
        <v>1587.6479361775928</v>
      </c>
      <c r="C702">
        <f t="shared" si="51"/>
        <v>2520625.9692489696</v>
      </c>
      <c r="D702">
        <v>45875</v>
      </c>
      <c r="E702">
        <f t="shared" si="52"/>
        <v>4.5875000000000004</v>
      </c>
      <c r="F702">
        <f t="shared" si="53"/>
        <v>1.2076440166493279</v>
      </c>
      <c r="G702">
        <f t="shared" si="54"/>
        <v>1.4584040709489221</v>
      </c>
    </row>
    <row r="703" spans="1:7" x14ac:dyDescent="0.35">
      <c r="A703">
        <v>2926</v>
      </c>
      <c r="B703">
        <f t="shared" si="50"/>
        <v>1587.6479361775928</v>
      </c>
      <c r="C703">
        <f t="shared" si="51"/>
        <v>2520625.9692489696</v>
      </c>
      <c r="D703">
        <v>44518</v>
      </c>
      <c r="E703">
        <f t="shared" si="52"/>
        <v>4.4518000000000004</v>
      </c>
      <c r="F703">
        <f t="shared" si="53"/>
        <v>1.0719440166493279</v>
      </c>
      <c r="G703">
        <f t="shared" si="54"/>
        <v>1.1490639748302947</v>
      </c>
    </row>
    <row r="704" spans="1:7" x14ac:dyDescent="0.35">
      <c r="A704">
        <v>2926</v>
      </c>
      <c r="B704">
        <f t="shared" si="50"/>
        <v>1587.6479361775928</v>
      </c>
      <c r="C704">
        <f t="shared" si="51"/>
        <v>2520625.9692489696</v>
      </c>
      <c r="D704">
        <v>41102</v>
      </c>
      <c r="E704">
        <f t="shared" si="52"/>
        <v>4.1101999999999999</v>
      </c>
      <c r="F704">
        <f t="shared" si="53"/>
        <v>0.73034401664932735</v>
      </c>
      <c r="G704">
        <f t="shared" si="54"/>
        <v>0.53340238265547291</v>
      </c>
    </row>
    <row r="705" spans="1:7" x14ac:dyDescent="0.35">
      <c r="A705">
        <v>2926</v>
      </c>
      <c r="B705">
        <f t="shared" si="50"/>
        <v>1587.6479361775928</v>
      </c>
      <c r="C705">
        <f t="shared" si="51"/>
        <v>2520625.9692489696</v>
      </c>
      <c r="D705">
        <v>43652</v>
      </c>
      <c r="E705">
        <f t="shared" si="52"/>
        <v>4.3651999999999997</v>
      </c>
      <c r="F705">
        <f t="shared" si="53"/>
        <v>0.98534401664932725</v>
      </c>
      <c r="G705">
        <f t="shared" si="54"/>
        <v>0.97090283114662967</v>
      </c>
    </row>
    <row r="706" spans="1:7" x14ac:dyDescent="0.35">
      <c r="A706">
        <v>2926</v>
      </c>
      <c r="B706">
        <f t="shared" si="50"/>
        <v>1587.6479361775928</v>
      </c>
      <c r="C706">
        <f t="shared" si="51"/>
        <v>2520625.9692489696</v>
      </c>
      <c r="D706">
        <v>42668</v>
      </c>
      <c r="E706">
        <f t="shared" si="52"/>
        <v>4.2667999999999999</v>
      </c>
      <c r="F706">
        <f t="shared" si="53"/>
        <v>0.88694401664932743</v>
      </c>
      <c r="G706">
        <f t="shared" si="54"/>
        <v>0.78666968867004239</v>
      </c>
    </row>
    <row r="707" spans="1:7" x14ac:dyDescent="0.35">
      <c r="A707">
        <v>2926</v>
      </c>
      <c r="B707">
        <f t="shared" ref="B707:B770" si="55">A707-$J$1</f>
        <v>1587.6479361775928</v>
      </c>
      <c r="C707">
        <f t="shared" ref="C707:C770" si="56">B707^2</f>
        <v>2520625.9692489696</v>
      </c>
      <c r="D707">
        <v>40875</v>
      </c>
      <c r="E707">
        <f t="shared" ref="E707:E770" si="57">D707/10000</f>
        <v>4.0875000000000004</v>
      </c>
      <c r="F707">
        <f t="shared" ref="F707:F770" si="58">E707-$J$2</f>
        <v>0.70764401664932786</v>
      </c>
      <c r="G707">
        <f t="shared" ref="G707:G770" si="59">F707^2</f>
        <v>0.50076005429959425</v>
      </c>
    </row>
    <row r="708" spans="1:7" x14ac:dyDescent="0.35">
      <c r="A708">
        <v>2926</v>
      </c>
      <c r="B708">
        <f t="shared" si="55"/>
        <v>1587.6479361775928</v>
      </c>
      <c r="C708">
        <f t="shared" si="56"/>
        <v>2520625.9692489696</v>
      </c>
      <c r="D708">
        <v>38975</v>
      </c>
      <c r="E708">
        <f t="shared" si="57"/>
        <v>3.8975</v>
      </c>
      <c r="F708">
        <f t="shared" si="58"/>
        <v>0.51764401664932747</v>
      </c>
      <c r="G708">
        <f t="shared" si="59"/>
        <v>0.26795532797284921</v>
      </c>
    </row>
    <row r="709" spans="1:7" x14ac:dyDescent="0.35">
      <c r="A709">
        <v>2926</v>
      </c>
      <c r="B709">
        <f t="shared" si="55"/>
        <v>1587.6479361775928</v>
      </c>
      <c r="C709">
        <f t="shared" si="56"/>
        <v>2520625.9692489696</v>
      </c>
      <c r="D709">
        <v>38039</v>
      </c>
      <c r="E709">
        <f t="shared" si="57"/>
        <v>3.8039000000000001</v>
      </c>
      <c r="F709">
        <f t="shared" si="58"/>
        <v>0.42404401664932756</v>
      </c>
      <c r="G709">
        <f t="shared" si="59"/>
        <v>0.17981332805609518</v>
      </c>
    </row>
    <row r="710" spans="1:7" x14ac:dyDescent="0.35">
      <c r="A710">
        <v>2926</v>
      </c>
      <c r="B710">
        <f t="shared" si="55"/>
        <v>1587.6479361775928</v>
      </c>
      <c r="C710">
        <f t="shared" si="56"/>
        <v>2520625.9692489696</v>
      </c>
      <c r="D710">
        <v>39623</v>
      </c>
      <c r="E710">
        <f t="shared" si="57"/>
        <v>3.9622999999999999</v>
      </c>
      <c r="F710">
        <f t="shared" si="58"/>
        <v>0.58244401664932743</v>
      </c>
      <c r="G710">
        <f t="shared" si="59"/>
        <v>0.339241032530602</v>
      </c>
    </row>
    <row r="711" spans="1:7" x14ac:dyDescent="0.35">
      <c r="A711">
        <v>2926</v>
      </c>
      <c r="B711">
        <f t="shared" si="55"/>
        <v>1587.6479361775928</v>
      </c>
      <c r="C711">
        <f t="shared" si="56"/>
        <v>2520625.9692489696</v>
      </c>
      <c r="D711">
        <v>31749</v>
      </c>
      <c r="E711">
        <f t="shared" si="57"/>
        <v>3.1749000000000001</v>
      </c>
      <c r="F711">
        <f t="shared" si="58"/>
        <v>-0.20495598335067244</v>
      </c>
      <c r="G711">
        <f t="shared" si="59"/>
        <v>4.2006955111241119E-2</v>
      </c>
    </row>
    <row r="712" spans="1:7" x14ac:dyDescent="0.35">
      <c r="A712">
        <v>2926</v>
      </c>
      <c r="B712">
        <f t="shared" si="55"/>
        <v>1587.6479361775928</v>
      </c>
      <c r="C712">
        <f t="shared" si="56"/>
        <v>2520625.9692489696</v>
      </c>
      <c r="D712">
        <v>33169</v>
      </c>
      <c r="E712">
        <f t="shared" si="57"/>
        <v>3.3169</v>
      </c>
      <c r="F712">
        <f t="shared" si="58"/>
        <v>-6.295598335067254E-2</v>
      </c>
      <c r="G712">
        <f t="shared" si="59"/>
        <v>3.9634558396501578E-3</v>
      </c>
    </row>
    <row r="713" spans="1:7" x14ac:dyDescent="0.35">
      <c r="A713">
        <v>2926</v>
      </c>
      <c r="B713">
        <f t="shared" si="55"/>
        <v>1587.6479361775928</v>
      </c>
      <c r="C713">
        <f t="shared" si="56"/>
        <v>2520625.9692489696</v>
      </c>
      <c r="D713">
        <v>39744</v>
      </c>
      <c r="E713">
        <f t="shared" si="57"/>
        <v>3.9744000000000002</v>
      </c>
      <c r="F713">
        <f t="shared" si="58"/>
        <v>0.59454401664932766</v>
      </c>
      <c r="G713">
        <f t="shared" si="59"/>
        <v>0.35348258773351598</v>
      </c>
    </row>
    <row r="714" spans="1:7" x14ac:dyDescent="0.35">
      <c r="A714">
        <v>2926</v>
      </c>
      <c r="B714">
        <f t="shared" si="55"/>
        <v>1587.6479361775928</v>
      </c>
      <c r="C714">
        <f t="shared" si="56"/>
        <v>2520625.9692489696</v>
      </c>
      <c r="D714">
        <v>38036</v>
      </c>
      <c r="E714">
        <f t="shared" si="57"/>
        <v>3.8035999999999999</v>
      </c>
      <c r="F714">
        <f t="shared" si="58"/>
        <v>0.42374401664932737</v>
      </c>
      <c r="G714">
        <f t="shared" si="59"/>
        <v>0.17955899164610542</v>
      </c>
    </row>
    <row r="715" spans="1:7" x14ac:dyDescent="0.35">
      <c r="A715">
        <v>2926</v>
      </c>
      <c r="B715">
        <f t="shared" si="55"/>
        <v>1587.6479361775928</v>
      </c>
      <c r="C715">
        <f t="shared" si="56"/>
        <v>2520625.9692489696</v>
      </c>
      <c r="D715">
        <v>40974</v>
      </c>
      <c r="E715">
        <f t="shared" si="57"/>
        <v>4.0974000000000004</v>
      </c>
      <c r="F715">
        <f t="shared" si="58"/>
        <v>0.71754401664932788</v>
      </c>
      <c r="G715">
        <f t="shared" si="59"/>
        <v>0.51486941582925094</v>
      </c>
    </row>
    <row r="716" spans="1:7" x14ac:dyDescent="0.35">
      <c r="A716">
        <v>2926</v>
      </c>
      <c r="B716">
        <f t="shared" si="55"/>
        <v>1587.6479361775928</v>
      </c>
      <c r="C716">
        <f t="shared" si="56"/>
        <v>2520625.9692489696</v>
      </c>
      <c r="D716">
        <v>41001</v>
      </c>
      <c r="E716">
        <f t="shared" si="57"/>
        <v>4.1001000000000003</v>
      </c>
      <c r="F716">
        <f t="shared" si="58"/>
        <v>0.7202440166493278</v>
      </c>
      <c r="G716">
        <f t="shared" si="59"/>
        <v>0.51875144351915714</v>
      </c>
    </row>
    <row r="717" spans="1:7" x14ac:dyDescent="0.35">
      <c r="A717">
        <v>2926</v>
      </c>
      <c r="B717">
        <f t="shared" si="55"/>
        <v>1587.6479361775928</v>
      </c>
      <c r="C717">
        <f t="shared" si="56"/>
        <v>2520625.9692489696</v>
      </c>
      <c r="D717">
        <v>33485</v>
      </c>
      <c r="E717">
        <f t="shared" si="57"/>
        <v>3.3485</v>
      </c>
      <c r="F717">
        <f t="shared" si="58"/>
        <v>-3.1355983350672467E-2</v>
      </c>
      <c r="G717">
        <f t="shared" si="59"/>
        <v>9.8319769188764906E-4</v>
      </c>
    </row>
    <row r="718" spans="1:7" x14ac:dyDescent="0.35">
      <c r="A718">
        <v>2926</v>
      </c>
      <c r="B718">
        <f t="shared" si="55"/>
        <v>1587.6479361775928</v>
      </c>
      <c r="C718">
        <f t="shared" si="56"/>
        <v>2520625.9692489696</v>
      </c>
      <c r="D718">
        <v>35402</v>
      </c>
      <c r="E718">
        <f t="shared" si="57"/>
        <v>3.5402</v>
      </c>
      <c r="F718">
        <f t="shared" si="58"/>
        <v>0.16034401664932751</v>
      </c>
      <c r="G718">
        <f t="shared" si="59"/>
        <v>2.571020367523982E-2</v>
      </c>
    </row>
    <row r="719" spans="1:7" x14ac:dyDescent="0.35">
      <c r="A719">
        <v>2926</v>
      </c>
      <c r="B719">
        <f t="shared" si="55"/>
        <v>1587.6479361775928</v>
      </c>
      <c r="C719">
        <f t="shared" si="56"/>
        <v>2520625.9692489696</v>
      </c>
      <c r="D719">
        <v>37933</v>
      </c>
      <c r="E719">
        <f t="shared" si="57"/>
        <v>3.7932999999999999</v>
      </c>
      <c r="F719">
        <f t="shared" si="58"/>
        <v>0.41344401664932739</v>
      </c>
      <c r="G719">
        <f t="shared" si="59"/>
        <v>0.17093595490312929</v>
      </c>
    </row>
    <row r="720" spans="1:7" x14ac:dyDescent="0.35">
      <c r="A720">
        <v>2926</v>
      </c>
      <c r="B720">
        <f t="shared" si="55"/>
        <v>1587.6479361775928</v>
      </c>
      <c r="C720">
        <f t="shared" si="56"/>
        <v>2520625.9692489696</v>
      </c>
      <c r="D720">
        <v>33822</v>
      </c>
      <c r="E720">
        <f t="shared" si="57"/>
        <v>3.3822000000000001</v>
      </c>
      <c r="F720">
        <f t="shared" si="58"/>
        <v>2.344016649327596E-3</v>
      </c>
      <c r="G720">
        <f t="shared" si="59"/>
        <v>5.4944140523249701E-6</v>
      </c>
    </row>
    <row r="721" spans="1:7" x14ac:dyDescent="0.35">
      <c r="A721">
        <v>2926</v>
      </c>
      <c r="B721">
        <f t="shared" si="55"/>
        <v>1587.6479361775928</v>
      </c>
      <c r="C721">
        <f t="shared" si="56"/>
        <v>2520625.9692489696</v>
      </c>
      <c r="D721">
        <v>48799</v>
      </c>
      <c r="E721">
        <f t="shared" si="57"/>
        <v>4.8799000000000001</v>
      </c>
      <c r="F721">
        <f t="shared" si="58"/>
        <v>1.5000440166493276</v>
      </c>
      <c r="G721">
        <f t="shared" si="59"/>
        <v>2.2501320518854482</v>
      </c>
    </row>
    <row r="722" spans="1:7" x14ac:dyDescent="0.35">
      <c r="A722">
        <v>2926</v>
      </c>
      <c r="B722">
        <f t="shared" si="55"/>
        <v>1587.6479361775928</v>
      </c>
      <c r="C722">
        <f t="shared" si="56"/>
        <v>2520625.9692489696</v>
      </c>
      <c r="D722">
        <v>40029</v>
      </c>
      <c r="E722">
        <f t="shared" si="57"/>
        <v>4.0029000000000003</v>
      </c>
      <c r="F722">
        <f t="shared" si="58"/>
        <v>0.62304401664932785</v>
      </c>
      <c r="G722">
        <f t="shared" si="59"/>
        <v>0.38818384668252792</v>
      </c>
    </row>
    <row r="723" spans="1:7" x14ac:dyDescent="0.35">
      <c r="A723">
        <v>2926</v>
      </c>
      <c r="B723">
        <f t="shared" si="55"/>
        <v>1587.6479361775928</v>
      </c>
      <c r="C723">
        <f t="shared" si="56"/>
        <v>2520625.9692489696</v>
      </c>
      <c r="D723">
        <v>42396</v>
      </c>
      <c r="E723">
        <f t="shared" si="57"/>
        <v>4.2396000000000003</v>
      </c>
      <c r="F723">
        <f t="shared" si="58"/>
        <v>0.85974401664932776</v>
      </c>
      <c r="G723">
        <f t="shared" si="59"/>
        <v>0.73915977416431955</v>
      </c>
    </row>
    <row r="724" spans="1:7" x14ac:dyDescent="0.35">
      <c r="A724">
        <v>1335</v>
      </c>
      <c r="B724">
        <f t="shared" si="55"/>
        <v>-3.3520638224072172</v>
      </c>
      <c r="C724">
        <f t="shared" si="56"/>
        <v>11.236331869491284</v>
      </c>
      <c r="D724">
        <v>32935</v>
      </c>
      <c r="E724">
        <f t="shared" si="57"/>
        <v>3.2934999999999999</v>
      </c>
      <c r="F724">
        <f t="shared" si="58"/>
        <v>-8.6355983350672627E-2</v>
      </c>
      <c r="G724">
        <f t="shared" si="59"/>
        <v>7.4573558604616478E-3</v>
      </c>
    </row>
    <row r="725" spans="1:7" x14ac:dyDescent="0.35">
      <c r="A725">
        <v>1335</v>
      </c>
      <c r="B725">
        <f t="shared" si="55"/>
        <v>-3.3520638224072172</v>
      </c>
      <c r="C725">
        <f t="shared" si="56"/>
        <v>11.236331869491284</v>
      </c>
      <c r="D725">
        <v>33442</v>
      </c>
      <c r="E725">
        <f t="shared" si="57"/>
        <v>3.3441999999999998</v>
      </c>
      <c r="F725">
        <f t="shared" si="58"/>
        <v>-3.565598335067266E-2</v>
      </c>
      <c r="G725">
        <f t="shared" si="59"/>
        <v>1.271349148703446E-3</v>
      </c>
    </row>
    <row r="726" spans="1:7" x14ac:dyDescent="0.35">
      <c r="A726">
        <v>1335</v>
      </c>
      <c r="B726">
        <f t="shared" si="55"/>
        <v>-3.3520638224072172</v>
      </c>
      <c r="C726">
        <f t="shared" si="56"/>
        <v>11.236331869491284</v>
      </c>
      <c r="D726">
        <v>30401</v>
      </c>
      <c r="E726">
        <f t="shared" si="57"/>
        <v>3.0400999999999998</v>
      </c>
      <c r="F726">
        <f t="shared" si="58"/>
        <v>-0.3397559833506727</v>
      </c>
      <c r="G726">
        <f t="shared" si="59"/>
        <v>0.11543412822258259</v>
      </c>
    </row>
    <row r="727" spans="1:7" x14ac:dyDescent="0.35">
      <c r="A727">
        <v>1335</v>
      </c>
      <c r="B727">
        <f t="shared" si="55"/>
        <v>-3.3520638224072172</v>
      </c>
      <c r="C727">
        <f t="shared" si="56"/>
        <v>11.236331869491284</v>
      </c>
      <c r="D727">
        <v>32038</v>
      </c>
      <c r="E727">
        <f t="shared" si="57"/>
        <v>3.2038000000000002</v>
      </c>
      <c r="F727">
        <f t="shared" si="58"/>
        <v>-0.1760559833506723</v>
      </c>
      <c r="G727">
        <f t="shared" si="59"/>
        <v>3.0995709273572199E-2</v>
      </c>
    </row>
    <row r="728" spans="1:7" x14ac:dyDescent="0.35">
      <c r="A728">
        <v>1335</v>
      </c>
      <c r="B728">
        <f t="shared" si="55"/>
        <v>-3.3520638224072172</v>
      </c>
      <c r="C728">
        <f t="shared" si="56"/>
        <v>11.236331869491284</v>
      </c>
      <c r="D728">
        <v>30580</v>
      </c>
      <c r="E728">
        <f t="shared" si="57"/>
        <v>3.0579999999999998</v>
      </c>
      <c r="F728">
        <f t="shared" si="58"/>
        <v>-0.32185598335067267</v>
      </c>
      <c r="G728">
        <f t="shared" si="59"/>
        <v>0.10359127401862848</v>
      </c>
    </row>
    <row r="729" spans="1:7" x14ac:dyDescent="0.35">
      <c r="A729">
        <v>1335</v>
      </c>
      <c r="B729">
        <f t="shared" si="55"/>
        <v>-3.3520638224072172</v>
      </c>
      <c r="C729">
        <f t="shared" si="56"/>
        <v>11.236331869491284</v>
      </c>
      <c r="D729">
        <v>28105</v>
      </c>
      <c r="E729">
        <f t="shared" si="57"/>
        <v>2.8105000000000002</v>
      </c>
      <c r="F729">
        <f t="shared" si="58"/>
        <v>-0.56935598335067228</v>
      </c>
      <c r="G729">
        <f t="shared" si="59"/>
        <v>0.32416623577721099</v>
      </c>
    </row>
    <row r="730" spans="1:7" x14ac:dyDescent="0.35">
      <c r="A730">
        <v>1335</v>
      </c>
      <c r="B730">
        <f t="shared" si="55"/>
        <v>-3.3520638224072172</v>
      </c>
      <c r="C730">
        <f t="shared" si="56"/>
        <v>11.236331869491284</v>
      </c>
      <c r="D730">
        <v>21902</v>
      </c>
      <c r="E730">
        <f t="shared" si="57"/>
        <v>2.1901999999999999</v>
      </c>
      <c r="F730">
        <f t="shared" si="58"/>
        <v>-1.1896559833506726</v>
      </c>
      <c r="G730">
        <f t="shared" si="59"/>
        <v>1.4152813587220558</v>
      </c>
    </row>
    <row r="731" spans="1:7" x14ac:dyDescent="0.35">
      <c r="A731">
        <v>1335</v>
      </c>
      <c r="B731">
        <f t="shared" si="55"/>
        <v>-3.3520638224072172</v>
      </c>
      <c r="C731">
        <f t="shared" si="56"/>
        <v>11.236331869491284</v>
      </c>
      <c r="D731">
        <v>19113</v>
      </c>
      <c r="E731">
        <f t="shared" si="57"/>
        <v>1.9113</v>
      </c>
      <c r="F731">
        <f t="shared" si="58"/>
        <v>-1.4685559833506725</v>
      </c>
      <c r="G731">
        <f t="shared" si="59"/>
        <v>2.1566566762350607</v>
      </c>
    </row>
    <row r="732" spans="1:7" x14ac:dyDescent="0.35">
      <c r="A732">
        <v>1335</v>
      </c>
      <c r="B732">
        <f t="shared" si="55"/>
        <v>-3.3520638224072172</v>
      </c>
      <c r="C732">
        <f t="shared" si="56"/>
        <v>11.236331869491284</v>
      </c>
      <c r="D732">
        <v>23247</v>
      </c>
      <c r="E732">
        <f t="shared" si="57"/>
        <v>2.3247</v>
      </c>
      <c r="F732">
        <f t="shared" si="58"/>
        <v>-1.0551559833506725</v>
      </c>
      <c r="G732">
        <f t="shared" si="59"/>
        <v>1.1133541492007246</v>
      </c>
    </row>
    <row r="733" spans="1:7" x14ac:dyDescent="0.35">
      <c r="A733">
        <v>1335</v>
      </c>
      <c r="B733">
        <f t="shared" si="55"/>
        <v>-3.3520638224072172</v>
      </c>
      <c r="C733">
        <f t="shared" si="56"/>
        <v>11.236331869491284</v>
      </c>
      <c r="D733">
        <v>25604</v>
      </c>
      <c r="E733">
        <f t="shared" si="57"/>
        <v>2.5604</v>
      </c>
      <c r="F733">
        <f t="shared" si="58"/>
        <v>-0.81945598335067249</v>
      </c>
      <c r="G733">
        <f t="shared" si="59"/>
        <v>0.67150810864921762</v>
      </c>
    </row>
    <row r="734" spans="1:7" x14ac:dyDescent="0.35">
      <c r="A734">
        <v>1335</v>
      </c>
      <c r="B734">
        <f t="shared" si="55"/>
        <v>-3.3520638224072172</v>
      </c>
      <c r="C734">
        <f t="shared" si="56"/>
        <v>11.236331869491284</v>
      </c>
      <c r="D734">
        <v>24574</v>
      </c>
      <c r="E734">
        <f t="shared" si="57"/>
        <v>2.4573999999999998</v>
      </c>
      <c r="F734">
        <f t="shared" si="58"/>
        <v>-0.92245598335067269</v>
      </c>
      <c r="G734">
        <f t="shared" si="59"/>
        <v>0.85092504121945656</v>
      </c>
    </row>
    <row r="735" spans="1:7" x14ac:dyDescent="0.35">
      <c r="A735">
        <v>1335</v>
      </c>
      <c r="B735">
        <f t="shared" si="55"/>
        <v>-3.3520638224072172</v>
      </c>
      <c r="C735">
        <f t="shared" si="56"/>
        <v>11.236331869491284</v>
      </c>
      <c r="D735">
        <v>28781</v>
      </c>
      <c r="E735">
        <f t="shared" si="57"/>
        <v>2.8780999999999999</v>
      </c>
      <c r="F735">
        <f t="shared" si="58"/>
        <v>-0.50175598335067262</v>
      </c>
      <c r="G735">
        <f t="shared" si="59"/>
        <v>0.25175906682820048</v>
      </c>
    </row>
    <row r="736" spans="1:7" x14ac:dyDescent="0.35">
      <c r="A736">
        <v>1335</v>
      </c>
      <c r="B736">
        <f t="shared" si="55"/>
        <v>-3.3520638224072172</v>
      </c>
      <c r="C736">
        <f t="shared" si="56"/>
        <v>11.236331869491284</v>
      </c>
      <c r="D736">
        <v>22772</v>
      </c>
      <c r="E736">
        <f t="shared" si="57"/>
        <v>2.2772000000000001</v>
      </c>
      <c r="F736">
        <f t="shared" si="58"/>
        <v>-1.1026559833506724</v>
      </c>
      <c r="G736">
        <f t="shared" si="59"/>
        <v>1.2158502176190382</v>
      </c>
    </row>
    <row r="737" spans="1:7" x14ac:dyDescent="0.35">
      <c r="A737">
        <v>1335</v>
      </c>
      <c r="B737">
        <f t="shared" si="55"/>
        <v>-3.3520638224072172</v>
      </c>
      <c r="C737">
        <f t="shared" si="56"/>
        <v>11.236331869491284</v>
      </c>
      <c r="D737">
        <v>32673</v>
      </c>
      <c r="E737">
        <f t="shared" si="57"/>
        <v>3.2673000000000001</v>
      </c>
      <c r="F737">
        <f t="shared" si="58"/>
        <v>-0.11255598335067241</v>
      </c>
      <c r="G737">
        <f t="shared" si="59"/>
        <v>1.2668849388036843E-2</v>
      </c>
    </row>
    <row r="738" spans="1:7" x14ac:dyDescent="0.35">
      <c r="A738">
        <v>1335</v>
      </c>
      <c r="B738">
        <f t="shared" si="55"/>
        <v>-3.3520638224072172</v>
      </c>
      <c r="C738">
        <f t="shared" si="56"/>
        <v>11.236331869491284</v>
      </c>
      <c r="D738">
        <v>27625</v>
      </c>
      <c r="E738">
        <f t="shared" si="57"/>
        <v>2.7625000000000002</v>
      </c>
      <c r="F738">
        <f t="shared" si="58"/>
        <v>-0.61735598335067232</v>
      </c>
      <c r="G738">
        <f t="shared" si="59"/>
        <v>0.38112841017887561</v>
      </c>
    </row>
    <row r="739" spans="1:7" x14ac:dyDescent="0.35">
      <c r="A739">
        <v>1335</v>
      </c>
      <c r="B739">
        <f t="shared" si="55"/>
        <v>-3.3520638224072172</v>
      </c>
      <c r="C739">
        <f t="shared" si="56"/>
        <v>11.236331869491284</v>
      </c>
      <c r="D739">
        <v>32689</v>
      </c>
      <c r="E739">
        <f t="shared" si="57"/>
        <v>3.2688999999999999</v>
      </c>
      <c r="F739">
        <f t="shared" si="58"/>
        <v>-0.11095598335067258</v>
      </c>
      <c r="G739">
        <f t="shared" si="59"/>
        <v>1.2311230241314731E-2</v>
      </c>
    </row>
    <row r="740" spans="1:7" x14ac:dyDescent="0.35">
      <c r="A740">
        <v>1335</v>
      </c>
      <c r="B740">
        <f t="shared" si="55"/>
        <v>-3.3520638224072172</v>
      </c>
      <c r="C740">
        <f t="shared" si="56"/>
        <v>11.236331869491284</v>
      </c>
      <c r="D740">
        <v>34959</v>
      </c>
      <c r="E740">
        <f t="shared" si="57"/>
        <v>3.4958999999999998</v>
      </c>
      <c r="F740">
        <f t="shared" si="58"/>
        <v>0.11604401664932729</v>
      </c>
      <c r="G740">
        <f t="shared" si="59"/>
        <v>1.3466213800109348E-2</v>
      </c>
    </row>
    <row r="741" spans="1:7" x14ac:dyDescent="0.35">
      <c r="A741">
        <v>1335</v>
      </c>
      <c r="B741">
        <f t="shared" si="55"/>
        <v>-3.3520638224072172</v>
      </c>
      <c r="C741">
        <f t="shared" si="56"/>
        <v>11.236331869491284</v>
      </c>
      <c r="D741">
        <v>30977</v>
      </c>
      <c r="E741">
        <f t="shared" si="57"/>
        <v>3.0977000000000001</v>
      </c>
      <c r="F741">
        <f t="shared" si="58"/>
        <v>-0.28215598335067238</v>
      </c>
      <c r="G741">
        <f t="shared" si="59"/>
        <v>7.9611998940584905E-2</v>
      </c>
    </row>
    <row r="742" spans="1:7" x14ac:dyDescent="0.35">
      <c r="A742">
        <v>1335</v>
      </c>
      <c r="B742">
        <f t="shared" si="55"/>
        <v>-3.3520638224072172</v>
      </c>
      <c r="C742">
        <f t="shared" si="56"/>
        <v>11.236331869491284</v>
      </c>
      <c r="D742">
        <v>28900</v>
      </c>
      <c r="E742">
        <f t="shared" si="57"/>
        <v>2.89</v>
      </c>
      <c r="F742">
        <f t="shared" si="58"/>
        <v>-0.48985598335067237</v>
      </c>
      <c r="G742">
        <f t="shared" si="59"/>
        <v>0.23995888442445421</v>
      </c>
    </row>
    <row r="743" spans="1:7" x14ac:dyDescent="0.35">
      <c r="A743">
        <v>1335</v>
      </c>
      <c r="B743">
        <f t="shared" si="55"/>
        <v>-3.3520638224072172</v>
      </c>
      <c r="C743">
        <f t="shared" si="56"/>
        <v>11.236331869491284</v>
      </c>
      <c r="D743">
        <v>30400</v>
      </c>
      <c r="E743">
        <f t="shared" si="57"/>
        <v>3.04</v>
      </c>
      <c r="F743">
        <f t="shared" si="58"/>
        <v>-0.33985598335067246</v>
      </c>
      <c r="G743">
        <f t="shared" si="59"/>
        <v>0.11550208941925257</v>
      </c>
    </row>
    <row r="744" spans="1:7" x14ac:dyDescent="0.35">
      <c r="A744">
        <v>1335</v>
      </c>
      <c r="B744">
        <f t="shared" si="55"/>
        <v>-3.3520638224072172</v>
      </c>
      <c r="C744">
        <f t="shared" si="56"/>
        <v>11.236331869491284</v>
      </c>
      <c r="D744">
        <v>32300</v>
      </c>
      <c r="E744">
        <f t="shared" si="57"/>
        <v>3.23</v>
      </c>
      <c r="F744">
        <f t="shared" si="58"/>
        <v>-0.14985598335067252</v>
      </c>
      <c r="G744">
        <f t="shared" si="59"/>
        <v>2.245681574599704E-2</v>
      </c>
    </row>
    <row r="745" spans="1:7" x14ac:dyDescent="0.35">
      <c r="A745">
        <v>1335</v>
      </c>
      <c r="B745">
        <f t="shared" si="55"/>
        <v>-3.3520638224072172</v>
      </c>
      <c r="C745">
        <f t="shared" si="56"/>
        <v>11.236331869491284</v>
      </c>
      <c r="D745">
        <v>28036</v>
      </c>
      <c r="E745">
        <f t="shared" si="57"/>
        <v>2.8035999999999999</v>
      </c>
      <c r="F745">
        <f t="shared" si="58"/>
        <v>-0.57625598335067263</v>
      </c>
      <c r="G745">
        <f t="shared" si="59"/>
        <v>0.33207095834745071</v>
      </c>
    </row>
    <row r="746" spans="1:7" x14ac:dyDescent="0.35">
      <c r="A746">
        <v>1335</v>
      </c>
      <c r="B746">
        <f t="shared" si="55"/>
        <v>-3.3520638224072172</v>
      </c>
      <c r="C746">
        <f t="shared" si="56"/>
        <v>11.236331869491284</v>
      </c>
      <c r="D746">
        <v>26123</v>
      </c>
      <c r="E746">
        <f t="shared" si="57"/>
        <v>2.6122999999999998</v>
      </c>
      <c r="F746">
        <f t="shared" si="58"/>
        <v>-0.76755598335067265</v>
      </c>
      <c r="G746">
        <f t="shared" si="59"/>
        <v>0.5891421875774181</v>
      </c>
    </row>
    <row r="747" spans="1:7" x14ac:dyDescent="0.35">
      <c r="A747">
        <v>1335</v>
      </c>
      <c r="B747">
        <f t="shared" si="55"/>
        <v>-3.3520638224072172</v>
      </c>
      <c r="C747">
        <f t="shared" si="56"/>
        <v>11.236331869491284</v>
      </c>
      <c r="D747">
        <v>25755</v>
      </c>
      <c r="E747">
        <f t="shared" si="57"/>
        <v>2.5754999999999999</v>
      </c>
      <c r="F747">
        <f t="shared" si="58"/>
        <v>-0.8043559833506726</v>
      </c>
      <c r="G747">
        <f t="shared" si="59"/>
        <v>0.64698854795202754</v>
      </c>
    </row>
    <row r="748" spans="1:7" x14ac:dyDescent="0.35">
      <c r="A748">
        <v>1335</v>
      </c>
      <c r="B748">
        <f t="shared" si="55"/>
        <v>-3.3520638224072172</v>
      </c>
      <c r="C748">
        <f t="shared" si="56"/>
        <v>11.236331869491284</v>
      </c>
      <c r="D748">
        <v>27225</v>
      </c>
      <c r="E748">
        <f t="shared" si="57"/>
        <v>2.7225000000000001</v>
      </c>
      <c r="F748">
        <f t="shared" si="58"/>
        <v>-0.65735598335067236</v>
      </c>
      <c r="G748">
        <f t="shared" si="59"/>
        <v>0.43211688884692945</v>
      </c>
    </row>
    <row r="749" spans="1:7" x14ac:dyDescent="0.35">
      <c r="A749">
        <v>1335</v>
      </c>
      <c r="B749">
        <f t="shared" si="55"/>
        <v>-3.3520638224072172</v>
      </c>
      <c r="C749">
        <f t="shared" si="56"/>
        <v>11.236331869491284</v>
      </c>
      <c r="D749">
        <v>31651</v>
      </c>
      <c r="E749">
        <f t="shared" si="57"/>
        <v>3.1650999999999998</v>
      </c>
      <c r="F749">
        <f t="shared" si="58"/>
        <v>-0.2147559833506727</v>
      </c>
      <c r="G749">
        <f t="shared" si="59"/>
        <v>4.6120132384914407E-2</v>
      </c>
    </row>
    <row r="750" spans="1:7" x14ac:dyDescent="0.35">
      <c r="A750">
        <v>1335</v>
      </c>
      <c r="B750">
        <f t="shared" si="55"/>
        <v>-3.3520638224072172</v>
      </c>
      <c r="C750">
        <f t="shared" si="56"/>
        <v>11.236331869491284</v>
      </c>
      <c r="D750">
        <v>34000</v>
      </c>
      <c r="E750">
        <f t="shared" si="57"/>
        <v>3.4</v>
      </c>
      <c r="F750">
        <f t="shared" si="58"/>
        <v>2.0144016649327412E-2</v>
      </c>
      <c r="G750">
        <f t="shared" si="59"/>
        <v>4.0578140676837996E-4</v>
      </c>
    </row>
    <row r="751" spans="1:7" x14ac:dyDescent="0.35">
      <c r="A751">
        <v>1335</v>
      </c>
      <c r="B751">
        <f t="shared" si="55"/>
        <v>-3.3520638224072172</v>
      </c>
      <c r="C751">
        <f t="shared" si="56"/>
        <v>11.236331869491284</v>
      </c>
      <c r="D751">
        <v>34085</v>
      </c>
      <c r="E751">
        <f t="shared" si="57"/>
        <v>3.4085000000000001</v>
      </c>
      <c r="F751">
        <f t="shared" si="58"/>
        <v>2.8644016649327586E-2</v>
      </c>
      <c r="G751">
        <f t="shared" si="59"/>
        <v>8.2047968980695596E-4</v>
      </c>
    </row>
    <row r="752" spans="1:7" x14ac:dyDescent="0.35">
      <c r="A752">
        <v>1335</v>
      </c>
      <c r="B752">
        <f t="shared" si="55"/>
        <v>-3.3520638224072172</v>
      </c>
      <c r="C752">
        <f t="shared" si="56"/>
        <v>11.236331869491284</v>
      </c>
      <c r="D752">
        <v>37269</v>
      </c>
      <c r="E752">
        <f t="shared" si="57"/>
        <v>3.7269000000000001</v>
      </c>
      <c r="F752">
        <f t="shared" si="58"/>
        <v>0.3470440166493276</v>
      </c>
      <c r="G752">
        <f t="shared" si="59"/>
        <v>0.12043954949209877</v>
      </c>
    </row>
    <row r="753" spans="1:7" x14ac:dyDescent="0.35">
      <c r="A753">
        <v>1335</v>
      </c>
      <c r="B753">
        <f t="shared" si="55"/>
        <v>-3.3520638224072172</v>
      </c>
      <c r="C753">
        <f t="shared" si="56"/>
        <v>11.236331869491284</v>
      </c>
      <c r="D753">
        <v>36713</v>
      </c>
      <c r="E753">
        <f t="shared" si="57"/>
        <v>3.6713</v>
      </c>
      <c r="F753">
        <f t="shared" si="58"/>
        <v>0.29144401664932751</v>
      </c>
      <c r="G753">
        <f t="shared" si="59"/>
        <v>8.4939614840693484E-2</v>
      </c>
    </row>
    <row r="754" spans="1:7" x14ac:dyDescent="0.35">
      <c r="A754">
        <v>1410</v>
      </c>
      <c r="B754">
        <f t="shared" si="55"/>
        <v>71.647936177592783</v>
      </c>
      <c r="C754">
        <f t="shared" si="56"/>
        <v>5133.426758508409</v>
      </c>
      <c r="D754">
        <v>44764</v>
      </c>
      <c r="E754">
        <f t="shared" si="57"/>
        <v>4.4763999999999999</v>
      </c>
      <c r="F754">
        <f t="shared" si="58"/>
        <v>1.0965440166493274</v>
      </c>
      <c r="G754">
        <f t="shared" si="59"/>
        <v>1.2024087804494406</v>
      </c>
    </row>
    <row r="755" spans="1:7" x14ac:dyDescent="0.35">
      <c r="A755">
        <v>1410</v>
      </c>
      <c r="B755">
        <f t="shared" si="55"/>
        <v>71.647936177592783</v>
      </c>
      <c r="C755">
        <f t="shared" si="56"/>
        <v>5133.426758508409</v>
      </c>
      <c r="D755">
        <v>46592</v>
      </c>
      <c r="E755">
        <f t="shared" si="57"/>
        <v>4.6592000000000002</v>
      </c>
      <c r="F755">
        <f t="shared" si="58"/>
        <v>1.2793440166493277</v>
      </c>
      <c r="G755">
        <f t="shared" si="59"/>
        <v>1.6367211129364354</v>
      </c>
    </row>
    <row r="756" spans="1:7" x14ac:dyDescent="0.35">
      <c r="A756">
        <v>1410</v>
      </c>
      <c r="B756">
        <f t="shared" si="55"/>
        <v>71.647936177592783</v>
      </c>
      <c r="C756">
        <f t="shared" si="56"/>
        <v>5133.426758508409</v>
      </c>
      <c r="D756">
        <v>44775</v>
      </c>
      <c r="E756">
        <f t="shared" si="57"/>
        <v>4.4775</v>
      </c>
      <c r="F756">
        <f t="shared" si="58"/>
        <v>1.0976440166493275</v>
      </c>
      <c r="G756">
        <f t="shared" si="59"/>
        <v>1.2048223872860693</v>
      </c>
    </row>
    <row r="757" spans="1:7" x14ac:dyDescent="0.35">
      <c r="A757">
        <v>1410</v>
      </c>
      <c r="B757">
        <f t="shared" si="55"/>
        <v>71.647936177592783</v>
      </c>
      <c r="C757">
        <f t="shared" si="56"/>
        <v>5133.426758508409</v>
      </c>
      <c r="D757">
        <v>45350</v>
      </c>
      <c r="E757">
        <f t="shared" si="57"/>
        <v>4.5350000000000001</v>
      </c>
      <c r="F757">
        <f t="shared" si="58"/>
        <v>1.1551440166493276</v>
      </c>
      <c r="G757">
        <f t="shared" si="59"/>
        <v>1.3343576992007422</v>
      </c>
    </row>
    <row r="758" spans="1:7" x14ac:dyDescent="0.35">
      <c r="A758">
        <v>1410</v>
      </c>
      <c r="B758">
        <f t="shared" si="55"/>
        <v>71.647936177592783</v>
      </c>
      <c r="C758">
        <f t="shared" si="56"/>
        <v>5133.426758508409</v>
      </c>
      <c r="D758">
        <v>47851</v>
      </c>
      <c r="E758">
        <f t="shared" si="57"/>
        <v>4.7850999999999999</v>
      </c>
      <c r="F758">
        <f t="shared" si="58"/>
        <v>1.4052440166493274</v>
      </c>
      <c r="G758">
        <f t="shared" si="59"/>
        <v>1.9747107463287352</v>
      </c>
    </row>
    <row r="759" spans="1:7" x14ac:dyDescent="0.35">
      <c r="A759">
        <v>1410</v>
      </c>
      <c r="B759">
        <f t="shared" si="55"/>
        <v>71.647936177592783</v>
      </c>
      <c r="C759">
        <f t="shared" si="56"/>
        <v>5133.426758508409</v>
      </c>
      <c r="D759">
        <v>48092</v>
      </c>
      <c r="E759">
        <f t="shared" si="57"/>
        <v>4.8091999999999997</v>
      </c>
      <c r="F759">
        <f t="shared" si="58"/>
        <v>1.4293440166493272</v>
      </c>
      <c r="G759">
        <f t="shared" si="59"/>
        <v>2.043024317931232</v>
      </c>
    </row>
    <row r="760" spans="1:7" x14ac:dyDescent="0.35">
      <c r="A760">
        <v>1410</v>
      </c>
      <c r="B760">
        <f t="shared" si="55"/>
        <v>71.647936177592783</v>
      </c>
      <c r="C760">
        <f t="shared" si="56"/>
        <v>5133.426758508409</v>
      </c>
      <c r="D760">
        <v>89767</v>
      </c>
      <c r="E760">
        <f t="shared" si="57"/>
        <v>8.9766999999999992</v>
      </c>
      <c r="F760">
        <f t="shared" si="58"/>
        <v>5.5968440166493263</v>
      </c>
      <c r="G760">
        <f t="shared" si="59"/>
        <v>31.324662946703363</v>
      </c>
    </row>
    <row r="761" spans="1:7" x14ac:dyDescent="0.35">
      <c r="A761">
        <v>1410</v>
      </c>
      <c r="B761">
        <f t="shared" si="55"/>
        <v>71.647936177592783</v>
      </c>
      <c r="C761">
        <f t="shared" si="56"/>
        <v>5133.426758508409</v>
      </c>
      <c r="D761">
        <v>50096</v>
      </c>
      <c r="E761">
        <f t="shared" si="57"/>
        <v>5.0095999999999998</v>
      </c>
      <c r="F761">
        <f t="shared" si="58"/>
        <v>1.6297440166493273</v>
      </c>
      <c r="G761">
        <f t="shared" si="59"/>
        <v>2.6560655598042828</v>
      </c>
    </row>
    <row r="762" spans="1:7" x14ac:dyDescent="0.35">
      <c r="A762">
        <v>1410</v>
      </c>
      <c r="B762">
        <f t="shared" si="55"/>
        <v>71.647936177592783</v>
      </c>
      <c r="C762">
        <f t="shared" si="56"/>
        <v>5133.426758508409</v>
      </c>
      <c r="D762">
        <v>46589</v>
      </c>
      <c r="E762">
        <f t="shared" si="57"/>
        <v>4.6589</v>
      </c>
      <c r="F762">
        <f t="shared" si="58"/>
        <v>1.2790440166493275</v>
      </c>
      <c r="G762">
        <f t="shared" si="59"/>
        <v>1.6359535965264453</v>
      </c>
    </row>
    <row r="763" spans="1:7" x14ac:dyDescent="0.35">
      <c r="A763">
        <v>1410</v>
      </c>
      <c r="B763">
        <f t="shared" si="55"/>
        <v>71.647936177592783</v>
      </c>
      <c r="C763">
        <f t="shared" si="56"/>
        <v>5133.426758508409</v>
      </c>
      <c r="D763">
        <v>47722</v>
      </c>
      <c r="E763">
        <f t="shared" si="57"/>
        <v>4.7721999999999998</v>
      </c>
      <c r="F763">
        <f t="shared" si="58"/>
        <v>1.3923440166493273</v>
      </c>
      <c r="G763">
        <f t="shared" si="59"/>
        <v>1.9386218606991821</v>
      </c>
    </row>
    <row r="764" spans="1:7" x14ac:dyDescent="0.35">
      <c r="A764">
        <v>1410</v>
      </c>
      <c r="B764">
        <f t="shared" si="55"/>
        <v>71.647936177592783</v>
      </c>
      <c r="C764">
        <f t="shared" si="56"/>
        <v>5133.426758508409</v>
      </c>
      <c r="D764">
        <v>46016</v>
      </c>
      <c r="E764">
        <f t="shared" si="57"/>
        <v>4.6016000000000004</v>
      </c>
      <c r="F764">
        <f t="shared" si="58"/>
        <v>1.2217440166493279</v>
      </c>
      <c r="G764">
        <f t="shared" si="59"/>
        <v>1.492658442218433</v>
      </c>
    </row>
    <row r="765" spans="1:7" x14ac:dyDescent="0.35">
      <c r="A765">
        <v>1410</v>
      </c>
      <c r="B765">
        <f t="shared" si="55"/>
        <v>71.647936177592783</v>
      </c>
      <c r="C765">
        <f t="shared" si="56"/>
        <v>5133.426758508409</v>
      </c>
      <c r="D765">
        <v>48213</v>
      </c>
      <c r="E765">
        <f t="shared" si="57"/>
        <v>4.8212999999999999</v>
      </c>
      <c r="F765">
        <f t="shared" si="58"/>
        <v>1.4414440166493274</v>
      </c>
      <c r="G765">
        <f t="shared" si="59"/>
        <v>2.0777608531341465</v>
      </c>
    </row>
    <row r="766" spans="1:7" x14ac:dyDescent="0.35">
      <c r="A766">
        <v>1410</v>
      </c>
      <c r="B766">
        <f t="shared" si="55"/>
        <v>71.647936177592783</v>
      </c>
      <c r="C766">
        <f t="shared" si="56"/>
        <v>5133.426758508409</v>
      </c>
      <c r="D766">
        <v>42709</v>
      </c>
      <c r="E766">
        <f t="shared" si="57"/>
        <v>4.2709000000000001</v>
      </c>
      <c r="F766">
        <f t="shared" si="58"/>
        <v>0.89104401664932764</v>
      </c>
      <c r="G766">
        <f t="shared" si="59"/>
        <v>0.79395943960656723</v>
      </c>
    </row>
    <row r="767" spans="1:7" x14ac:dyDescent="0.35">
      <c r="A767">
        <v>1410</v>
      </c>
      <c r="B767">
        <f t="shared" si="55"/>
        <v>71.647936177592783</v>
      </c>
      <c r="C767">
        <f t="shared" si="56"/>
        <v>5133.426758508409</v>
      </c>
      <c r="D767">
        <v>45422</v>
      </c>
      <c r="E767">
        <f t="shared" si="57"/>
        <v>4.5422000000000002</v>
      </c>
      <c r="F767">
        <f t="shared" si="58"/>
        <v>1.1623440166493277</v>
      </c>
      <c r="G767">
        <f t="shared" si="59"/>
        <v>1.3510436130404926</v>
      </c>
    </row>
    <row r="768" spans="1:7" x14ac:dyDescent="0.35">
      <c r="A768">
        <v>1410</v>
      </c>
      <c r="B768">
        <f t="shared" si="55"/>
        <v>71.647936177592783</v>
      </c>
      <c r="C768">
        <f t="shared" si="56"/>
        <v>5133.426758508409</v>
      </c>
      <c r="D768">
        <v>46372</v>
      </c>
      <c r="E768">
        <f t="shared" si="57"/>
        <v>4.6372</v>
      </c>
      <c r="F768">
        <f t="shared" si="58"/>
        <v>1.2573440166493275</v>
      </c>
      <c r="G768">
        <f t="shared" si="59"/>
        <v>1.5809139762038644</v>
      </c>
    </row>
    <row r="769" spans="1:7" x14ac:dyDescent="0.35">
      <c r="A769">
        <v>1410</v>
      </c>
      <c r="B769">
        <f t="shared" si="55"/>
        <v>71.647936177592783</v>
      </c>
      <c r="C769">
        <f t="shared" si="56"/>
        <v>5133.426758508409</v>
      </c>
      <c r="D769">
        <v>48950</v>
      </c>
      <c r="E769">
        <f t="shared" si="57"/>
        <v>4.8949999999999996</v>
      </c>
      <c r="F769">
        <f t="shared" si="58"/>
        <v>1.5151440166493271</v>
      </c>
      <c r="G769">
        <f t="shared" si="59"/>
        <v>2.2956613911882564</v>
      </c>
    </row>
    <row r="770" spans="1:7" x14ac:dyDescent="0.35">
      <c r="A770">
        <v>1410</v>
      </c>
      <c r="B770">
        <f t="shared" si="55"/>
        <v>71.647936177592783</v>
      </c>
      <c r="C770">
        <f t="shared" si="56"/>
        <v>5133.426758508409</v>
      </c>
      <c r="D770">
        <v>48593</v>
      </c>
      <c r="E770">
        <f t="shared" si="57"/>
        <v>4.8593000000000002</v>
      </c>
      <c r="F770">
        <f t="shared" si="58"/>
        <v>1.4794440166493277</v>
      </c>
      <c r="G770">
        <f t="shared" si="59"/>
        <v>2.188754598399496</v>
      </c>
    </row>
    <row r="771" spans="1:7" x14ac:dyDescent="0.35">
      <c r="A771">
        <v>1410</v>
      </c>
      <c r="B771">
        <f t="shared" ref="B771:B834" si="60">A771-$J$1</f>
        <v>71.647936177592783</v>
      </c>
      <c r="C771">
        <f t="shared" ref="C771:C834" si="61">B771^2</f>
        <v>5133.426758508409</v>
      </c>
      <c r="D771">
        <v>43044</v>
      </c>
      <c r="E771">
        <f t="shared" ref="E771:E834" si="62">D771/10000</f>
        <v>4.3044000000000002</v>
      </c>
      <c r="F771">
        <f t="shared" ref="F771:F834" si="63">E771-$J$2</f>
        <v>0.92454401664932773</v>
      </c>
      <c r="G771">
        <f t="shared" ref="G771:G834" si="64">F771^2</f>
        <v>0.85478163872207236</v>
      </c>
    </row>
    <row r="772" spans="1:7" x14ac:dyDescent="0.35">
      <c r="A772">
        <v>1410</v>
      </c>
      <c r="B772">
        <f t="shared" si="60"/>
        <v>71.647936177592783</v>
      </c>
      <c r="C772">
        <f t="shared" si="61"/>
        <v>5133.426758508409</v>
      </c>
      <c r="D772">
        <v>42047</v>
      </c>
      <c r="E772">
        <f t="shared" si="62"/>
        <v>4.2046999999999999</v>
      </c>
      <c r="F772">
        <f t="shared" si="63"/>
        <v>0.82484401664932738</v>
      </c>
      <c r="G772">
        <f t="shared" si="64"/>
        <v>0.68036765180219583</v>
      </c>
    </row>
    <row r="773" spans="1:7" x14ac:dyDescent="0.35">
      <c r="A773">
        <v>1410</v>
      </c>
      <c r="B773">
        <f t="shared" si="60"/>
        <v>71.647936177592783</v>
      </c>
      <c r="C773">
        <f t="shared" si="61"/>
        <v>5133.426758508409</v>
      </c>
      <c r="D773">
        <v>46865</v>
      </c>
      <c r="E773">
        <f t="shared" si="62"/>
        <v>4.6864999999999997</v>
      </c>
      <c r="F773">
        <f t="shared" si="63"/>
        <v>1.3066440166493272</v>
      </c>
      <c r="G773">
        <f t="shared" si="64"/>
        <v>1.7073185862454872</v>
      </c>
    </row>
    <row r="774" spans="1:7" x14ac:dyDescent="0.35">
      <c r="A774">
        <v>1410</v>
      </c>
      <c r="B774">
        <f t="shared" si="60"/>
        <v>71.647936177592783</v>
      </c>
      <c r="C774">
        <f t="shared" si="61"/>
        <v>5133.426758508409</v>
      </c>
      <c r="D774">
        <v>48112</v>
      </c>
      <c r="E774">
        <f t="shared" si="62"/>
        <v>4.8112000000000004</v>
      </c>
      <c r="F774">
        <f t="shared" si="63"/>
        <v>1.4313440166493279</v>
      </c>
      <c r="G774">
        <f t="shared" si="64"/>
        <v>2.0487456939978315</v>
      </c>
    </row>
    <row r="775" spans="1:7" x14ac:dyDescent="0.35">
      <c r="A775">
        <v>1410</v>
      </c>
      <c r="B775">
        <f t="shared" si="60"/>
        <v>71.647936177592783</v>
      </c>
      <c r="C775">
        <f t="shared" si="61"/>
        <v>5133.426758508409</v>
      </c>
      <c r="D775">
        <v>48268</v>
      </c>
      <c r="E775">
        <f t="shared" si="62"/>
        <v>4.8268000000000004</v>
      </c>
      <c r="F775">
        <f t="shared" si="63"/>
        <v>1.4469440166493279</v>
      </c>
      <c r="G775">
        <f t="shared" si="64"/>
        <v>2.0936469873172907</v>
      </c>
    </row>
    <row r="776" spans="1:7" x14ac:dyDescent="0.35">
      <c r="A776">
        <v>1410</v>
      </c>
      <c r="B776">
        <f t="shared" si="60"/>
        <v>71.647936177592783</v>
      </c>
      <c r="C776">
        <f t="shared" si="61"/>
        <v>5133.426758508409</v>
      </c>
      <c r="D776">
        <v>42862</v>
      </c>
      <c r="E776">
        <f t="shared" si="62"/>
        <v>4.2862</v>
      </c>
      <c r="F776">
        <f t="shared" si="63"/>
        <v>0.90634401664932751</v>
      </c>
      <c r="G776">
        <f t="shared" si="64"/>
        <v>0.82145947651603646</v>
      </c>
    </row>
    <row r="777" spans="1:7" x14ac:dyDescent="0.35">
      <c r="A777">
        <v>1410</v>
      </c>
      <c r="B777">
        <f t="shared" si="60"/>
        <v>71.647936177592783</v>
      </c>
      <c r="C777">
        <f t="shared" si="61"/>
        <v>5133.426758508409</v>
      </c>
      <c r="D777">
        <v>47651</v>
      </c>
      <c r="E777">
        <f t="shared" si="62"/>
        <v>4.7651000000000003</v>
      </c>
      <c r="F777">
        <f t="shared" si="63"/>
        <v>1.3852440166493278</v>
      </c>
      <c r="G777">
        <f t="shared" si="64"/>
        <v>1.9189009856627632</v>
      </c>
    </row>
    <row r="778" spans="1:7" x14ac:dyDescent="0.35">
      <c r="A778">
        <v>1410</v>
      </c>
      <c r="B778">
        <f t="shared" si="60"/>
        <v>71.647936177592783</v>
      </c>
      <c r="C778">
        <f t="shared" si="61"/>
        <v>5133.426758508409</v>
      </c>
      <c r="D778">
        <v>50057</v>
      </c>
      <c r="E778">
        <f t="shared" si="62"/>
        <v>5.0057</v>
      </c>
      <c r="F778">
        <f t="shared" si="63"/>
        <v>1.6258440166493275</v>
      </c>
      <c r="G778">
        <f t="shared" si="64"/>
        <v>2.6433687664744188</v>
      </c>
    </row>
    <row r="779" spans="1:7" x14ac:dyDescent="0.35">
      <c r="A779">
        <v>1410</v>
      </c>
      <c r="B779">
        <f t="shared" si="60"/>
        <v>71.647936177592783</v>
      </c>
      <c r="C779">
        <f t="shared" si="61"/>
        <v>5133.426758508409</v>
      </c>
      <c r="D779">
        <v>41266</v>
      </c>
      <c r="E779">
        <f t="shared" si="62"/>
        <v>4.1265999999999998</v>
      </c>
      <c r="F779">
        <f t="shared" si="63"/>
        <v>0.74674401664932732</v>
      </c>
      <c r="G779">
        <f t="shared" si="64"/>
        <v>0.55762662640157079</v>
      </c>
    </row>
    <row r="780" spans="1:7" x14ac:dyDescent="0.35">
      <c r="A780">
        <v>1410</v>
      </c>
      <c r="B780">
        <f t="shared" si="60"/>
        <v>71.647936177592783</v>
      </c>
      <c r="C780">
        <f t="shared" si="61"/>
        <v>5133.426758508409</v>
      </c>
      <c r="D780">
        <v>45123</v>
      </c>
      <c r="E780">
        <f t="shared" si="62"/>
        <v>4.5122999999999998</v>
      </c>
      <c r="F780">
        <f t="shared" si="63"/>
        <v>1.1324440166493273</v>
      </c>
      <c r="G780">
        <f t="shared" si="64"/>
        <v>1.2824294508448617</v>
      </c>
    </row>
    <row r="781" spans="1:7" x14ac:dyDescent="0.35">
      <c r="A781">
        <v>1410</v>
      </c>
      <c r="B781">
        <f t="shared" si="60"/>
        <v>71.647936177592783</v>
      </c>
      <c r="C781">
        <f t="shared" si="61"/>
        <v>5133.426758508409</v>
      </c>
      <c r="D781">
        <v>44021</v>
      </c>
      <c r="E781">
        <f t="shared" si="62"/>
        <v>4.4020999999999999</v>
      </c>
      <c r="F781">
        <f t="shared" si="63"/>
        <v>1.0222440166493274</v>
      </c>
      <c r="G781">
        <f t="shared" si="64"/>
        <v>1.0449828295753503</v>
      </c>
    </row>
    <row r="782" spans="1:7" x14ac:dyDescent="0.35">
      <c r="A782">
        <v>1410</v>
      </c>
      <c r="B782">
        <f t="shared" si="60"/>
        <v>71.647936177592783</v>
      </c>
      <c r="C782">
        <f t="shared" si="61"/>
        <v>5133.426758508409</v>
      </c>
      <c r="D782">
        <v>51680</v>
      </c>
      <c r="E782">
        <f t="shared" si="62"/>
        <v>5.1680000000000001</v>
      </c>
      <c r="F782">
        <f t="shared" si="63"/>
        <v>1.7881440166493277</v>
      </c>
      <c r="G782">
        <f t="shared" si="64"/>
        <v>3.1974590242787908</v>
      </c>
    </row>
    <row r="783" spans="1:7" x14ac:dyDescent="0.35">
      <c r="A783">
        <v>1410</v>
      </c>
      <c r="B783">
        <f t="shared" si="60"/>
        <v>71.647936177592783</v>
      </c>
      <c r="C783">
        <f t="shared" si="61"/>
        <v>5133.426758508409</v>
      </c>
      <c r="D783">
        <v>52563</v>
      </c>
      <c r="E783">
        <f t="shared" si="62"/>
        <v>5.2563000000000004</v>
      </c>
      <c r="F783">
        <f t="shared" si="63"/>
        <v>1.8764440166493279</v>
      </c>
      <c r="G783">
        <f t="shared" si="64"/>
        <v>3.5210421476190632</v>
      </c>
    </row>
    <row r="784" spans="1:7" x14ac:dyDescent="0.35">
      <c r="A784">
        <v>2274</v>
      </c>
      <c r="B784">
        <f t="shared" si="60"/>
        <v>935.64793617759278</v>
      </c>
      <c r="C784">
        <f t="shared" si="61"/>
        <v>875437.06047338876</v>
      </c>
      <c r="D784">
        <v>26508</v>
      </c>
      <c r="E784">
        <f t="shared" si="62"/>
        <v>2.6507999999999998</v>
      </c>
      <c r="F784">
        <f t="shared" si="63"/>
        <v>-0.72905598335067268</v>
      </c>
      <c r="G784">
        <f t="shared" si="64"/>
        <v>0.53152262685941631</v>
      </c>
    </row>
    <row r="785" spans="1:7" x14ac:dyDescent="0.35">
      <c r="A785">
        <v>2274</v>
      </c>
      <c r="B785">
        <f t="shared" si="60"/>
        <v>935.64793617759278</v>
      </c>
      <c r="C785">
        <f t="shared" si="61"/>
        <v>875437.06047338876</v>
      </c>
      <c r="D785">
        <v>25275</v>
      </c>
      <c r="E785">
        <f t="shared" si="62"/>
        <v>2.5274999999999999</v>
      </c>
      <c r="F785">
        <f t="shared" si="63"/>
        <v>-0.85235598335067264</v>
      </c>
      <c r="G785">
        <f t="shared" si="64"/>
        <v>0.72651072235369218</v>
      </c>
    </row>
    <row r="786" spans="1:7" x14ac:dyDescent="0.35">
      <c r="A786">
        <v>2274</v>
      </c>
      <c r="B786">
        <f t="shared" si="60"/>
        <v>935.64793617759278</v>
      </c>
      <c r="C786">
        <f t="shared" si="61"/>
        <v>875437.06047338876</v>
      </c>
      <c r="D786">
        <v>28299</v>
      </c>
      <c r="E786">
        <f t="shared" si="62"/>
        <v>2.8298999999999999</v>
      </c>
      <c r="F786">
        <f t="shared" si="63"/>
        <v>-0.54995598335067264</v>
      </c>
      <c r="G786">
        <f t="shared" si="64"/>
        <v>0.30245158362320534</v>
      </c>
    </row>
    <row r="787" spans="1:7" x14ac:dyDescent="0.35">
      <c r="A787">
        <v>2274</v>
      </c>
      <c r="B787">
        <f t="shared" si="60"/>
        <v>935.64793617759278</v>
      </c>
      <c r="C787">
        <f t="shared" si="61"/>
        <v>875437.06047338876</v>
      </c>
      <c r="D787">
        <v>31247</v>
      </c>
      <c r="E787">
        <f t="shared" si="62"/>
        <v>3.1246999999999998</v>
      </c>
      <c r="F787">
        <f t="shared" si="63"/>
        <v>-0.25515598335067269</v>
      </c>
      <c r="G787">
        <f t="shared" si="64"/>
        <v>6.5104575839648751E-2</v>
      </c>
    </row>
    <row r="788" spans="1:7" x14ac:dyDescent="0.35">
      <c r="A788">
        <v>2274</v>
      </c>
      <c r="B788">
        <f t="shared" si="60"/>
        <v>935.64793617759278</v>
      </c>
      <c r="C788">
        <f t="shared" si="61"/>
        <v>875437.06047338876</v>
      </c>
      <c r="D788">
        <v>31218</v>
      </c>
      <c r="E788">
        <f t="shared" si="62"/>
        <v>3.1217999999999999</v>
      </c>
      <c r="F788">
        <f t="shared" si="63"/>
        <v>-0.25805598335067259</v>
      </c>
      <c r="G788">
        <f t="shared" si="64"/>
        <v>6.6592890543082608E-2</v>
      </c>
    </row>
    <row r="789" spans="1:7" x14ac:dyDescent="0.35">
      <c r="A789">
        <v>2274</v>
      </c>
      <c r="B789">
        <f t="shared" si="60"/>
        <v>935.64793617759278</v>
      </c>
      <c r="C789">
        <f t="shared" si="61"/>
        <v>875437.06047338876</v>
      </c>
      <c r="D789">
        <v>26921</v>
      </c>
      <c r="E789">
        <f t="shared" si="62"/>
        <v>2.6920999999999999</v>
      </c>
      <c r="F789">
        <f t="shared" si="63"/>
        <v>-0.68775598335067256</v>
      </c>
      <c r="G789">
        <f t="shared" si="64"/>
        <v>0.47300829263465061</v>
      </c>
    </row>
    <row r="790" spans="1:7" x14ac:dyDescent="0.35">
      <c r="A790">
        <v>2274</v>
      </c>
      <c r="B790">
        <f t="shared" si="60"/>
        <v>935.64793617759278</v>
      </c>
      <c r="C790">
        <f t="shared" si="61"/>
        <v>875437.06047338876</v>
      </c>
      <c r="D790">
        <v>33254</v>
      </c>
      <c r="E790">
        <f t="shared" si="62"/>
        <v>3.3254000000000001</v>
      </c>
      <c r="F790">
        <f t="shared" si="63"/>
        <v>-5.4455983350672366E-2</v>
      </c>
      <c r="G790">
        <f t="shared" si="64"/>
        <v>2.9654541226887057E-3</v>
      </c>
    </row>
    <row r="791" spans="1:7" x14ac:dyDescent="0.35">
      <c r="A791">
        <v>2274</v>
      </c>
      <c r="B791">
        <f t="shared" si="60"/>
        <v>935.64793617759278</v>
      </c>
      <c r="C791">
        <f t="shared" si="61"/>
        <v>875437.06047338876</v>
      </c>
      <c r="D791">
        <v>34804</v>
      </c>
      <c r="E791">
        <f t="shared" si="62"/>
        <v>3.4803999999999999</v>
      </c>
      <c r="F791">
        <f t="shared" si="63"/>
        <v>0.10054401664932744</v>
      </c>
      <c r="G791">
        <f t="shared" si="64"/>
        <v>1.0109099283980233E-2</v>
      </c>
    </row>
    <row r="792" spans="1:7" x14ac:dyDescent="0.35">
      <c r="A792">
        <v>2274</v>
      </c>
      <c r="B792">
        <f t="shared" si="60"/>
        <v>935.64793617759278</v>
      </c>
      <c r="C792">
        <f t="shared" si="61"/>
        <v>875437.06047338876</v>
      </c>
      <c r="D792">
        <v>37385</v>
      </c>
      <c r="E792">
        <f t="shared" si="62"/>
        <v>3.7385000000000002</v>
      </c>
      <c r="F792">
        <f t="shared" si="63"/>
        <v>0.35864401664932766</v>
      </c>
      <c r="G792">
        <f t="shared" si="64"/>
        <v>0.12862553067836321</v>
      </c>
    </row>
    <row r="793" spans="1:7" x14ac:dyDescent="0.35">
      <c r="A793">
        <v>2274</v>
      </c>
      <c r="B793">
        <f t="shared" si="60"/>
        <v>935.64793617759278</v>
      </c>
      <c r="C793">
        <f t="shared" si="61"/>
        <v>875437.06047338876</v>
      </c>
      <c r="D793">
        <v>32622</v>
      </c>
      <c r="E793">
        <f t="shared" si="62"/>
        <v>3.2622</v>
      </c>
      <c r="F793">
        <f t="shared" si="63"/>
        <v>-0.11765598335067251</v>
      </c>
      <c r="G793">
        <f t="shared" si="64"/>
        <v>1.3842930418213727E-2</v>
      </c>
    </row>
    <row r="794" spans="1:7" x14ac:dyDescent="0.35">
      <c r="A794">
        <v>2274</v>
      </c>
      <c r="B794">
        <f t="shared" si="60"/>
        <v>935.64793617759278</v>
      </c>
      <c r="C794">
        <f t="shared" si="61"/>
        <v>875437.06047338876</v>
      </c>
      <c r="D794">
        <v>35620</v>
      </c>
      <c r="E794">
        <f t="shared" si="62"/>
        <v>3.5619999999999998</v>
      </c>
      <c r="F794">
        <f t="shared" si="63"/>
        <v>0.18214401664932733</v>
      </c>
      <c r="G794">
        <f t="shared" si="64"/>
        <v>3.3176442801150431E-2</v>
      </c>
    </row>
    <row r="795" spans="1:7" x14ac:dyDescent="0.35">
      <c r="A795">
        <v>2274</v>
      </c>
      <c r="B795">
        <f t="shared" si="60"/>
        <v>935.64793617759278</v>
      </c>
      <c r="C795">
        <f t="shared" si="61"/>
        <v>875437.06047338876</v>
      </c>
      <c r="D795">
        <v>35876</v>
      </c>
      <c r="E795">
        <f t="shared" si="62"/>
        <v>3.5876000000000001</v>
      </c>
      <c r="F795">
        <f t="shared" si="63"/>
        <v>0.20774401664932762</v>
      </c>
      <c r="G795">
        <f t="shared" si="64"/>
        <v>4.3157576453596115E-2</v>
      </c>
    </row>
    <row r="796" spans="1:7" x14ac:dyDescent="0.35">
      <c r="A796">
        <v>2274</v>
      </c>
      <c r="B796">
        <f t="shared" si="60"/>
        <v>935.64793617759278</v>
      </c>
      <c r="C796">
        <f t="shared" si="61"/>
        <v>875437.06047338876</v>
      </c>
      <c r="D796">
        <v>32060</v>
      </c>
      <c r="E796">
        <f t="shared" si="62"/>
        <v>3.206</v>
      </c>
      <c r="F796">
        <f t="shared" si="63"/>
        <v>-0.17385598335067254</v>
      </c>
      <c r="G796">
        <f t="shared" si="64"/>
        <v>3.0225902946829326E-2</v>
      </c>
    </row>
    <row r="797" spans="1:7" x14ac:dyDescent="0.35">
      <c r="A797">
        <v>2274</v>
      </c>
      <c r="B797">
        <f t="shared" si="60"/>
        <v>935.64793617759278</v>
      </c>
      <c r="C797">
        <f t="shared" si="61"/>
        <v>875437.06047338876</v>
      </c>
      <c r="D797">
        <v>35225</v>
      </c>
      <c r="E797">
        <f t="shared" si="62"/>
        <v>3.5225</v>
      </c>
      <c r="F797">
        <f t="shared" si="63"/>
        <v>0.14264401664932747</v>
      </c>
      <c r="G797">
        <f t="shared" si="64"/>
        <v>2.0347315485853612E-2</v>
      </c>
    </row>
    <row r="798" spans="1:7" x14ac:dyDescent="0.35">
      <c r="A798">
        <v>2274</v>
      </c>
      <c r="B798">
        <f t="shared" si="60"/>
        <v>935.64793617759278</v>
      </c>
      <c r="C798">
        <f t="shared" si="61"/>
        <v>875437.06047338876</v>
      </c>
      <c r="D798">
        <v>36812</v>
      </c>
      <c r="E798">
        <f t="shared" si="62"/>
        <v>3.6812</v>
      </c>
      <c r="F798">
        <f t="shared" si="63"/>
        <v>0.30134401664932753</v>
      </c>
      <c r="G798">
        <f t="shared" si="64"/>
        <v>9.0808216370350192E-2</v>
      </c>
    </row>
    <row r="799" spans="1:7" x14ac:dyDescent="0.35">
      <c r="A799">
        <v>2274</v>
      </c>
      <c r="B799">
        <f t="shared" si="60"/>
        <v>935.64793617759278</v>
      </c>
      <c r="C799">
        <f t="shared" si="61"/>
        <v>875437.06047338876</v>
      </c>
      <c r="D799">
        <v>36000</v>
      </c>
      <c r="E799">
        <f t="shared" si="62"/>
        <v>3.6</v>
      </c>
      <c r="F799">
        <f t="shared" si="63"/>
        <v>0.22014401664932759</v>
      </c>
      <c r="G799">
        <f t="shared" si="64"/>
        <v>4.846338806649942E-2</v>
      </c>
    </row>
    <row r="800" spans="1:7" x14ac:dyDescent="0.35">
      <c r="A800">
        <v>2274</v>
      </c>
      <c r="B800">
        <f t="shared" si="60"/>
        <v>935.64793617759278</v>
      </c>
      <c r="C800">
        <f t="shared" si="61"/>
        <v>875437.06047338876</v>
      </c>
      <c r="D800">
        <v>38746</v>
      </c>
      <c r="E800">
        <f t="shared" si="62"/>
        <v>3.8746</v>
      </c>
      <c r="F800">
        <f t="shared" si="63"/>
        <v>0.49474401664932754</v>
      </c>
      <c r="G800">
        <f t="shared" si="64"/>
        <v>0.2447716420103101</v>
      </c>
    </row>
    <row r="801" spans="1:7" x14ac:dyDescent="0.35">
      <c r="A801">
        <v>2274</v>
      </c>
      <c r="B801">
        <f t="shared" si="60"/>
        <v>935.64793617759278</v>
      </c>
      <c r="C801">
        <f t="shared" si="61"/>
        <v>875437.06047338876</v>
      </c>
      <c r="D801">
        <v>42187</v>
      </c>
      <c r="E801">
        <f t="shared" si="62"/>
        <v>4.2187000000000001</v>
      </c>
      <c r="F801">
        <f t="shared" si="63"/>
        <v>0.83884401664932762</v>
      </c>
      <c r="G801">
        <f t="shared" si="64"/>
        <v>0.70365928426837743</v>
      </c>
    </row>
    <row r="802" spans="1:7" x14ac:dyDescent="0.35">
      <c r="A802">
        <v>2274</v>
      </c>
      <c r="B802">
        <f t="shared" si="60"/>
        <v>935.64793617759278</v>
      </c>
      <c r="C802">
        <f t="shared" si="61"/>
        <v>875437.06047338876</v>
      </c>
      <c r="D802">
        <v>38989</v>
      </c>
      <c r="E802">
        <f t="shared" si="62"/>
        <v>3.8988999999999998</v>
      </c>
      <c r="F802">
        <f t="shared" si="63"/>
        <v>0.51904401664932731</v>
      </c>
      <c r="G802">
        <f t="shared" si="64"/>
        <v>0.26940669121946714</v>
      </c>
    </row>
    <row r="803" spans="1:7" x14ac:dyDescent="0.35">
      <c r="A803">
        <v>2274</v>
      </c>
      <c r="B803">
        <f t="shared" si="60"/>
        <v>935.64793617759278</v>
      </c>
      <c r="C803">
        <f t="shared" si="61"/>
        <v>875437.06047338876</v>
      </c>
      <c r="D803">
        <v>41986</v>
      </c>
      <c r="E803">
        <f t="shared" si="62"/>
        <v>4.1985999999999999</v>
      </c>
      <c r="F803">
        <f t="shared" si="63"/>
        <v>0.81874401664932739</v>
      </c>
      <c r="G803">
        <f t="shared" si="64"/>
        <v>0.67034176479907404</v>
      </c>
    </row>
    <row r="804" spans="1:7" x14ac:dyDescent="0.35">
      <c r="A804">
        <v>2274</v>
      </c>
      <c r="B804">
        <f t="shared" si="60"/>
        <v>935.64793617759278</v>
      </c>
      <c r="C804">
        <f t="shared" si="61"/>
        <v>875437.06047338876</v>
      </c>
      <c r="D804">
        <v>43555</v>
      </c>
      <c r="E804">
        <f t="shared" si="62"/>
        <v>4.3555000000000001</v>
      </c>
      <c r="F804">
        <f t="shared" si="63"/>
        <v>0.97564401664932765</v>
      </c>
      <c r="G804">
        <f t="shared" si="64"/>
        <v>0.95188124722363354</v>
      </c>
    </row>
    <row r="805" spans="1:7" x14ac:dyDescent="0.35">
      <c r="A805">
        <v>2274</v>
      </c>
      <c r="B805">
        <f t="shared" si="60"/>
        <v>935.64793617759278</v>
      </c>
      <c r="C805">
        <f t="shared" si="61"/>
        <v>875437.06047338876</v>
      </c>
      <c r="D805">
        <v>40639</v>
      </c>
      <c r="E805">
        <f t="shared" si="62"/>
        <v>4.0639000000000003</v>
      </c>
      <c r="F805">
        <f t="shared" si="63"/>
        <v>0.68404401664932779</v>
      </c>
      <c r="G805">
        <f t="shared" si="64"/>
        <v>0.46791621671374584</v>
      </c>
    </row>
    <row r="806" spans="1:7" x14ac:dyDescent="0.35">
      <c r="A806">
        <v>2274</v>
      </c>
      <c r="B806">
        <f t="shared" si="60"/>
        <v>935.64793617759278</v>
      </c>
      <c r="C806">
        <f t="shared" si="61"/>
        <v>875437.06047338876</v>
      </c>
      <c r="D806">
        <v>40004</v>
      </c>
      <c r="E806">
        <f t="shared" si="62"/>
        <v>4.0004</v>
      </c>
      <c r="F806">
        <f t="shared" si="63"/>
        <v>0.62054401664932746</v>
      </c>
      <c r="G806">
        <f t="shared" si="64"/>
        <v>0.3850748765992808</v>
      </c>
    </row>
    <row r="807" spans="1:7" x14ac:dyDescent="0.35">
      <c r="A807">
        <v>2274</v>
      </c>
      <c r="B807">
        <f t="shared" si="60"/>
        <v>935.64793617759278</v>
      </c>
      <c r="C807">
        <f t="shared" si="61"/>
        <v>875437.06047338876</v>
      </c>
      <c r="D807">
        <v>43399</v>
      </c>
      <c r="E807">
        <f t="shared" si="62"/>
        <v>4.3399000000000001</v>
      </c>
      <c r="F807">
        <f t="shared" si="63"/>
        <v>0.96004401664932759</v>
      </c>
      <c r="G807">
        <f t="shared" si="64"/>
        <v>0.92168451390417439</v>
      </c>
    </row>
    <row r="808" spans="1:7" x14ac:dyDescent="0.35">
      <c r="A808">
        <v>2274</v>
      </c>
      <c r="B808">
        <f t="shared" si="60"/>
        <v>935.64793617759278</v>
      </c>
      <c r="C808">
        <f t="shared" si="61"/>
        <v>875437.06047338876</v>
      </c>
      <c r="D808">
        <v>44792</v>
      </c>
      <c r="E808">
        <f t="shared" si="62"/>
        <v>4.4791999999999996</v>
      </c>
      <c r="F808">
        <f t="shared" si="63"/>
        <v>1.0993440166493271</v>
      </c>
      <c r="G808">
        <f t="shared" si="64"/>
        <v>1.2085572669426761</v>
      </c>
    </row>
    <row r="809" spans="1:7" x14ac:dyDescent="0.35">
      <c r="A809">
        <v>2274</v>
      </c>
      <c r="B809">
        <f t="shared" si="60"/>
        <v>935.64793617759278</v>
      </c>
      <c r="C809">
        <f t="shared" si="61"/>
        <v>875437.06047338876</v>
      </c>
      <c r="D809">
        <v>42178</v>
      </c>
      <c r="E809">
        <f t="shared" si="62"/>
        <v>4.2178000000000004</v>
      </c>
      <c r="F809">
        <f t="shared" si="63"/>
        <v>0.83794401664932794</v>
      </c>
      <c r="G809">
        <f t="shared" si="64"/>
        <v>0.70215017503840915</v>
      </c>
    </row>
    <row r="810" spans="1:7" x14ac:dyDescent="0.35">
      <c r="A810">
        <v>2274</v>
      </c>
      <c r="B810">
        <f t="shared" si="60"/>
        <v>935.64793617759278</v>
      </c>
      <c r="C810">
        <f t="shared" si="61"/>
        <v>875437.06047338876</v>
      </c>
      <c r="D810">
        <v>38210</v>
      </c>
      <c r="E810">
        <f t="shared" si="62"/>
        <v>3.8210000000000002</v>
      </c>
      <c r="F810">
        <f t="shared" si="63"/>
        <v>0.44114401664932767</v>
      </c>
      <c r="G810">
        <f t="shared" si="64"/>
        <v>0.19460804342550228</v>
      </c>
    </row>
    <row r="811" spans="1:7" x14ac:dyDescent="0.35">
      <c r="A811">
        <v>2274</v>
      </c>
      <c r="B811">
        <f t="shared" si="60"/>
        <v>935.64793617759278</v>
      </c>
      <c r="C811">
        <f t="shared" si="61"/>
        <v>875437.06047338876</v>
      </c>
      <c r="D811">
        <v>38967</v>
      </c>
      <c r="E811">
        <f t="shared" si="62"/>
        <v>3.8967000000000001</v>
      </c>
      <c r="F811">
        <f t="shared" si="63"/>
        <v>0.51684401664932755</v>
      </c>
      <c r="G811">
        <f t="shared" si="64"/>
        <v>0.26712773754621039</v>
      </c>
    </row>
    <row r="812" spans="1:7" x14ac:dyDescent="0.35">
      <c r="A812">
        <v>2274</v>
      </c>
      <c r="B812">
        <f t="shared" si="60"/>
        <v>935.64793617759278</v>
      </c>
      <c r="C812">
        <f t="shared" si="61"/>
        <v>875437.06047338876</v>
      </c>
      <c r="D812">
        <v>44061</v>
      </c>
      <c r="E812">
        <f t="shared" si="62"/>
        <v>4.4061000000000003</v>
      </c>
      <c r="F812">
        <f t="shared" si="63"/>
        <v>1.0262440166493279</v>
      </c>
      <c r="G812">
        <f t="shared" si="64"/>
        <v>1.053176781708546</v>
      </c>
    </row>
    <row r="813" spans="1:7" x14ac:dyDescent="0.35">
      <c r="A813">
        <v>2274</v>
      </c>
      <c r="B813">
        <f t="shared" si="60"/>
        <v>935.64793617759278</v>
      </c>
      <c r="C813">
        <f t="shared" si="61"/>
        <v>875437.06047338876</v>
      </c>
      <c r="D813">
        <v>41905</v>
      </c>
      <c r="E813">
        <f t="shared" si="62"/>
        <v>4.1905000000000001</v>
      </c>
      <c r="F813">
        <f t="shared" si="63"/>
        <v>0.81064401664932761</v>
      </c>
      <c r="G813">
        <f t="shared" si="64"/>
        <v>0.65714372172935531</v>
      </c>
    </row>
    <row r="814" spans="1:7" x14ac:dyDescent="0.35">
      <c r="A814">
        <v>51</v>
      </c>
      <c r="B814">
        <f t="shared" si="60"/>
        <v>-1287.3520638224072</v>
      </c>
      <c r="C814">
        <f t="shared" si="61"/>
        <v>1657275.3362278112</v>
      </c>
      <c r="D814">
        <v>59478</v>
      </c>
      <c r="E814">
        <f t="shared" si="62"/>
        <v>5.9478</v>
      </c>
      <c r="F814">
        <f t="shared" si="63"/>
        <v>2.5679440166493275</v>
      </c>
      <c r="G814">
        <f t="shared" si="64"/>
        <v>6.5943364726450815</v>
      </c>
    </row>
    <row r="815" spans="1:7" x14ac:dyDescent="0.35">
      <c r="A815">
        <v>51</v>
      </c>
      <c r="B815">
        <f t="shared" si="60"/>
        <v>-1287.3520638224072</v>
      </c>
      <c r="C815">
        <f t="shared" si="61"/>
        <v>1657275.3362278112</v>
      </c>
      <c r="D815">
        <v>57747</v>
      </c>
      <c r="E815">
        <f t="shared" si="62"/>
        <v>5.7747000000000002</v>
      </c>
      <c r="F815">
        <f t="shared" si="63"/>
        <v>2.3948440166493277</v>
      </c>
      <c r="G815">
        <f t="shared" si="64"/>
        <v>5.7352778640810849</v>
      </c>
    </row>
    <row r="816" spans="1:7" x14ac:dyDescent="0.35">
      <c r="A816">
        <v>51</v>
      </c>
      <c r="B816">
        <f t="shared" si="60"/>
        <v>-1287.3520638224072</v>
      </c>
      <c r="C816">
        <f t="shared" si="61"/>
        <v>1657275.3362278112</v>
      </c>
      <c r="D816">
        <v>58265</v>
      </c>
      <c r="E816">
        <f t="shared" si="62"/>
        <v>5.8265000000000002</v>
      </c>
      <c r="F816">
        <f t="shared" si="63"/>
        <v>2.4466440166493277</v>
      </c>
      <c r="G816">
        <f t="shared" si="64"/>
        <v>5.9860669442059562</v>
      </c>
    </row>
    <row r="817" spans="1:7" x14ac:dyDescent="0.35">
      <c r="A817">
        <v>51</v>
      </c>
      <c r="B817">
        <f t="shared" si="60"/>
        <v>-1287.3520638224072</v>
      </c>
      <c r="C817">
        <f t="shared" si="61"/>
        <v>1657275.3362278112</v>
      </c>
      <c r="D817">
        <v>64825</v>
      </c>
      <c r="E817">
        <f t="shared" si="62"/>
        <v>6.4824999999999999</v>
      </c>
      <c r="F817">
        <f t="shared" si="63"/>
        <v>3.1026440166493274</v>
      </c>
      <c r="G817">
        <f t="shared" si="64"/>
        <v>9.6263998940498716</v>
      </c>
    </row>
    <row r="818" spans="1:7" x14ac:dyDescent="0.35">
      <c r="A818">
        <v>51</v>
      </c>
      <c r="B818">
        <f t="shared" si="60"/>
        <v>-1287.3520638224072</v>
      </c>
      <c r="C818">
        <f t="shared" si="61"/>
        <v>1657275.3362278112</v>
      </c>
      <c r="D818">
        <v>72663</v>
      </c>
      <c r="E818">
        <f t="shared" si="62"/>
        <v>7.2663000000000002</v>
      </c>
      <c r="F818">
        <f t="shared" si="63"/>
        <v>3.8864440166493277</v>
      </c>
      <c r="G818">
        <f t="shared" si="64"/>
        <v>15.104447094549359</v>
      </c>
    </row>
    <row r="819" spans="1:7" x14ac:dyDescent="0.35">
      <c r="A819">
        <v>51</v>
      </c>
      <c r="B819">
        <f t="shared" si="60"/>
        <v>-1287.3520638224072</v>
      </c>
      <c r="C819">
        <f t="shared" si="61"/>
        <v>1657275.3362278112</v>
      </c>
      <c r="D819">
        <v>74554</v>
      </c>
      <c r="E819">
        <f t="shared" si="62"/>
        <v>7.4554</v>
      </c>
      <c r="F819">
        <f t="shared" si="63"/>
        <v>4.075544016649328</v>
      </c>
      <c r="G819">
        <f t="shared" si="64"/>
        <v>16.610059031646138</v>
      </c>
    </row>
    <row r="820" spans="1:7" x14ac:dyDescent="0.35">
      <c r="A820">
        <v>51</v>
      </c>
      <c r="B820">
        <f t="shared" si="60"/>
        <v>-1287.3520638224072</v>
      </c>
      <c r="C820">
        <f t="shared" si="61"/>
        <v>1657275.3362278112</v>
      </c>
      <c r="D820">
        <v>76511</v>
      </c>
      <c r="E820">
        <f t="shared" si="62"/>
        <v>7.6510999999999996</v>
      </c>
      <c r="F820">
        <f t="shared" si="63"/>
        <v>4.2712440166493266</v>
      </c>
      <c r="G820">
        <f t="shared" si="64"/>
        <v>18.243525449762672</v>
      </c>
    </row>
    <row r="821" spans="1:7" x14ac:dyDescent="0.35">
      <c r="A821">
        <v>51</v>
      </c>
      <c r="B821">
        <f t="shared" si="60"/>
        <v>-1287.3520638224072</v>
      </c>
      <c r="C821">
        <f t="shared" si="61"/>
        <v>1657275.3362278112</v>
      </c>
      <c r="D821">
        <v>77184</v>
      </c>
      <c r="E821">
        <f t="shared" si="62"/>
        <v>7.7183999999999999</v>
      </c>
      <c r="F821">
        <f t="shared" si="63"/>
        <v>4.3385440166493279</v>
      </c>
      <c r="G821">
        <f t="shared" si="64"/>
        <v>18.822964184403684</v>
      </c>
    </row>
    <row r="822" spans="1:7" x14ac:dyDescent="0.35">
      <c r="A822">
        <v>51</v>
      </c>
      <c r="B822">
        <f t="shared" si="60"/>
        <v>-1287.3520638224072</v>
      </c>
      <c r="C822">
        <f t="shared" si="61"/>
        <v>1657275.3362278112</v>
      </c>
      <c r="D822">
        <v>79130</v>
      </c>
      <c r="E822">
        <f t="shared" si="62"/>
        <v>7.9130000000000003</v>
      </c>
      <c r="F822">
        <f t="shared" si="63"/>
        <v>4.5331440166493273</v>
      </c>
      <c r="G822">
        <f t="shared" si="64"/>
        <v>20.549394675683597</v>
      </c>
    </row>
    <row r="823" spans="1:7" x14ac:dyDescent="0.35">
      <c r="A823">
        <v>51</v>
      </c>
      <c r="B823">
        <f t="shared" si="60"/>
        <v>-1287.3520638224072</v>
      </c>
      <c r="C823">
        <f t="shared" si="61"/>
        <v>1657275.3362278112</v>
      </c>
      <c r="D823">
        <v>81356</v>
      </c>
      <c r="E823">
        <f t="shared" si="62"/>
        <v>8.1356000000000002</v>
      </c>
      <c r="F823">
        <f t="shared" si="63"/>
        <v>4.7557440166493272</v>
      </c>
      <c r="G823">
        <f t="shared" si="64"/>
        <v>22.617101151895877</v>
      </c>
    </row>
    <row r="824" spans="1:7" x14ac:dyDescent="0.35">
      <c r="A824">
        <v>51</v>
      </c>
      <c r="B824">
        <f t="shared" si="60"/>
        <v>-1287.3520638224072</v>
      </c>
      <c r="C824">
        <f t="shared" si="61"/>
        <v>1657275.3362278112</v>
      </c>
      <c r="D824">
        <v>82910</v>
      </c>
      <c r="E824">
        <f t="shared" si="62"/>
        <v>8.2910000000000004</v>
      </c>
      <c r="F824">
        <f t="shared" si="63"/>
        <v>4.9111440166493274</v>
      </c>
      <c r="G824">
        <f t="shared" si="64"/>
        <v>24.119335552270488</v>
      </c>
    </row>
    <row r="825" spans="1:7" x14ac:dyDescent="0.35">
      <c r="A825">
        <v>51</v>
      </c>
      <c r="B825">
        <f t="shared" si="60"/>
        <v>-1287.3520638224072</v>
      </c>
      <c r="C825">
        <f t="shared" si="61"/>
        <v>1657275.3362278112</v>
      </c>
      <c r="D825">
        <v>84152</v>
      </c>
      <c r="E825">
        <f t="shared" si="62"/>
        <v>8.4152000000000005</v>
      </c>
      <c r="F825">
        <f t="shared" si="63"/>
        <v>5.0353440166493275</v>
      </c>
      <c r="G825">
        <f t="shared" si="64"/>
        <v>25.354689366006184</v>
      </c>
    </row>
    <row r="826" spans="1:7" x14ac:dyDescent="0.35">
      <c r="A826">
        <v>51</v>
      </c>
      <c r="B826">
        <f t="shared" si="60"/>
        <v>-1287.3520638224072</v>
      </c>
      <c r="C826">
        <f t="shared" si="61"/>
        <v>1657275.3362278112</v>
      </c>
      <c r="D826">
        <v>86401</v>
      </c>
      <c r="E826">
        <f t="shared" si="62"/>
        <v>8.6401000000000003</v>
      </c>
      <c r="F826">
        <f t="shared" si="63"/>
        <v>5.2602440166493274</v>
      </c>
      <c r="G826">
        <f t="shared" si="64"/>
        <v>27.670167114695051</v>
      </c>
    </row>
    <row r="827" spans="1:7" x14ac:dyDescent="0.35">
      <c r="A827">
        <v>51</v>
      </c>
      <c r="B827">
        <f t="shared" si="60"/>
        <v>-1287.3520638224072</v>
      </c>
      <c r="C827">
        <f t="shared" si="61"/>
        <v>1657275.3362278112</v>
      </c>
      <c r="D827">
        <v>88780</v>
      </c>
      <c r="E827">
        <f t="shared" si="62"/>
        <v>8.8780000000000001</v>
      </c>
      <c r="F827">
        <f t="shared" si="63"/>
        <v>5.4981440166493272</v>
      </c>
      <c r="G827">
        <f t="shared" si="64"/>
        <v>30.229587627816798</v>
      </c>
    </row>
    <row r="828" spans="1:7" x14ac:dyDescent="0.35">
      <c r="A828">
        <v>51</v>
      </c>
      <c r="B828">
        <f t="shared" si="60"/>
        <v>-1287.3520638224072</v>
      </c>
      <c r="C828">
        <f t="shared" si="61"/>
        <v>1657275.3362278112</v>
      </c>
      <c r="D828">
        <v>91025</v>
      </c>
      <c r="E828">
        <f t="shared" si="62"/>
        <v>9.1024999999999991</v>
      </c>
      <c r="F828">
        <f t="shared" si="63"/>
        <v>5.7226440166493262</v>
      </c>
      <c r="G828">
        <f t="shared" si="64"/>
        <v>32.748654541292332</v>
      </c>
    </row>
    <row r="829" spans="1:7" x14ac:dyDescent="0.35">
      <c r="A829">
        <v>51</v>
      </c>
      <c r="B829">
        <f t="shared" si="60"/>
        <v>-1287.3520638224072</v>
      </c>
      <c r="C829">
        <f t="shared" si="61"/>
        <v>1657275.3362278112</v>
      </c>
      <c r="D829">
        <v>92833</v>
      </c>
      <c r="E829">
        <f t="shared" si="62"/>
        <v>9.2833000000000006</v>
      </c>
      <c r="F829">
        <f t="shared" si="63"/>
        <v>5.9034440166493276</v>
      </c>
      <c r="G829">
        <f t="shared" si="64"/>
        <v>34.850651257712748</v>
      </c>
    </row>
    <row r="830" spans="1:7" x14ac:dyDescent="0.35">
      <c r="A830">
        <v>51</v>
      </c>
      <c r="B830">
        <f t="shared" si="60"/>
        <v>-1287.3520638224072</v>
      </c>
      <c r="C830">
        <f t="shared" si="61"/>
        <v>1657275.3362278112</v>
      </c>
      <c r="D830">
        <v>93889</v>
      </c>
      <c r="E830">
        <f t="shared" si="62"/>
        <v>9.3888999999999996</v>
      </c>
      <c r="F830">
        <f t="shared" si="63"/>
        <v>6.0090440166493266</v>
      </c>
      <c r="G830">
        <f t="shared" si="64"/>
        <v>36.108609994029074</v>
      </c>
    </row>
    <row r="831" spans="1:7" x14ac:dyDescent="0.35">
      <c r="A831">
        <v>51</v>
      </c>
      <c r="B831">
        <f t="shared" si="60"/>
        <v>-1287.3520638224072</v>
      </c>
      <c r="C831">
        <f t="shared" si="61"/>
        <v>1657275.3362278112</v>
      </c>
      <c r="D831">
        <v>98384</v>
      </c>
      <c r="E831">
        <f t="shared" si="62"/>
        <v>9.8384</v>
      </c>
      <c r="F831">
        <f t="shared" si="63"/>
        <v>6.4585440166493271</v>
      </c>
      <c r="G831">
        <f t="shared" si="64"/>
        <v>41.712790814996822</v>
      </c>
    </row>
    <row r="832" spans="1:7" x14ac:dyDescent="0.35">
      <c r="A832">
        <v>51</v>
      </c>
      <c r="B832">
        <f t="shared" si="60"/>
        <v>-1287.3520638224072</v>
      </c>
      <c r="C832">
        <f t="shared" si="61"/>
        <v>1657275.3362278112</v>
      </c>
      <c r="D832">
        <v>99874</v>
      </c>
      <c r="E832">
        <f t="shared" si="62"/>
        <v>9.9873999999999992</v>
      </c>
      <c r="F832">
        <f t="shared" si="63"/>
        <v>6.6075440166493262</v>
      </c>
      <c r="G832">
        <f t="shared" si="64"/>
        <v>43.659637931958315</v>
      </c>
    </row>
    <row r="833" spans="1:7" x14ac:dyDescent="0.35">
      <c r="A833">
        <v>51</v>
      </c>
      <c r="B833">
        <f t="shared" si="60"/>
        <v>-1287.3520638224072</v>
      </c>
      <c r="C833">
        <f t="shared" si="61"/>
        <v>1657275.3362278112</v>
      </c>
      <c r="D833">
        <v>100750</v>
      </c>
      <c r="E833">
        <f t="shared" si="62"/>
        <v>10.074999999999999</v>
      </c>
      <c r="F833">
        <f t="shared" si="63"/>
        <v>6.6951440166493263</v>
      </c>
      <c r="G833">
        <f t="shared" si="64"/>
        <v>44.824953403675273</v>
      </c>
    </row>
    <row r="834" spans="1:7" x14ac:dyDescent="0.35">
      <c r="A834">
        <v>51</v>
      </c>
      <c r="B834">
        <f t="shared" si="60"/>
        <v>-1287.3520638224072</v>
      </c>
      <c r="C834">
        <f t="shared" si="61"/>
        <v>1657275.3362278112</v>
      </c>
      <c r="D834">
        <v>97675</v>
      </c>
      <c r="E834">
        <f t="shared" si="62"/>
        <v>9.7675000000000001</v>
      </c>
      <c r="F834">
        <f t="shared" si="63"/>
        <v>6.3876440166493271</v>
      </c>
      <c r="G834">
        <f t="shared" si="64"/>
        <v>40.801996083435952</v>
      </c>
    </row>
    <row r="835" spans="1:7" x14ac:dyDescent="0.35">
      <c r="A835">
        <v>51</v>
      </c>
      <c r="B835">
        <f t="shared" ref="B835:B898" si="65">A835-$J$1</f>
        <v>-1287.3520638224072</v>
      </c>
      <c r="C835">
        <f t="shared" ref="C835:C898" si="66">B835^2</f>
        <v>1657275.3362278112</v>
      </c>
      <c r="D835">
        <v>97349</v>
      </c>
      <c r="E835">
        <f t="shared" ref="E835:E898" si="67">D835/10000</f>
        <v>9.7348999999999997</v>
      </c>
      <c r="F835">
        <f t="shared" ref="F835:F898" si="68">E835-$J$2</f>
        <v>6.3550440166493267</v>
      </c>
      <c r="G835">
        <f t="shared" ref="G835:G898" si="69">F835^2</f>
        <v>40.386584453550405</v>
      </c>
    </row>
    <row r="836" spans="1:7" x14ac:dyDescent="0.35">
      <c r="A836">
        <v>51</v>
      </c>
      <c r="B836">
        <f t="shared" si="65"/>
        <v>-1287.3520638224072</v>
      </c>
      <c r="C836">
        <f t="shared" si="66"/>
        <v>1657275.3362278112</v>
      </c>
      <c r="D836">
        <v>95930</v>
      </c>
      <c r="E836">
        <f t="shared" si="67"/>
        <v>9.593</v>
      </c>
      <c r="F836">
        <f t="shared" si="68"/>
        <v>6.213144016649327</v>
      </c>
      <c r="G836">
        <f t="shared" si="69"/>
        <v>38.603158571625336</v>
      </c>
    </row>
    <row r="837" spans="1:7" x14ac:dyDescent="0.35">
      <c r="A837">
        <v>51</v>
      </c>
      <c r="B837">
        <f t="shared" si="65"/>
        <v>-1287.3520638224072</v>
      </c>
      <c r="C837">
        <f t="shared" si="66"/>
        <v>1657275.3362278112</v>
      </c>
      <c r="D837">
        <v>94217</v>
      </c>
      <c r="E837">
        <f t="shared" si="67"/>
        <v>9.4216999999999995</v>
      </c>
      <c r="F837">
        <f t="shared" si="68"/>
        <v>6.0418440166493266</v>
      </c>
      <c r="G837">
        <f t="shared" si="69"/>
        <v>36.503879121521265</v>
      </c>
    </row>
    <row r="838" spans="1:7" x14ac:dyDescent="0.35">
      <c r="A838">
        <v>51</v>
      </c>
      <c r="B838">
        <f t="shared" si="65"/>
        <v>-1287.3520638224072</v>
      </c>
      <c r="C838">
        <f t="shared" si="66"/>
        <v>1657275.3362278112</v>
      </c>
      <c r="D838">
        <v>95670</v>
      </c>
      <c r="E838">
        <f t="shared" si="67"/>
        <v>9.5670000000000002</v>
      </c>
      <c r="F838">
        <f t="shared" si="68"/>
        <v>6.1871440166493272</v>
      </c>
      <c r="G838">
        <f t="shared" si="69"/>
        <v>38.280751082759572</v>
      </c>
    </row>
    <row r="839" spans="1:7" x14ac:dyDescent="0.35">
      <c r="A839">
        <v>51</v>
      </c>
      <c r="B839">
        <f t="shared" si="65"/>
        <v>-1287.3520638224072</v>
      </c>
      <c r="C839">
        <f t="shared" si="66"/>
        <v>1657275.3362278112</v>
      </c>
      <c r="D839">
        <v>95296</v>
      </c>
      <c r="E839">
        <f t="shared" si="67"/>
        <v>9.5296000000000003</v>
      </c>
      <c r="F839">
        <f t="shared" si="68"/>
        <v>6.1497440166493273</v>
      </c>
      <c r="G839">
        <f t="shared" si="69"/>
        <v>37.819351470314203</v>
      </c>
    </row>
    <row r="840" spans="1:7" x14ac:dyDescent="0.35">
      <c r="A840">
        <v>51</v>
      </c>
      <c r="B840">
        <f t="shared" si="65"/>
        <v>-1287.3520638224072</v>
      </c>
      <c r="C840">
        <f t="shared" si="66"/>
        <v>1657275.3362278112</v>
      </c>
      <c r="D840">
        <v>95865</v>
      </c>
      <c r="E840">
        <f t="shared" si="67"/>
        <v>9.5864999999999991</v>
      </c>
      <c r="F840">
        <f t="shared" si="68"/>
        <v>6.2066440166493262</v>
      </c>
      <c r="G840">
        <f t="shared" si="69"/>
        <v>38.522429949408881</v>
      </c>
    </row>
    <row r="841" spans="1:7" x14ac:dyDescent="0.35">
      <c r="A841">
        <v>51</v>
      </c>
      <c r="B841">
        <f t="shared" si="65"/>
        <v>-1287.3520638224072</v>
      </c>
      <c r="C841">
        <f t="shared" si="66"/>
        <v>1657275.3362278112</v>
      </c>
      <c r="D841">
        <v>95300</v>
      </c>
      <c r="E841">
        <f t="shared" si="67"/>
        <v>9.5299999999999994</v>
      </c>
      <c r="F841">
        <f t="shared" si="68"/>
        <v>6.1501440166493264</v>
      </c>
      <c r="G841">
        <f t="shared" si="69"/>
        <v>37.824271425527513</v>
      </c>
    </row>
    <row r="842" spans="1:7" x14ac:dyDescent="0.35">
      <c r="A842">
        <v>51</v>
      </c>
      <c r="B842">
        <f t="shared" si="65"/>
        <v>-1287.3520638224072</v>
      </c>
      <c r="C842">
        <f t="shared" si="66"/>
        <v>1657275.3362278112</v>
      </c>
      <c r="D842">
        <v>94312</v>
      </c>
      <c r="E842">
        <f t="shared" si="67"/>
        <v>9.4312000000000005</v>
      </c>
      <c r="F842">
        <f t="shared" si="68"/>
        <v>6.0513440166493275</v>
      </c>
      <c r="G842">
        <f t="shared" si="69"/>
        <v>36.618764407837617</v>
      </c>
    </row>
    <row r="843" spans="1:7" x14ac:dyDescent="0.35">
      <c r="A843">
        <v>51</v>
      </c>
      <c r="B843">
        <f t="shared" si="65"/>
        <v>-1287.3520638224072</v>
      </c>
      <c r="C843">
        <f t="shared" si="66"/>
        <v>1657275.3362278112</v>
      </c>
      <c r="D843">
        <v>93669</v>
      </c>
      <c r="E843">
        <f t="shared" si="67"/>
        <v>9.3668999999999993</v>
      </c>
      <c r="F843">
        <f t="shared" si="68"/>
        <v>5.9870440166493264</v>
      </c>
      <c r="G843">
        <f t="shared" si="69"/>
        <v>35.844696057296503</v>
      </c>
    </row>
    <row r="844" spans="1:7" x14ac:dyDescent="0.35">
      <c r="A844">
        <v>1784</v>
      </c>
      <c r="B844">
        <f t="shared" si="65"/>
        <v>445.64793617759278</v>
      </c>
      <c r="C844">
        <f t="shared" si="66"/>
        <v>198602.0830193478</v>
      </c>
      <c r="D844">
        <v>39844</v>
      </c>
      <c r="E844">
        <f t="shared" si="67"/>
        <v>3.9843999999999999</v>
      </c>
      <c r="F844">
        <f t="shared" si="68"/>
        <v>0.60454401664932744</v>
      </c>
      <c r="G844">
        <f t="shared" si="69"/>
        <v>0.36547346806650227</v>
      </c>
    </row>
    <row r="845" spans="1:7" x14ac:dyDescent="0.35">
      <c r="A845">
        <v>1784</v>
      </c>
      <c r="B845">
        <f t="shared" si="65"/>
        <v>445.64793617759278</v>
      </c>
      <c r="C845">
        <f t="shared" si="66"/>
        <v>198602.0830193478</v>
      </c>
      <c r="D845">
        <v>38985</v>
      </c>
      <c r="E845">
        <f t="shared" si="67"/>
        <v>3.8984999999999999</v>
      </c>
      <c r="F845">
        <f t="shared" si="68"/>
        <v>0.51864401664932736</v>
      </c>
      <c r="G845">
        <f t="shared" si="69"/>
        <v>0.26899161600614774</v>
      </c>
    </row>
    <row r="846" spans="1:7" x14ac:dyDescent="0.35">
      <c r="A846">
        <v>1784</v>
      </c>
      <c r="B846">
        <f t="shared" si="65"/>
        <v>445.64793617759278</v>
      </c>
      <c r="C846">
        <f t="shared" si="66"/>
        <v>198602.0830193478</v>
      </c>
      <c r="D846">
        <v>35987</v>
      </c>
      <c r="E846">
        <f t="shared" si="67"/>
        <v>3.5987</v>
      </c>
      <c r="F846">
        <f t="shared" si="68"/>
        <v>0.21884401664932751</v>
      </c>
      <c r="G846">
        <f t="shared" si="69"/>
        <v>4.7892703623211137E-2</v>
      </c>
    </row>
    <row r="847" spans="1:7" x14ac:dyDescent="0.35">
      <c r="A847">
        <v>1784</v>
      </c>
      <c r="B847">
        <f t="shared" si="65"/>
        <v>445.64793617759278</v>
      </c>
      <c r="C847">
        <f t="shared" si="66"/>
        <v>198602.0830193478</v>
      </c>
      <c r="D847">
        <v>41069</v>
      </c>
      <c r="E847">
        <f t="shared" si="67"/>
        <v>4.1069000000000004</v>
      </c>
      <c r="F847">
        <f t="shared" si="68"/>
        <v>0.72704401664932794</v>
      </c>
      <c r="G847">
        <f t="shared" si="69"/>
        <v>0.52859300214558824</v>
      </c>
    </row>
    <row r="848" spans="1:7" x14ac:dyDescent="0.35">
      <c r="A848">
        <v>1784</v>
      </c>
      <c r="B848">
        <f t="shared" si="65"/>
        <v>445.64793617759278</v>
      </c>
      <c r="C848">
        <f t="shared" si="66"/>
        <v>198602.0830193478</v>
      </c>
      <c r="D848">
        <v>43271</v>
      </c>
      <c r="E848">
        <f t="shared" si="67"/>
        <v>4.3270999999999997</v>
      </c>
      <c r="F848">
        <f t="shared" si="68"/>
        <v>0.94724401664932723</v>
      </c>
      <c r="G848">
        <f t="shared" si="69"/>
        <v>0.89727122707795093</v>
      </c>
    </row>
    <row r="849" spans="1:7" x14ac:dyDescent="0.35">
      <c r="A849">
        <v>1784</v>
      </c>
      <c r="B849">
        <f t="shared" si="65"/>
        <v>445.64793617759278</v>
      </c>
      <c r="C849">
        <f t="shared" si="66"/>
        <v>198602.0830193478</v>
      </c>
      <c r="D849">
        <v>37669</v>
      </c>
      <c r="E849">
        <f t="shared" si="67"/>
        <v>3.7669000000000001</v>
      </c>
      <c r="F849">
        <f t="shared" si="68"/>
        <v>0.38704401664932764</v>
      </c>
      <c r="G849">
        <f t="shared" si="69"/>
        <v>0.14980307082404501</v>
      </c>
    </row>
    <row r="850" spans="1:7" x14ac:dyDescent="0.35">
      <c r="A850">
        <v>1784</v>
      </c>
      <c r="B850">
        <f t="shared" si="65"/>
        <v>445.64793617759278</v>
      </c>
      <c r="C850">
        <f t="shared" si="66"/>
        <v>198602.0830193478</v>
      </c>
      <c r="D850">
        <v>43561</v>
      </c>
      <c r="E850">
        <f t="shared" si="67"/>
        <v>4.3560999999999996</v>
      </c>
      <c r="F850">
        <f t="shared" si="68"/>
        <v>0.97624401664932714</v>
      </c>
      <c r="G850">
        <f t="shared" si="69"/>
        <v>0.9530523800436117</v>
      </c>
    </row>
    <row r="851" spans="1:7" x14ac:dyDescent="0.35">
      <c r="A851">
        <v>1784</v>
      </c>
      <c r="B851">
        <f t="shared" si="65"/>
        <v>445.64793617759278</v>
      </c>
      <c r="C851">
        <f t="shared" si="66"/>
        <v>198602.0830193478</v>
      </c>
      <c r="D851">
        <v>47076</v>
      </c>
      <c r="E851">
        <f t="shared" si="67"/>
        <v>4.7076000000000002</v>
      </c>
      <c r="F851">
        <f t="shared" si="68"/>
        <v>1.3277440166493277</v>
      </c>
      <c r="G851">
        <f t="shared" si="69"/>
        <v>1.7629041737480902</v>
      </c>
    </row>
    <row r="852" spans="1:7" x14ac:dyDescent="0.35">
      <c r="A852">
        <v>1784</v>
      </c>
      <c r="B852">
        <f t="shared" si="65"/>
        <v>445.64793617759278</v>
      </c>
      <c r="C852">
        <f t="shared" si="66"/>
        <v>198602.0830193478</v>
      </c>
      <c r="D852">
        <v>43353</v>
      </c>
      <c r="E852">
        <f t="shared" si="67"/>
        <v>4.3353000000000002</v>
      </c>
      <c r="F852">
        <f t="shared" si="68"/>
        <v>0.95544401664932765</v>
      </c>
      <c r="G852">
        <f t="shared" si="69"/>
        <v>0.91287326895100074</v>
      </c>
    </row>
    <row r="853" spans="1:7" x14ac:dyDescent="0.35">
      <c r="A853">
        <v>1784</v>
      </c>
      <c r="B853">
        <f t="shared" si="65"/>
        <v>445.64793617759278</v>
      </c>
      <c r="C853">
        <f t="shared" si="66"/>
        <v>198602.0830193478</v>
      </c>
      <c r="D853">
        <v>53291</v>
      </c>
      <c r="E853">
        <f t="shared" si="67"/>
        <v>5.3291000000000004</v>
      </c>
      <c r="F853">
        <f t="shared" si="68"/>
        <v>1.9492440166493279</v>
      </c>
      <c r="G853">
        <f t="shared" si="69"/>
        <v>3.7995522364432053</v>
      </c>
    </row>
    <row r="854" spans="1:7" x14ac:dyDescent="0.35">
      <c r="A854">
        <v>1784</v>
      </c>
      <c r="B854">
        <f t="shared" si="65"/>
        <v>445.64793617759278</v>
      </c>
      <c r="C854">
        <f t="shared" si="66"/>
        <v>198602.0830193478</v>
      </c>
      <c r="D854">
        <v>51627</v>
      </c>
      <c r="E854">
        <f t="shared" si="67"/>
        <v>5.1627000000000001</v>
      </c>
      <c r="F854">
        <f t="shared" si="68"/>
        <v>1.7828440166493276</v>
      </c>
      <c r="G854">
        <f t="shared" si="69"/>
        <v>3.178532787702308</v>
      </c>
    </row>
    <row r="855" spans="1:7" x14ac:dyDescent="0.35">
      <c r="A855">
        <v>1784</v>
      </c>
      <c r="B855">
        <f t="shared" si="65"/>
        <v>445.64793617759278</v>
      </c>
      <c r="C855">
        <f t="shared" si="66"/>
        <v>198602.0830193478</v>
      </c>
      <c r="D855">
        <v>44419</v>
      </c>
      <c r="E855">
        <f t="shared" si="67"/>
        <v>4.4419000000000004</v>
      </c>
      <c r="F855">
        <f t="shared" si="68"/>
        <v>1.0620440166493279</v>
      </c>
      <c r="G855">
        <f t="shared" si="69"/>
        <v>1.1279374933006379</v>
      </c>
    </row>
    <row r="856" spans="1:7" x14ac:dyDescent="0.35">
      <c r="A856">
        <v>1784</v>
      </c>
      <c r="B856">
        <f t="shared" si="65"/>
        <v>445.64793617759278</v>
      </c>
      <c r="C856">
        <f t="shared" si="66"/>
        <v>198602.0830193478</v>
      </c>
      <c r="D856">
        <v>49760</v>
      </c>
      <c r="E856">
        <f t="shared" si="67"/>
        <v>4.976</v>
      </c>
      <c r="F856">
        <f t="shared" si="68"/>
        <v>1.5961440166493275</v>
      </c>
      <c r="G856">
        <f t="shared" si="69"/>
        <v>2.5476757218854487</v>
      </c>
    </row>
    <row r="857" spans="1:7" x14ac:dyDescent="0.35">
      <c r="A857">
        <v>1784</v>
      </c>
      <c r="B857">
        <f t="shared" si="65"/>
        <v>445.64793617759278</v>
      </c>
      <c r="C857">
        <f t="shared" si="66"/>
        <v>198602.0830193478</v>
      </c>
      <c r="D857">
        <v>52531</v>
      </c>
      <c r="E857">
        <f t="shared" si="67"/>
        <v>5.2530999999999999</v>
      </c>
      <c r="F857">
        <f t="shared" si="68"/>
        <v>1.8732440166493274</v>
      </c>
      <c r="G857">
        <f t="shared" si="69"/>
        <v>3.5090431459125053</v>
      </c>
    </row>
    <row r="858" spans="1:7" x14ac:dyDescent="0.35">
      <c r="A858">
        <v>1784</v>
      </c>
      <c r="B858">
        <f t="shared" si="65"/>
        <v>445.64793617759278</v>
      </c>
      <c r="C858">
        <f t="shared" si="66"/>
        <v>198602.0830193478</v>
      </c>
      <c r="D858">
        <v>57884</v>
      </c>
      <c r="E858">
        <f t="shared" si="67"/>
        <v>5.7884000000000002</v>
      </c>
      <c r="F858">
        <f t="shared" si="68"/>
        <v>2.4085440166493277</v>
      </c>
      <c r="G858">
        <f t="shared" si="69"/>
        <v>5.8010842801372773</v>
      </c>
    </row>
    <row r="859" spans="1:7" x14ac:dyDescent="0.35">
      <c r="A859">
        <v>1784</v>
      </c>
      <c r="B859">
        <f t="shared" si="65"/>
        <v>445.64793617759278</v>
      </c>
      <c r="C859">
        <f t="shared" si="66"/>
        <v>198602.0830193478</v>
      </c>
      <c r="D859">
        <v>60284</v>
      </c>
      <c r="E859">
        <f t="shared" si="67"/>
        <v>6.0284000000000004</v>
      </c>
      <c r="F859">
        <f t="shared" si="68"/>
        <v>2.6485440166493279</v>
      </c>
      <c r="G859">
        <f t="shared" si="69"/>
        <v>7.0147854081289553</v>
      </c>
    </row>
    <row r="860" spans="1:7" x14ac:dyDescent="0.35">
      <c r="A860">
        <v>1784</v>
      </c>
      <c r="B860">
        <f t="shared" si="65"/>
        <v>445.64793617759278</v>
      </c>
      <c r="C860">
        <f t="shared" si="66"/>
        <v>198602.0830193478</v>
      </c>
      <c r="D860">
        <v>59384</v>
      </c>
      <c r="E860">
        <f t="shared" si="67"/>
        <v>5.9383999999999997</v>
      </c>
      <c r="F860">
        <f t="shared" si="68"/>
        <v>2.5585440166493272</v>
      </c>
      <c r="G860">
        <f t="shared" si="69"/>
        <v>6.5461474851320727</v>
      </c>
    </row>
    <row r="861" spans="1:7" x14ac:dyDescent="0.35">
      <c r="A861">
        <v>1784</v>
      </c>
      <c r="B861">
        <f t="shared" si="65"/>
        <v>445.64793617759278</v>
      </c>
      <c r="C861">
        <f t="shared" si="66"/>
        <v>198602.0830193478</v>
      </c>
      <c r="D861">
        <v>66430</v>
      </c>
      <c r="E861">
        <f t="shared" si="67"/>
        <v>6.6429999999999998</v>
      </c>
      <c r="F861">
        <f t="shared" si="68"/>
        <v>3.2631440166493273</v>
      </c>
      <c r="G861">
        <f t="shared" si="69"/>
        <v>10.648108873394305</v>
      </c>
    </row>
    <row r="862" spans="1:7" x14ac:dyDescent="0.35">
      <c r="A862">
        <v>1784</v>
      </c>
      <c r="B862">
        <f t="shared" si="65"/>
        <v>445.64793617759278</v>
      </c>
      <c r="C862">
        <f t="shared" si="66"/>
        <v>198602.0830193478</v>
      </c>
      <c r="D862">
        <v>72118</v>
      </c>
      <c r="E862">
        <f t="shared" si="67"/>
        <v>7.2118000000000002</v>
      </c>
      <c r="F862">
        <f t="shared" si="68"/>
        <v>3.8319440166493277</v>
      </c>
      <c r="G862">
        <f t="shared" si="69"/>
        <v>14.683794946734583</v>
      </c>
    </row>
    <row r="863" spans="1:7" x14ac:dyDescent="0.35">
      <c r="A863">
        <v>1784</v>
      </c>
      <c r="B863">
        <f t="shared" si="65"/>
        <v>445.64793617759278</v>
      </c>
      <c r="C863">
        <f t="shared" si="66"/>
        <v>198602.0830193478</v>
      </c>
      <c r="D863">
        <v>73941</v>
      </c>
      <c r="E863">
        <f t="shared" si="67"/>
        <v>7.3940999999999999</v>
      </c>
      <c r="F863">
        <f t="shared" si="68"/>
        <v>4.014244016649327</v>
      </c>
      <c r="G863">
        <f t="shared" si="69"/>
        <v>16.114155025204923</v>
      </c>
    </row>
    <row r="864" spans="1:7" x14ac:dyDescent="0.35">
      <c r="A864">
        <v>1784</v>
      </c>
      <c r="B864">
        <f t="shared" si="65"/>
        <v>445.64793617759278</v>
      </c>
      <c r="C864">
        <f t="shared" si="66"/>
        <v>198602.0830193478</v>
      </c>
      <c r="D864">
        <v>74651</v>
      </c>
      <c r="E864">
        <f t="shared" si="67"/>
        <v>7.4650999999999996</v>
      </c>
      <c r="F864">
        <f t="shared" si="68"/>
        <v>4.0852440166493267</v>
      </c>
      <c r="G864">
        <f t="shared" si="69"/>
        <v>16.689218675569123</v>
      </c>
    </row>
    <row r="865" spans="1:7" x14ac:dyDescent="0.35">
      <c r="A865">
        <v>1784</v>
      </c>
      <c r="B865">
        <f t="shared" si="65"/>
        <v>445.64793617759278</v>
      </c>
      <c r="C865">
        <f t="shared" si="66"/>
        <v>198602.0830193478</v>
      </c>
      <c r="D865">
        <v>79373</v>
      </c>
      <c r="E865">
        <f t="shared" si="67"/>
        <v>7.9372999999999996</v>
      </c>
      <c r="F865">
        <f t="shared" si="68"/>
        <v>4.5574440166493275</v>
      </c>
      <c r="G865">
        <f t="shared" si="69"/>
        <v>20.770295964892757</v>
      </c>
    </row>
    <row r="866" spans="1:7" x14ac:dyDescent="0.35">
      <c r="A866">
        <v>1784</v>
      </c>
      <c r="B866">
        <f t="shared" si="65"/>
        <v>445.64793617759278</v>
      </c>
      <c r="C866">
        <f t="shared" si="66"/>
        <v>198602.0830193478</v>
      </c>
      <c r="D866">
        <v>69016</v>
      </c>
      <c r="E866">
        <f t="shared" si="67"/>
        <v>6.9016000000000002</v>
      </c>
      <c r="F866">
        <f t="shared" si="68"/>
        <v>3.5217440166493277</v>
      </c>
      <c r="G866">
        <f t="shared" si="69"/>
        <v>12.40268091880534</v>
      </c>
    </row>
    <row r="867" spans="1:7" x14ac:dyDescent="0.35">
      <c r="A867">
        <v>1784</v>
      </c>
      <c r="B867">
        <f t="shared" si="65"/>
        <v>445.64793617759278</v>
      </c>
      <c r="C867">
        <f t="shared" si="66"/>
        <v>198602.0830193478</v>
      </c>
      <c r="D867">
        <v>70136</v>
      </c>
      <c r="E867">
        <f t="shared" si="67"/>
        <v>7.0136000000000003</v>
      </c>
      <c r="F867">
        <f t="shared" si="68"/>
        <v>3.6337440166493278</v>
      </c>
      <c r="G867">
        <f t="shared" si="69"/>
        <v>13.20409557853479</v>
      </c>
    </row>
    <row r="868" spans="1:7" x14ac:dyDescent="0.35">
      <c r="A868">
        <v>1784</v>
      </c>
      <c r="B868">
        <f t="shared" si="65"/>
        <v>445.64793617759278</v>
      </c>
      <c r="C868">
        <f t="shared" si="66"/>
        <v>198602.0830193478</v>
      </c>
      <c r="D868">
        <v>54783</v>
      </c>
      <c r="E868">
        <f t="shared" si="67"/>
        <v>5.4782999999999999</v>
      </c>
      <c r="F868">
        <f t="shared" si="68"/>
        <v>2.0984440166493274</v>
      </c>
      <c r="G868">
        <f t="shared" si="69"/>
        <v>4.4034672910113626</v>
      </c>
    </row>
    <row r="869" spans="1:7" x14ac:dyDescent="0.35">
      <c r="A869">
        <v>1784</v>
      </c>
      <c r="B869">
        <f t="shared" si="65"/>
        <v>445.64793617759278</v>
      </c>
      <c r="C869">
        <f t="shared" si="66"/>
        <v>198602.0830193478</v>
      </c>
      <c r="D869">
        <v>63968</v>
      </c>
      <c r="E869">
        <f t="shared" si="67"/>
        <v>6.3967999999999998</v>
      </c>
      <c r="F869">
        <f t="shared" si="68"/>
        <v>3.0169440166493273</v>
      </c>
      <c r="G869">
        <f t="shared" si="69"/>
        <v>9.1019511995961775</v>
      </c>
    </row>
    <row r="870" spans="1:7" x14ac:dyDescent="0.35">
      <c r="A870">
        <v>1784</v>
      </c>
      <c r="B870">
        <f t="shared" si="65"/>
        <v>445.64793617759278</v>
      </c>
      <c r="C870">
        <f t="shared" si="66"/>
        <v>198602.0830193478</v>
      </c>
      <c r="D870">
        <v>61615</v>
      </c>
      <c r="E870">
        <f t="shared" si="67"/>
        <v>6.1615000000000002</v>
      </c>
      <c r="F870">
        <f t="shared" si="68"/>
        <v>2.7816440166493277</v>
      </c>
      <c r="G870">
        <f t="shared" si="69"/>
        <v>7.7375434353610055</v>
      </c>
    </row>
    <row r="871" spans="1:7" x14ac:dyDescent="0.35">
      <c r="A871">
        <v>1784</v>
      </c>
      <c r="B871">
        <f t="shared" si="65"/>
        <v>445.64793617759278</v>
      </c>
      <c r="C871">
        <f t="shared" si="66"/>
        <v>198602.0830193478</v>
      </c>
      <c r="D871">
        <v>58935</v>
      </c>
      <c r="E871">
        <f t="shared" si="67"/>
        <v>5.8935000000000004</v>
      </c>
      <c r="F871">
        <f t="shared" si="68"/>
        <v>2.5136440166493279</v>
      </c>
      <c r="G871">
        <f t="shared" si="69"/>
        <v>6.3184062424369669</v>
      </c>
    </row>
    <row r="872" spans="1:7" x14ac:dyDescent="0.35">
      <c r="A872">
        <v>1784</v>
      </c>
      <c r="B872">
        <f t="shared" si="65"/>
        <v>445.64793617759278</v>
      </c>
      <c r="C872">
        <f t="shared" si="66"/>
        <v>198602.0830193478</v>
      </c>
      <c r="D872">
        <v>63986</v>
      </c>
      <c r="E872">
        <f t="shared" si="67"/>
        <v>6.3986000000000001</v>
      </c>
      <c r="F872">
        <f t="shared" si="68"/>
        <v>3.0187440166493276</v>
      </c>
      <c r="G872">
        <f t="shared" si="69"/>
        <v>9.1128154380561153</v>
      </c>
    </row>
    <row r="873" spans="1:7" x14ac:dyDescent="0.35">
      <c r="A873">
        <v>1784</v>
      </c>
      <c r="B873">
        <f t="shared" si="65"/>
        <v>445.64793617759278</v>
      </c>
      <c r="C873">
        <f t="shared" si="66"/>
        <v>198602.0830193478</v>
      </c>
      <c r="D873">
        <v>69302</v>
      </c>
      <c r="E873">
        <f t="shared" si="67"/>
        <v>6.9302000000000001</v>
      </c>
      <c r="F873">
        <f t="shared" si="68"/>
        <v>3.5503440166493276</v>
      </c>
      <c r="G873">
        <f t="shared" si="69"/>
        <v>12.604942636557681</v>
      </c>
    </row>
    <row r="874" spans="1:7" x14ac:dyDescent="0.35">
      <c r="A874">
        <v>848</v>
      </c>
      <c r="B874">
        <f t="shared" si="65"/>
        <v>-490.35206382240722</v>
      </c>
      <c r="C874">
        <f t="shared" si="66"/>
        <v>240445.14649489411</v>
      </c>
      <c r="D874">
        <v>18519</v>
      </c>
      <c r="E874">
        <f t="shared" si="67"/>
        <v>1.8519000000000001</v>
      </c>
      <c r="F874">
        <f t="shared" si="68"/>
        <v>-1.5279559833506724</v>
      </c>
      <c r="G874">
        <f t="shared" si="69"/>
        <v>2.3346494870571202</v>
      </c>
    </row>
    <row r="875" spans="1:7" x14ac:dyDescent="0.35">
      <c r="A875">
        <v>848</v>
      </c>
      <c r="B875">
        <f t="shared" si="65"/>
        <v>-490.35206382240722</v>
      </c>
      <c r="C875">
        <f t="shared" si="66"/>
        <v>240445.14649489411</v>
      </c>
      <c r="D875">
        <v>18275</v>
      </c>
      <c r="E875">
        <f t="shared" si="67"/>
        <v>1.8274999999999999</v>
      </c>
      <c r="F875">
        <f t="shared" si="68"/>
        <v>-1.5523559833506726</v>
      </c>
      <c r="G875">
        <f t="shared" si="69"/>
        <v>2.4098090990446339</v>
      </c>
    </row>
    <row r="876" spans="1:7" x14ac:dyDescent="0.35">
      <c r="A876">
        <v>848</v>
      </c>
      <c r="B876">
        <f t="shared" si="65"/>
        <v>-490.35206382240722</v>
      </c>
      <c r="C876">
        <f t="shared" si="66"/>
        <v>240445.14649489411</v>
      </c>
      <c r="D876">
        <v>18644</v>
      </c>
      <c r="E876">
        <f t="shared" si="67"/>
        <v>1.8644000000000001</v>
      </c>
      <c r="F876">
        <f t="shared" si="68"/>
        <v>-1.5154559833506724</v>
      </c>
      <c r="G876">
        <f t="shared" si="69"/>
        <v>2.2966068374733535</v>
      </c>
    </row>
    <row r="877" spans="1:7" x14ac:dyDescent="0.35">
      <c r="A877">
        <v>848</v>
      </c>
      <c r="B877">
        <f t="shared" si="65"/>
        <v>-490.35206382240722</v>
      </c>
      <c r="C877">
        <f t="shared" si="66"/>
        <v>240445.14649489411</v>
      </c>
      <c r="D877">
        <v>18372</v>
      </c>
      <c r="E877">
        <f t="shared" si="67"/>
        <v>1.8371999999999999</v>
      </c>
      <c r="F877">
        <f t="shared" si="68"/>
        <v>-1.5426559833506726</v>
      </c>
      <c r="G877">
        <f t="shared" si="69"/>
        <v>2.3797874829676307</v>
      </c>
    </row>
    <row r="878" spans="1:7" x14ac:dyDescent="0.35">
      <c r="A878">
        <v>848</v>
      </c>
      <c r="B878">
        <f t="shared" si="65"/>
        <v>-490.35206382240722</v>
      </c>
      <c r="C878">
        <f t="shared" si="66"/>
        <v>240445.14649489411</v>
      </c>
      <c r="D878">
        <v>18462</v>
      </c>
      <c r="E878">
        <f t="shared" si="67"/>
        <v>1.8462000000000001</v>
      </c>
      <c r="F878">
        <f t="shared" si="68"/>
        <v>-1.5336559833506724</v>
      </c>
      <c r="G878">
        <f t="shared" si="69"/>
        <v>2.3521006752673181</v>
      </c>
    </row>
    <row r="879" spans="1:7" x14ac:dyDescent="0.35">
      <c r="A879">
        <v>848</v>
      </c>
      <c r="B879">
        <f t="shared" si="65"/>
        <v>-490.35206382240722</v>
      </c>
      <c r="C879">
        <f t="shared" si="66"/>
        <v>240445.14649489411</v>
      </c>
      <c r="D879">
        <v>18571</v>
      </c>
      <c r="E879">
        <f t="shared" si="67"/>
        <v>1.8571</v>
      </c>
      <c r="F879">
        <f t="shared" si="68"/>
        <v>-1.5227559833506725</v>
      </c>
      <c r="G879">
        <f t="shared" si="69"/>
        <v>2.3187857848302738</v>
      </c>
    </row>
    <row r="880" spans="1:7" x14ac:dyDescent="0.35">
      <c r="A880">
        <v>848</v>
      </c>
      <c r="B880">
        <f t="shared" si="65"/>
        <v>-490.35206382240722</v>
      </c>
      <c r="C880">
        <f t="shared" si="66"/>
        <v>240445.14649489411</v>
      </c>
      <c r="D880">
        <v>18667</v>
      </c>
      <c r="E880">
        <f t="shared" si="67"/>
        <v>1.8667</v>
      </c>
      <c r="F880">
        <f t="shared" si="68"/>
        <v>-1.5131559833506725</v>
      </c>
      <c r="G880">
        <f t="shared" si="69"/>
        <v>2.2896410299499408</v>
      </c>
    </row>
    <row r="881" spans="1:7" x14ac:dyDescent="0.35">
      <c r="A881">
        <v>848</v>
      </c>
      <c r="B881">
        <f t="shared" si="65"/>
        <v>-490.35206382240722</v>
      </c>
      <c r="C881">
        <f t="shared" si="66"/>
        <v>240445.14649489411</v>
      </c>
      <c r="D881">
        <v>18293</v>
      </c>
      <c r="E881">
        <f t="shared" si="67"/>
        <v>1.8292999999999999</v>
      </c>
      <c r="F881">
        <f t="shared" si="68"/>
        <v>-1.5505559833506726</v>
      </c>
      <c r="G881">
        <f t="shared" si="69"/>
        <v>2.4042238575045713</v>
      </c>
    </row>
    <row r="882" spans="1:7" x14ac:dyDescent="0.35">
      <c r="A882">
        <v>848</v>
      </c>
      <c r="B882">
        <f t="shared" si="65"/>
        <v>-490.35206382240722</v>
      </c>
      <c r="C882">
        <f t="shared" si="66"/>
        <v>240445.14649489411</v>
      </c>
      <c r="D882">
        <v>18427</v>
      </c>
      <c r="E882">
        <f t="shared" si="67"/>
        <v>1.8427</v>
      </c>
      <c r="F882">
        <f t="shared" si="68"/>
        <v>-1.5371559833506725</v>
      </c>
      <c r="G882">
        <f t="shared" si="69"/>
        <v>2.3628485171507729</v>
      </c>
    </row>
    <row r="883" spans="1:7" x14ac:dyDescent="0.35">
      <c r="A883">
        <v>848</v>
      </c>
      <c r="B883">
        <f t="shared" si="65"/>
        <v>-490.35206382240722</v>
      </c>
      <c r="C883">
        <f t="shared" si="66"/>
        <v>240445.14649489411</v>
      </c>
      <c r="D883">
        <v>20016</v>
      </c>
      <c r="E883">
        <f t="shared" si="67"/>
        <v>2.0015999999999998</v>
      </c>
      <c r="F883">
        <f t="shared" si="68"/>
        <v>-1.3782559833506727</v>
      </c>
      <c r="G883">
        <f t="shared" si="69"/>
        <v>1.8995895556419298</v>
      </c>
    </row>
    <row r="884" spans="1:7" x14ac:dyDescent="0.35">
      <c r="A884">
        <v>848</v>
      </c>
      <c r="B884">
        <f t="shared" si="65"/>
        <v>-490.35206382240722</v>
      </c>
      <c r="C884">
        <f t="shared" si="66"/>
        <v>240445.14649489411</v>
      </c>
      <c r="D884">
        <v>18462</v>
      </c>
      <c r="E884">
        <f t="shared" si="67"/>
        <v>1.8462000000000001</v>
      </c>
      <c r="F884">
        <f t="shared" si="68"/>
        <v>-1.5336559833506724</v>
      </c>
      <c r="G884">
        <f t="shared" si="69"/>
        <v>2.3521006752673181</v>
      </c>
    </row>
    <row r="885" spans="1:7" x14ac:dyDescent="0.35">
      <c r="A885">
        <v>848</v>
      </c>
      <c r="B885">
        <f t="shared" si="65"/>
        <v>-490.35206382240722</v>
      </c>
      <c r="C885">
        <f t="shared" si="66"/>
        <v>240445.14649489411</v>
      </c>
      <c r="D885">
        <v>18016</v>
      </c>
      <c r="E885">
        <f t="shared" si="67"/>
        <v>1.8016000000000001</v>
      </c>
      <c r="F885">
        <f t="shared" si="68"/>
        <v>-1.5782559833506724</v>
      </c>
      <c r="G885">
        <f t="shared" si="69"/>
        <v>2.4908919489821981</v>
      </c>
    </row>
    <row r="886" spans="1:7" x14ac:dyDescent="0.35">
      <c r="A886">
        <v>848</v>
      </c>
      <c r="B886">
        <f t="shared" si="65"/>
        <v>-490.35206382240722</v>
      </c>
      <c r="C886">
        <f t="shared" si="66"/>
        <v>240445.14649489411</v>
      </c>
      <c r="D886">
        <v>17511</v>
      </c>
      <c r="E886">
        <f t="shared" si="67"/>
        <v>1.7511000000000001</v>
      </c>
      <c r="F886">
        <f t="shared" si="68"/>
        <v>-1.6287559833506724</v>
      </c>
      <c r="G886">
        <f t="shared" si="69"/>
        <v>2.6528460533006157</v>
      </c>
    </row>
    <row r="887" spans="1:7" x14ac:dyDescent="0.35">
      <c r="A887">
        <v>848</v>
      </c>
      <c r="B887">
        <f t="shared" si="65"/>
        <v>-490.35206382240722</v>
      </c>
      <c r="C887">
        <f t="shared" si="66"/>
        <v>240445.14649489411</v>
      </c>
      <c r="D887">
        <v>18433</v>
      </c>
      <c r="E887">
        <f t="shared" si="67"/>
        <v>1.8432999999999999</v>
      </c>
      <c r="F887">
        <f t="shared" si="68"/>
        <v>-1.5365559833506726</v>
      </c>
      <c r="G887">
        <f t="shared" si="69"/>
        <v>2.3610042899707522</v>
      </c>
    </row>
    <row r="888" spans="1:7" x14ac:dyDescent="0.35">
      <c r="A888">
        <v>848</v>
      </c>
      <c r="B888">
        <f t="shared" si="65"/>
        <v>-490.35206382240722</v>
      </c>
      <c r="C888">
        <f t="shared" si="66"/>
        <v>240445.14649489411</v>
      </c>
      <c r="D888">
        <v>20629</v>
      </c>
      <c r="E888">
        <f t="shared" si="67"/>
        <v>2.0629</v>
      </c>
      <c r="F888">
        <f t="shared" si="68"/>
        <v>-1.3169559833506725</v>
      </c>
      <c r="G888">
        <f t="shared" si="69"/>
        <v>1.7343730620831368</v>
      </c>
    </row>
    <row r="889" spans="1:7" x14ac:dyDescent="0.35">
      <c r="A889">
        <v>848</v>
      </c>
      <c r="B889">
        <f t="shared" si="65"/>
        <v>-490.35206382240722</v>
      </c>
      <c r="C889">
        <f t="shared" si="66"/>
        <v>240445.14649489411</v>
      </c>
      <c r="D889">
        <v>21602</v>
      </c>
      <c r="E889">
        <f t="shared" si="67"/>
        <v>2.1602000000000001</v>
      </c>
      <c r="F889">
        <f t="shared" si="68"/>
        <v>-1.2196559833506724</v>
      </c>
      <c r="G889">
        <f t="shared" si="69"/>
        <v>1.4875607177230956</v>
      </c>
    </row>
    <row r="890" spans="1:7" x14ac:dyDescent="0.35">
      <c r="A890">
        <v>848</v>
      </c>
      <c r="B890">
        <f t="shared" si="65"/>
        <v>-490.35206382240722</v>
      </c>
      <c r="C890">
        <f t="shared" si="66"/>
        <v>240445.14649489411</v>
      </c>
      <c r="D890">
        <v>30273</v>
      </c>
      <c r="E890">
        <f t="shared" si="67"/>
        <v>3.0272999999999999</v>
      </c>
      <c r="F890">
        <f t="shared" si="68"/>
        <v>-0.35255598335067262</v>
      </c>
      <c r="G890">
        <f t="shared" si="69"/>
        <v>0.12429572139635975</v>
      </c>
    </row>
    <row r="891" spans="1:7" x14ac:dyDescent="0.35">
      <c r="A891">
        <v>848</v>
      </c>
      <c r="B891">
        <f t="shared" si="65"/>
        <v>-490.35206382240722</v>
      </c>
      <c r="C891">
        <f t="shared" si="66"/>
        <v>240445.14649489411</v>
      </c>
      <c r="D891">
        <v>28914</v>
      </c>
      <c r="E891">
        <f t="shared" si="67"/>
        <v>2.8914</v>
      </c>
      <c r="F891">
        <f t="shared" si="68"/>
        <v>-0.48845598335067253</v>
      </c>
      <c r="G891">
        <f t="shared" si="69"/>
        <v>0.23858924767107248</v>
      </c>
    </row>
    <row r="892" spans="1:7" x14ac:dyDescent="0.35">
      <c r="A892">
        <v>848</v>
      </c>
      <c r="B892">
        <f t="shared" si="65"/>
        <v>-490.35206382240722</v>
      </c>
      <c r="C892">
        <f t="shared" si="66"/>
        <v>240445.14649489411</v>
      </c>
      <c r="D892">
        <v>28950</v>
      </c>
      <c r="E892">
        <f t="shared" si="67"/>
        <v>2.895</v>
      </c>
      <c r="F892">
        <f t="shared" si="68"/>
        <v>-0.48485598335067248</v>
      </c>
      <c r="G892">
        <f t="shared" si="69"/>
        <v>0.23508532459094758</v>
      </c>
    </row>
    <row r="893" spans="1:7" x14ac:dyDescent="0.35">
      <c r="A893">
        <v>848</v>
      </c>
      <c r="B893">
        <f t="shared" si="65"/>
        <v>-490.35206382240722</v>
      </c>
      <c r="C893">
        <f t="shared" si="66"/>
        <v>240445.14649489411</v>
      </c>
      <c r="D893">
        <v>27310</v>
      </c>
      <c r="E893">
        <f t="shared" si="67"/>
        <v>2.7309999999999999</v>
      </c>
      <c r="F893">
        <f t="shared" si="68"/>
        <v>-0.64885598335067263</v>
      </c>
      <c r="G893">
        <f t="shared" si="69"/>
        <v>0.42101408712996835</v>
      </c>
    </row>
    <row r="894" spans="1:7" x14ac:dyDescent="0.35">
      <c r="A894">
        <v>848</v>
      </c>
      <c r="B894">
        <f t="shared" si="65"/>
        <v>-490.35206382240722</v>
      </c>
      <c r="C894">
        <f t="shared" si="66"/>
        <v>240445.14649489411</v>
      </c>
      <c r="D894">
        <v>28148</v>
      </c>
      <c r="E894">
        <f t="shared" si="67"/>
        <v>2.8148</v>
      </c>
      <c r="F894">
        <f t="shared" si="68"/>
        <v>-0.56505598335067253</v>
      </c>
      <c r="G894">
        <f t="shared" si="69"/>
        <v>0.31928826432039553</v>
      </c>
    </row>
    <row r="895" spans="1:7" x14ac:dyDescent="0.35">
      <c r="A895">
        <v>848</v>
      </c>
      <c r="B895">
        <f t="shared" si="65"/>
        <v>-490.35206382240722</v>
      </c>
      <c r="C895">
        <f t="shared" si="66"/>
        <v>240445.14649489411</v>
      </c>
      <c r="D895">
        <v>30752</v>
      </c>
      <c r="E895">
        <f t="shared" si="67"/>
        <v>3.0752000000000002</v>
      </c>
      <c r="F895">
        <f t="shared" si="68"/>
        <v>-0.30465598335067234</v>
      </c>
      <c r="G895">
        <f t="shared" si="69"/>
        <v>9.2815268191365138E-2</v>
      </c>
    </row>
    <row r="896" spans="1:7" x14ac:dyDescent="0.35">
      <c r="A896">
        <v>848</v>
      </c>
      <c r="B896">
        <f t="shared" si="65"/>
        <v>-490.35206382240722</v>
      </c>
      <c r="C896">
        <f t="shared" si="66"/>
        <v>240445.14649489411</v>
      </c>
      <c r="D896">
        <v>28089</v>
      </c>
      <c r="E896">
        <f t="shared" si="67"/>
        <v>2.8089</v>
      </c>
      <c r="F896">
        <f t="shared" si="68"/>
        <v>-0.57095598335067255</v>
      </c>
      <c r="G896">
        <f t="shared" si="69"/>
        <v>0.32599073492393349</v>
      </c>
    </row>
    <row r="897" spans="1:7" x14ac:dyDescent="0.35">
      <c r="A897">
        <v>2592</v>
      </c>
      <c r="B897">
        <f t="shared" si="65"/>
        <v>1253.6479361775928</v>
      </c>
      <c r="C897">
        <f t="shared" si="66"/>
        <v>1571633.1478823377</v>
      </c>
      <c r="D897">
        <v>23663</v>
      </c>
      <c r="E897">
        <f t="shared" si="67"/>
        <v>2.3662999999999998</v>
      </c>
      <c r="F897">
        <f t="shared" si="68"/>
        <v>-1.0135559833506727</v>
      </c>
      <c r="G897">
        <f t="shared" si="69"/>
        <v>1.027295731385949</v>
      </c>
    </row>
    <row r="898" spans="1:7" x14ac:dyDescent="0.35">
      <c r="A898">
        <v>2592</v>
      </c>
      <c r="B898">
        <f t="shared" si="65"/>
        <v>1253.6479361775928</v>
      </c>
      <c r="C898">
        <f t="shared" si="66"/>
        <v>1571633.1478823377</v>
      </c>
      <c r="D898">
        <v>21215</v>
      </c>
      <c r="E898">
        <f t="shared" si="67"/>
        <v>2.1215000000000002</v>
      </c>
      <c r="F898">
        <f t="shared" si="68"/>
        <v>-1.2583559833506723</v>
      </c>
      <c r="G898">
        <f t="shared" si="69"/>
        <v>1.5834597808344375</v>
      </c>
    </row>
    <row r="899" spans="1:7" x14ac:dyDescent="0.35">
      <c r="A899">
        <v>2592</v>
      </c>
      <c r="B899">
        <f t="shared" ref="B899:B962" si="70">A899-$J$1</f>
        <v>1253.6479361775928</v>
      </c>
      <c r="C899">
        <f t="shared" ref="C899:C962" si="71">B899^2</f>
        <v>1571633.1478823377</v>
      </c>
      <c r="D899">
        <v>19201</v>
      </c>
      <c r="E899">
        <f t="shared" ref="E899:E962" si="72">D899/10000</f>
        <v>1.9200999999999999</v>
      </c>
      <c r="F899">
        <f t="shared" ref="F899:F962" si="73">E899-$J$2</f>
        <v>-1.4597559833506726</v>
      </c>
      <c r="G899">
        <f t="shared" ref="G899:G962" si="74">F899^2</f>
        <v>2.130887530928089</v>
      </c>
    </row>
    <row r="900" spans="1:7" x14ac:dyDescent="0.35">
      <c r="A900">
        <v>2592</v>
      </c>
      <c r="B900">
        <f t="shared" si="70"/>
        <v>1253.6479361775928</v>
      </c>
      <c r="C900">
        <f t="shared" si="71"/>
        <v>1571633.1478823377</v>
      </c>
      <c r="D900">
        <v>24209</v>
      </c>
      <c r="E900">
        <f t="shared" si="72"/>
        <v>2.4209000000000001</v>
      </c>
      <c r="F900">
        <f t="shared" si="73"/>
        <v>-0.95895598335067245</v>
      </c>
      <c r="G900">
        <f t="shared" si="74"/>
        <v>0.91959657800405514</v>
      </c>
    </row>
    <row r="901" spans="1:7" x14ac:dyDescent="0.35">
      <c r="A901">
        <v>2592</v>
      </c>
      <c r="B901">
        <f t="shared" si="70"/>
        <v>1253.6479361775928</v>
      </c>
      <c r="C901">
        <f t="shared" si="71"/>
        <v>1571633.1478823377</v>
      </c>
      <c r="D901">
        <v>21860</v>
      </c>
      <c r="E901">
        <f t="shared" si="72"/>
        <v>2.1859999999999999</v>
      </c>
      <c r="F901">
        <f t="shared" si="73"/>
        <v>-1.1938559833506726</v>
      </c>
      <c r="G901">
        <f t="shared" si="74"/>
        <v>1.4252921089822013</v>
      </c>
    </row>
    <row r="902" spans="1:7" x14ac:dyDescent="0.35">
      <c r="A902">
        <v>2592</v>
      </c>
      <c r="B902">
        <f t="shared" si="70"/>
        <v>1253.6479361775928</v>
      </c>
      <c r="C902">
        <f t="shared" si="71"/>
        <v>1571633.1478823377</v>
      </c>
      <c r="D902">
        <v>23537</v>
      </c>
      <c r="E902">
        <f t="shared" si="72"/>
        <v>2.3536999999999999</v>
      </c>
      <c r="F902">
        <f t="shared" si="73"/>
        <v>-1.0261559833506726</v>
      </c>
      <c r="G902">
        <f t="shared" si="74"/>
        <v>1.0529961021663858</v>
      </c>
    </row>
    <row r="903" spans="1:7" x14ac:dyDescent="0.35">
      <c r="A903">
        <v>2592</v>
      </c>
      <c r="B903">
        <f t="shared" si="70"/>
        <v>1253.6479361775928</v>
      </c>
      <c r="C903">
        <f t="shared" si="71"/>
        <v>1571633.1478823377</v>
      </c>
      <c r="D903">
        <v>21530</v>
      </c>
      <c r="E903">
        <f t="shared" si="72"/>
        <v>2.153</v>
      </c>
      <c r="F903">
        <f t="shared" si="73"/>
        <v>-1.2268559833506725</v>
      </c>
      <c r="G903">
        <f t="shared" si="74"/>
        <v>1.5051756038833455</v>
      </c>
    </row>
    <row r="904" spans="1:7" x14ac:dyDescent="0.35">
      <c r="A904">
        <v>2592</v>
      </c>
      <c r="B904">
        <f t="shared" si="70"/>
        <v>1253.6479361775928</v>
      </c>
      <c r="C904">
        <f t="shared" si="71"/>
        <v>1571633.1478823377</v>
      </c>
      <c r="D904">
        <v>23559</v>
      </c>
      <c r="E904">
        <f t="shared" si="72"/>
        <v>2.3559000000000001</v>
      </c>
      <c r="F904">
        <f t="shared" si="73"/>
        <v>-1.0239559833506724</v>
      </c>
      <c r="G904">
        <f t="shared" si="74"/>
        <v>1.0484858558396424</v>
      </c>
    </row>
    <row r="905" spans="1:7" x14ac:dyDescent="0.35">
      <c r="A905">
        <v>2592</v>
      </c>
      <c r="B905">
        <f t="shared" si="70"/>
        <v>1253.6479361775928</v>
      </c>
      <c r="C905">
        <f t="shared" si="71"/>
        <v>1571633.1478823377</v>
      </c>
      <c r="D905">
        <v>22910</v>
      </c>
      <c r="E905">
        <f t="shared" si="72"/>
        <v>2.2909999999999999</v>
      </c>
      <c r="F905">
        <f t="shared" si="73"/>
        <v>-1.0888559833506726</v>
      </c>
      <c r="G905">
        <f t="shared" si="74"/>
        <v>1.1856073524785602</v>
      </c>
    </row>
    <row r="906" spans="1:7" x14ac:dyDescent="0.35">
      <c r="A906">
        <v>2592</v>
      </c>
      <c r="B906">
        <f t="shared" si="70"/>
        <v>1253.6479361775928</v>
      </c>
      <c r="C906">
        <f t="shared" si="71"/>
        <v>1571633.1478823377</v>
      </c>
      <c r="D906">
        <v>26559</v>
      </c>
      <c r="E906">
        <f t="shared" si="72"/>
        <v>2.6558999999999999</v>
      </c>
      <c r="F906">
        <f t="shared" si="73"/>
        <v>-0.72395598335067257</v>
      </c>
      <c r="G906">
        <f t="shared" si="74"/>
        <v>0.52411226582923931</v>
      </c>
    </row>
    <row r="907" spans="1:7" x14ac:dyDescent="0.35">
      <c r="A907">
        <v>2592</v>
      </c>
      <c r="B907">
        <f t="shared" si="70"/>
        <v>1253.6479361775928</v>
      </c>
      <c r="C907">
        <f t="shared" si="71"/>
        <v>1571633.1478823377</v>
      </c>
      <c r="D907">
        <v>20652</v>
      </c>
      <c r="E907">
        <f t="shared" si="72"/>
        <v>2.0651999999999999</v>
      </c>
      <c r="F907">
        <f t="shared" si="73"/>
        <v>-1.3146559833506726</v>
      </c>
      <c r="G907">
        <f t="shared" si="74"/>
        <v>1.7283203545597239</v>
      </c>
    </row>
    <row r="908" spans="1:7" x14ac:dyDescent="0.35">
      <c r="A908">
        <v>2592</v>
      </c>
      <c r="B908">
        <f t="shared" si="70"/>
        <v>1253.6479361775928</v>
      </c>
      <c r="C908">
        <f t="shared" si="71"/>
        <v>1571633.1478823377</v>
      </c>
      <c r="D908">
        <v>21731</v>
      </c>
      <c r="E908">
        <f t="shared" si="72"/>
        <v>2.1730999999999998</v>
      </c>
      <c r="F908">
        <f t="shared" si="73"/>
        <v>-1.2067559833506727</v>
      </c>
      <c r="G908">
        <f t="shared" si="74"/>
        <v>1.4562600033526489</v>
      </c>
    </row>
    <row r="909" spans="1:7" x14ac:dyDescent="0.35">
      <c r="A909">
        <v>2592</v>
      </c>
      <c r="B909">
        <f t="shared" si="70"/>
        <v>1253.6479361775928</v>
      </c>
      <c r="C909">
        <f t="shared" si="71"/>
        <v>1571633.1478823377</v>
      </c>
      <c r="D909">
        <v>6365</v>
      </c>
      <c r="E909">
        <f t="shared" si="72"/>
        <v>0.63649999999999995</v>
      </c>
      <c r="F909">
        <f t="shared" si="73"/>
        <v>-2.7433559833506727</v>
      </c>
      <c r="G909">
        <f t="shared" si="74"/>
        <v>7.5260020513859365</v>
      </c>
    </row>
    <row r="910" spans="1:7" x14ac:dyDescent="0.35">
      <c r="A910">
        <v>2592</v>
      </c>
      <c r="B910">
        <f t="shared" si="70"/>
        <v>1253.6479361775928</v>
      </c>
      <c r="C910">
        <f t="shared" si="71"/>
        <v>1571633.1478823377</v>
      </c>
      <c r="D910">
        <v>27633</v>
      </c>
      <c r="E910">
        <f t="shared" si="72"/>
        <v>2.7633000000000001</v>
      </c>
      <c r="F910">
        <f t="shared" si="73"/>
        <v>-0.61655598335067241</v>
      </c>
      <c r="G910">
        <f t="shared" si="74"/>
        <v>0.38014128060551461</v>
      </c>
    </row>
    <row r="911" spans="1:7" x14ac:dyDescent="0.35">
      <c r="A911">
        <v>2592</v>
      </c>
      <c r="B911">
        <f t="shared" si="70"/>
        <v>1253.6479361775928</v>
      </c>
      <c r="C911">
        <f t="shared" si="71"/>
        <v>1571633.1478823377</v>
      </c>
      <c r="D911">
        <v>24976</v>
      </c>
      <c r="E911">
        <f t="shared" si="72"/>
        <v>2.4975999999999998</v>
      </c>
      <c r="F911">
        <f t="shared" si="73"/>
        <v>-0.88225598335067268</v>
      </c>
      <c r="G911">
        <f t="shared" si="74"/>
        <v>0.77837562015806239</v>
      </c>
    </row>
    <row r="912" spans="1:7" x14ac:dyDescent="0.35">
      <c r="A912">
        <v>2592</v>
      </c>
      <c r="B912">
        <f t="shared" si="70"/>
        <v>1253.6479361775928</v>
      </c>
      <c r="C912">
        <f t="shared" si="71"/>
        <v>1571633.1478823377</v>
      </c>
      <c r="D912">
        <v>24353</v>
      </c>
      <c r="E912">
        <f t="shared" si="72"/>
        <v>2.4352999999999998</v>
      </c>
      <c r="F912">
        <f t="shared" si="73"/>
        <v>-0.9445559833506727</v>
      </c>
      <c r="G912">
        <f t="shared" si="74"/>
        <v>0.89218600568355633</v>
      </c>
    </row>
    <row r="913" spans="1:7" x14ac:dyDescent="0.35">
      <c r="A913">
        <v>2592</v>
      </c>
      <c r="B913">
        <f t="shared" si="70"/>
        <v>1253.6479361775928</v>
      </c>
      <c r="C913">
        <f t="shared" si="71"/>
        <v>1571633.1478823377</v>
      </c>
      <c r="D913">
        <v>24249</v>
      </c>
      <c r="E913">
        <f t="shared" si="72"/>
        <v>2.4249000000000001</v>
      </c>
      <c r="F913">
        <f t="shared" si="73"/>
        <v>-0.95495598335067244</v>
      </c>
      <c r="G913">
        <f t="shared" si="74"/>
        <v>0.91194093013724975</v>
      </c>
    </row>
    <row r="914" spans="1:7" x14ac:dyDescent="0.35">
      <c r="A914">
        <v>2592</v>
      </c>
      <c r="B914">
        <f t="shared" si="70"/>
        <v>1253.6479361775928</v>
      </c>
      <c r="C914">
        <f t="shared" si="71"/>
        <v>1571633.1478823377</v>
      </c>
      <c r="D914">
        <v>23538</v>
      </c>
      <c r="E914">
        <f t="shared" si="72"/>
        <v>2.3538000000000001</v>
      </c>
      <c r="F914">
        <f t="shared" si="73"/>
        <v>-1.0260559833506724</v>
      </c>
      <c r="G914">
        <f t="shared" si="74"/>
        <v>1.0527908809697153</v>
      </c>
    </row>
    <row r="915" spans="1:7" x14ac:dyDescent="0.35">
      <c r="A915">
        <v>2592</v>
      </c>
      <c r="B915">
        <f t="shared" si="70"/>
        <v>1253.6479361775928</v>
      </c>
      <c r="C915">
        <f t="shared" si="71"/>
        <v>1571633.1478823377</v>
      </c>
      <c r="D915">
        <v>23733</v>
      </c>
      <c r="E915">
        <f t="shared" si="72"/>
        <v>2.3733</v>
      </c>
      <c r="F915">
        <f t="shared" si="73"/>
        <v>-1.0065559833506725</v>
      </c>
      <c r="G915">
        <f t="shared" si="74"/>
        <v>1.0131549476190393</v>
      </c>
    </row>
    <row r="916" spans="1:7" x14ac:dyDescent="0.35">
      <c r="A916">
        <v>2592</v>
      </c>
      <c r="B916">
        <f t="shared" si="70"/>
        <v>1253.6479361775928</v>
      </c>
      <c r="C916">
        <f t="shared" si="71"/>
        <v>1571633.1478823377</v>
      </c>
      <c r="D916">
        <v>23149</v>
      </c>
      <c r="E916">
        <f t="shared" si="72"/>
        <v>2.3149000000000002</v>
      </c>
      <c r="F916">
        <f t="shared" si="73"/>
        <v>-1.0649559833506723</v>
      </c>
      <c r="G916">
        <f t="shared" si="74"/>
        <v>1.1341312464743976</v>
      </c>
    </row>
    <row r="917" spans="1:7" x14ac:dyDescent="0.35">
      <c r="A917">
        <v>2592</v>
      </c>
      <c r="B917">
        <f t="shared" si="70"/>
        <v>1253.6479361775928</v>
      </c>
      <c r="C917">
        <f t="shared" si="71"/>
        <v>1571633.1478823377</v>
      </c>
      <c r="D917">
        <v>26735</v>
      </c>
      <c r="E917">
        <f t="shared" si="72"/>
        <v>2.6735000000000002</v>
      </c>
      <c r="F917">
        <f t="shared" si="73"/>
        <v>-0.70635598335067229</v>
      </c>
      <c r="G917">
        <f t="shared" si="74"/>
        <v>0.49893877521529523</v>
      </c>
    </row>
    <row r="918" spans="1:7" x14ac:dyDescent="0.35">
      <c r="A918">
        <v>2592</v>
      </c>
      <c r="B918">
        <f t="shared" si="70"/>
        <v>1253.6479361775928</v>
      </c>
      <c r="C918">
        <f t="shared" si="71"/>
        <v>1571633.1478823377</v>
      </c>
      <c r="D918">
        <v>22838</v>
      </c>
      <c r="E918">
        <f t="shared" si="72"/>
        <v>2.2837999999999998</v>
      </c>
      <c r="F918">
        <f t="shared" si="73"/>
        <v>-1.0960559833506727</v>
      </c>
      <c r="G918">
        <f t="shared" si="74"/>
        <v>1.20133871863881</v>
      </c>
    </row>
    <row r="919" spans="1:7" x14ac:dyDescent="0.35">
      <c r="A919">
        <v>2592</v>
      </c>
      <c r="B919">
        <f t="shared" si="70"/>
        <v>1253.6479361775928</v>
      </c>
      <c r="C919">
        <f t="shared" si="71"/>
        <v>1571633.1478823377</v>
      </c>
      <c r="D919">
        <v>28705</v>
      </c>
      <c r="E919">
        <f t="shared" si="72"/>
        <v>2.8704999999999998</v>
      </c>
      <c r="F919">
        <f t="shared" si="73"/>
        <v>-0.50935598335067267</v>
      </c>
      <c r="G919">
        <f t="shared" si="74"/>
        <v>0.25944351777513075</v>
      </c>
    </row>
    <row r="920" spans="1:7" x14ac:dyDescent="0.35">
      <c r="A920">
        <v>2592</v>
      </c>
      <c r="B920">
        <f t="shared" si="70"/>
        <v>1253.6479361775928</v>
      </c>
      <c r="C920">
        <f t="shared" si="71"/>
        <v>1571633.1478823377</v>
      </c>
      <c r="D920">
        <v>30173</v>
      </c>
      <c r="E920">
        <f t="shared" si="72"/>
        <v>3.0173000000000001</v>
      </c>
      <c r="F920">
        <f t="shared" si="73"/>
        <v>-0.36255598335067241</v>
      </c>
      <c r="G920">
        <f t="shared" si="74"/>
        <v>0.13144684106337304</v>
      </c>
    </row>
    <row r="921" spans="1:7" x14ac:dyDescent="0.35">
      <c r="A921">
        <v>2592</v>
      </c>
      <c r="B921">
        <f t="shared" si="70"/>
        <v>1253.6479361775928</v>
      </c>
      <c r="C921">
        <f t="shared" si="71"/>
        <v>1571633.1478823377</v>
      </c>
      <c r="D921">
        <v>28519</v>
      </c>
      <c r="E921">
        <f t="shared" si="72"/>
        <v>2.8519000000000001</v>
      </c>
      <c r="F921">
        <f t="shared" si="73"/>
        <v>-0.5279559833506724</v>
      </c>
      <c r="G921">
        <f t="shared" si="74"/>
        <v>0.27873752035577548</v>
      </c>
    </row>
    <row r="922" spans="1:7" x14ac:dyDescent="0.35">
      <c r="A922">
        <v>2592</v>
      </c>
      <c r="B922">
        <f t="shared" si="70"/>
        <v>1253.6479361775928</v>
      </c>
      <c r="C922">
        <f t="shared" si="71"/>
        <v>1571633.1478823377</v>
      </c>
      <c r="D922">
        <v>24412</v>
      </c>
      <c r="E922">
        <f t="shared" si="72"/>
        <v>2.4411999999999998</v>
      </c>
      <c r="F922">
        <f t="shared" si="73"/>
        <v>-0.93865598335067268</v>
      </c>
      <c r="G922">
        <f t="shared" si="74"/>
        <v>0.88107505508001827</v>
      </c>
    </row>
    <row r="923" spans="1:7" x14ac:dyDescent="0.35">
      <c r="A923">
        <v>2592</v>
      </c>
      <c r="B923">
        <f t="shared" si="70"/>
        <v>1253.6479361775928</v>
      </c>
      <c r="C923">
        <f t="shared" si="71"/>
        <v>1571633.1478823377</v>
      </c>
      <c r="D923">
        <v>31967</v>
      </c>
      <c r="E923">
        <f t="shared" si="72"/>
        <v>3.1966999999999999</v>
      </c>
      <c r="F923">
        <f t="shared" si="73"/>
        <v>-0.18315598335067262</v>
      </c>
      <c r="G923">
        <f t="shared" si="74"/>
        <v>3.3546114237151869E-2</v>
      </c>
    </row>
    <row r="924" spans="1:7" x14ac:dyDescent="0.35">
      <c r="A924">
        <v>2592</v>
      </c>
      <c r="B924">
        <f t="shared" si="70"/>
        <v>1253.6479361775928</v>
      </c>
      <c r="C924">
        <f t="shared" si="71"/>
        <v>1571633.1478823377</v>
      </c>
      <c r="D924">
        <v>54802</v>
      </c>
      <c r="E924">
        <f t="shared" si="72"/>
        <v>5.4802</v>
      </c>
      <c r="F924">
        <f t="shared" si="73"/>
        <v>2.1003440166493275</v>
      </c>
      <c r="G924">
        <f t="shared" si="74"/>
        <v>4.4114449882746305</v>
      </c>
    </row>
    <row r="925" spans="1:7" x14ac:dyDescent="0.35">
      <c r="A925">
        <v>2592</v>
      </c>
      <c r="B925">
        <f t="shared" si="70"/>
        <v>1253.6479361775928</v>
      </c>
      <c r="C925">
        <f t="shared" si="71"/>
        <v>1571633.1478823377</v>
      </c>
      <c r="D925">
        <v>47345</v>
      </c>
      <c r="E925">
        <f t="shared" si="72"/>
        <v>4.7344999999999997</v>
      </c>
      <c r="F925">
        <f t="shared" si="73"/>
        <v>1.3546440166493272</v>
      </c>
      <c r="G925">
        <f t="shared" si="74"/>
        <v>1.8350604118438227</v>
      </c>
    </row>
    <row r="926" spans="1:7" x14ac:dyDescent="0.35">
      <c r="A926">
        <v>2592</v>
      </c>
      <c r="B926">
        <f t="shared" si="70"/>
        <v>1253.6479361775928</v>
      </c>
      <c r="C926">
        <f t="shared" si="71"/>
        <v>1571633.1478823377</v>
      </c>
      <c r="D926">
        <v>35450</v>
      </c>
      <c r="E926">
        <f t="shared" si="72"/>
        <v>3.5449999999999999</v>
      </c>
      <c r="F926">
        <f t="shared" si="73"/>
        <v>0.16514401664932743</v>
      </c>
      <c r="G926">
        <f t="shared" si="74"/>
        <v>2.7272546235073334E-2</v>
      </c>
    </row>
    <row r="927" spans="1:7" x14ac:dyDescent="0.35">
      <c r="A927">
        <v>867</v>
      </c>
      <c r="B927">
        <f t="shared" si="70"/>
        <v>-471.35206382240722</v>
      </c>
      <c r="C927">
        <f t="shared" si="71"/>
        <v>222172.76806964265</v>
      </c>
      <c r="D927">
        <v>54964</v>
      </c>
      <c r="E927">
        <f t="shared" si="72"/>
        <v>5.4964000000000004</v>
      </c>
      <c r="F927">
        <f t="shared" si="73"/>
        <v>2.1165440166493279</v>
      </c>
      <c r="G927">
        <f t="shared" si="74"/>
        <v>4.4797585744140704</v>
      </c>
    </row>
    <row r="928" spans="1:7" x14ac:dyDescent="0.35">
      <c r="A928">
        <v>867</v>
      </c>
      <c r="B928">
        <f t="shared" si="70"/>
        <v>-471.35206382240722</v>
      </c>
      <c r="C928">
        <f t="shared" si="71"/>
        <v>222172.76806964265</v>
      </c>
      <c r="D928">
        <v>51299</v>
      </c>
      <c r="E928">
        <f t="shared" si="72"/>
        <v>5.1299000000000001</v>
      </c>
      <c r="F928">
        <f t="shared" si="73"/>
        <v>1.7500440166493276</v>
      </c>
      <c r="G928">
        <f t="shared" si="74"/>
        <v>3.0626540602101122</v>
      </c>
    </row>
    <row r="929" spans="1:7" x14ac:dyDescent="0.35">
      <c r="A929">
        <v>867</v>
      </c>
      <c r="B929">
        <f t="shared" si="70"/>
        <v>-471.35206382240722</v>
      </c>
      <c r="C929">
        <f t="shared" si="71"/>
        <v>222172.76806964265</v>
      </c>
      <c r="D929">
        <v>49782</v>
      </c>
      <c r="E929">
        <f t="shared" si="72"/>
        <v>4.9782000000000002</v>
      </c>
      <c r="F929">
        <f t="shared" si="73"/>
        <v>1.5983440166493277</v>
      </c>
      <c r="G929">
        <f t="shared" si="74"/>
        <v>2.5547035955587063</v>
      </c>
    </row>
    <row r="930" spans="1:7" x14ac:dyDescent="0.35">
      <c r="A930">
        <v>867</v>
      </c>
      <c r="B930">
        <f t="shared" si="70"/>
        <v>-471.35206382240722</v>
      </c>
      <c r="C930">
        <f t="shared" si="71"/>
        <v>222172.76806964265</v>
      </c>
      <c r="D930">
        <v>60368</v>
      </c>
      <c r="E930">
        <f t="shared" si="72"/>
        <v>6.0368000000000004</v>
      </c>
      <c r="F930">
        <f t="shared" si="73"/>
        <v>2.6569440166493279</v>
      </c>
      <c r="G930">
        <f t="shared" si="74"/>
        <v>7.0593515076086639</v>
      </c>
    </row>
    <row r="931" spans="1:7" x14ac:dyDescent="0.35">
      <c r="A931">
        <v>867</v>
      </c>
      <c r="B931">
        <f t="shared" si="70"/>
        <v>-471.35206382240722</v>
      </c>
      <c r="C931">
        <f t="shared" si="71"/>
        <v>222172.76806964265</v>
      </c>
      <c r="D931">
        <v>59461</v>
      </c>
      <c r="E931">
        <f t="shared" si="72"/>
        <v>5.9461000000000004</v>
      </c>
      <c r="F931">
        <f t="shared" si="73"/>
        <v>2.5662440166493279</v>
      </c>
      <c r="G931">
        <f t="shared" si="74"/>
        <v>6.5856083529884755</v>
      </c>
    </row>
    <row r="932" spans="1:7" x14ac:dyDescent="0.35">
      <c r="A932">
        <v>867</v>
      </c>
      <c r="B932">
        <f t="shared" si="70"/>
        <v>-471.35206382240722</v>
      </c>
      <c r="C932">
        <f t="shared" si="71"/>
        <v>222172.76806964265</v>
      </c>
      <c r="D932">
        <v>53273</v>
      </c>
      <c r="E932">
        <f t="shared" si="72"/>
        <v>5.3273000000000001</v>
      </c>
      <c r="F932">
        <f t="shared" si="73"/>
        <v>1.9474440166493276</v>
      </c>
      <c r="G932">
        <f t="shared" si="74"/>
        <v>3.7925381979832666</v>
      </c>
    </row>
    <row r="933" spans="1:7" x14ac:dyDescent="0.35">
      <c r="A933">
        <v>867</v>
      </c>
      <c r="B933">
        <f t="shared" si="70"/>
        <v>-471.35206382240722</v>
      </c>
      <c r="C933">
        <f t="shared" si="71"/>
        <v>222172.76806964265</v>
      </c>
      <c r="D933">
        <v>52448</v>
      </c>
      <c r="E933">
        <f t="shared" si="72"/>
        <v>5.2447999999999997</v>
      </c>
      <c r="F933">
        <f t="shared" si="73"/>
        <v>1.8649440166493272</v>
      </c>
      <c r="G933">
        <f t="shared" si="74"/>
        <v>3.4780161852361258</v>
      </c>
    </row>
    <row r="934" spans="1:7" x14ac:dyDescent="0.35">
      <c r="A934">
        <v>867</v>
      </c>
      <c r="B934">
        <f t="shared" si="70"/>
        <v>-471.35206382240722</v>
      </c>
      <c r="C934">
        <f t="shared" si="71"/>
        <v>222172.76806964265</v>
      </c>
      <c r="D934">
        <v>49628</v>
      </c>
      <c r="E934">
        <f t="shared" si="72"/>
        <v>4.9627999999999997</v>
      </c>
      <c r="F934">
        <f t="shared" si="73"/>
        <v>1.5829440166493272</v>
      </c>
      <c r="G934">
        <f t="shared" si="74"/>
        <v>2.5057117598459056</v>
      </c>
    </row>
    <row r="935" spans="1:7" x14ac:dyDescent="0.35">
      <c r="A935">
        <v>867</v>
      </c>
      <c r="B935">
        <f t="shared" si="70"/>
        <v>-471.35206382240722</v>
      </c>
      <c r="C935">
        <f t="shared" si="71"/>
        <v>222172.76806964265</v>
      </c>
      <c r="D935">
        <v>45700</v>
      </c>
      <c r="E935">
        <f t="shared" si="72"/>
        <v>4.57</v>
      </c>
      <c r="F935">
        <f t="shared" si="73"/>
        <v>1.1901440166493278</v>
      </c>
      <c r="G935">
        <f t="shared" si="74"/>
        <v>1.4164427803661954</v>
      </c>
    </row>
    <row r="936" spans="1:7" x14ac:dyDescent="0.35">
      <c r="A936">
        <v>867</v>
      </c>
      <c r="B936">
        <f t="shared" si="70"/>
        <v>-471.35206382240722</v>
      </c>
      <c r="C936">
        <f t="shared" si="71"/>
        <v>222172.76806964265</v>
      </c>
      <c r="D936">
        <v>48627</v>
      </c>
      <c r="E936">
        <f t="shared" si="72"/>
        <v>4.8627000000000002</v>
      </c>
      <c r="F936">
        <f t="shared" si="73"/>
        <v>1.4828440166493277</v>
      </c>
      <c r="G936">
        <f t="shared" si="74"/>
        <v>2.1988263777127117</v>
      </c>
    </row>
    <row r="937" spans="1:7" x14ac:dyDescent="0.35">
      <c r="A937">
        <v>867</v>
      </c>
      <c r="B937">
        <f t="shared" si="70"/>
        <v>-471.35206382240722</v>
      </c>
      <c r="C937">
        <f t="shared" si="71"/>
        <v>222172.76806964265</v>
      </c>
      <c r="D937">
        <v>52455</v>
      </c>
      <c r="E937">
        <f t="shared" si="72"/>
        <v>5.2454999999999998</v>
      </c>
      <c r="F937">
        <f t="shared" si="73"/>
        <v>1.8656440166493273</v>
      </c>
      <c r="G937">
        <f t="shared" si="74"/>
        <v>3.4806275968594353</v>
      </c>
    </row>
    <row r="938" spans="1:7" x14ac:dyDescent="0.35">
      <c r="A938">
        <v>867</v>
      </c>
      <c r="B938">
        <f t="shared" si="70"/>
        <v>-471.35206382240722</v>
      </c>
      <c r="C938">
        <f t="shared" si="71"/>
        <v>222172.76806964265</v>
      </c>
      <c r="D938">
        <v>58919</v>
      </c>
      <c r="E938">
        <f t="shared" si="72"/>
        <v>5.8918999999999997</v>
      </c>
      <c r="F938">
        <f t="shared" si="73"/>
        <v>2.5120440166493272</v>
      </c>
      <c r="G938">
        <f t="shared" si="74"/>
        <v>6.3103651415836852</v>
      </c>
    </row>
    <row r="939" spans="1:7" x14ac:dyDescent="0.35">
      <c r="A939">
        <v>867</v>
      </c>
      <c r="B939">
        <f t="shared" si="70"/>
        <v>-471.35206382240722</v>
      </c>
      <c r="C939">
        <f t="shared" si="71"/>
        <v>222172.76806964265</v>
      </c>
      <c r="D939">
        <v>58281</v>
      </c>
      <c r="E939">
        <f t="shared" si="72"/>
        <v>5.8281000000000001</v>
      </c>
      <c r="F939">
        <f t="shared" si="73"/>
        <v>2.4482440166493276</v>
      </c>
      <c r="G939">
        <f t="shared" si="74"/>
        <v>5.9938987650592326</v>
      </c>
    </row>
    <row r="940" spans="1:7" x14ac:dyDescent="0.35">
      <c r="A940">
        <v>867</v>
      </c>
      <c r="B940">
        <f t="shared" si="70"/>
        <v>-471.35206382240722</v>
      </c>
      <c r="C940">
        <f t="shared" si="71"/>
        <v>222172.76806964265</v>
      </c>
      <c r="D940">
        <v>60915</v>
      </c>
      <c r="E940">
        <f t="shared" si="72"/>
        <v>6.0914999999999999</v>
      </c>
      <c r="F940">
        <f t="shared" si="73"/>
        <v>2.7116440166493274</v>
      </c>
      <c r="G940">
        <f t="shared" si="74"/>
        <v>7.3530132730300979</v>
      </c>
    </row>
    <row r="941" spans="1:7" x14ac:dyDescent="0.35">
      <c r="A941">
        <v>867</v>
      </c>
      <c r="B941">
        <f t="shared" si="70"/>
        <v>-471.35206382240722</v>
      </c>
      <c r="C941">
        <f t="shared" si="71"/>
        <v>222172.76806964265</v>
      </c>
      <c r="D941">
        <v>58358</v>
      </c>
      <c r="E941">
        <f t="shared" si="72"/>
        <v>5.8357999999999999</v>
      </c>
      <c r="F941">
        <f t="shared" si="73"/>
        <v>2.4559440166493274</v>
      </c>
      <c r="G941">
        <f t="shared" si="74"/>
        <v>6.0316610129156318</v>
      </c>
    </row>
    <row r="942" spans="1:7" x14ac:dyDescent="0.35">
      <c r="A942">
        <v>867</v>
      </c>
      <c r="B942">
        <f t="shared" si="70"/>
        <v>-471.35206382240722</v>
      </c>
      <c r="C942">
        <f t="shared" si="71"/>
        <v>222172.76806964265</v>
      </c>
      <c r="D942">
        <v>53603</v>
      </c>
      <c r="E942">
        <f t="shared" si="72"/>
        <v>5.3602999999999996</v>
      </c>
      <c r="F942">
        <f t="shared" si="73"/>
        <v>1.9804440166493271</v>
      </c>
      <c r="G942">
        <f t="shared" si="74"/>
        <v>3.9221585030821204</v>
      </c>
    </row>
    <row r="943" spans="1:7" x14ac:dyDescent="0.35">
      <c r="A943">
        <v>867</v>
      </c>
      <c r="B943">
        <f t="shared" si="70"/>
        <v>-471.35206382240722</v>
      </c>
      <c r="C943">
        <f t="shared" si="71"/>
        <v>222172.76806964265</v>
      </c>
      <c r="D943">
        <v>56910</v>
      </c>
      <c r="E943">
        <f t="shared" si="72"/>
        <v>5.6909999999999998</v>
      </c>
      <c r="F943">
        <f t="shared" si="73"/>
        <v>2.3111440166493273</v>
      </c>
      <c r="G943">
        <f t="shared" si="74"/>
        <v>5.3413866656939861</v>
      </c>
    </row>
    <row r="944" spans="1:7" x14ac:dyDescent="0.35">
      <c r="A944">
        <v>867</v>
      </c>
      <c r="B944">
        <f t="shared" si="70"/>
        <v>-471.35206382240722</v>
      </c>
      <c r="C944">
        <f t="shared" si="71"/>
        <v>222172.76806964265</v>
      </c>
      <c r="D944">
        <v>57098</v>
      </c>
      <c r="E944">
        <f t="shared" si="72"/>
        <v>5.7098000000000004</v>
      </c>
      <c r="F944">
        <f t="shared" si="73"/>
        <v>2.3299440166493279</v>
      </c>
      <c r="G944">
        <f t="shared" si="74"/>
        <v>5.4286391207200033</v>
      </c>
    </row>
    <row r="945" spans="1:7" x14ac:dyDescent="0.35">
      <c r="A945">
        <v>867</v>
      </c>
      <c r="B945">
        <f t="shared" si="70"/>
        <v>-471.35206382240722</v>
      </c>
      <c r="C945">
        <f t="shared" si="71"/>
        <v>222172.76806964265</v>
      </c>
      <c r="D945">
        <v>57314</v>
      </c>
      <c r="E945">
        <f t="shared" si="72"/>
        <v>5.7313999999999998</v>
      </c>
      <c r="F945">
        <f t="shared" si="73"/>
        <v>2.3515440166493273</v>
      </c>
      <c r="G945">
        <f t="shared" si="74"/>
        <v>5.529759262239252</v>
      </c>
    </row>
    <row r="946" spans="1:7" x14ac:dyDescent="0.35">
      <c r="A946">
        <v>867</v>
      </c>
      <c r="B946">
        <f t="shared" si="70"/>
        <v>-471.35206382240722</v>
      </c>
      <c r="C946">
        <f t="shared" si="71"/>
        <v>222172.76806964265</v>
      </c>
      <c r="D946">
        <v>54756</v>
      </c>
      <c r="E946">
        <f t="shared" si="72"/>
        <v>5.4756</v>
      </c>
      <c r="F946">
        <f t="shared" si="73"/>
        <v>2.0957440166493275</v>
      </c>
      <c r="G946">
        <f t="shared" si="74"/>
        <v>4.3921429833214569</v>
      </c>
    </row>
    <row r="947" spans="1:7" x14ac:dyDescent="0.35">
      <c r="A947">
        <v>867</v>
      </c>
      <c r="B947">
        <f t="shared" si="70"/>
        <v>-471.35206382240722</v>
      </c>
      <c r="C947">
        <f t="shared" si="71"/>
        <v>222172.76806964265</v>
      </c>
      <c r="D947">
        <v>46354</v>
      </c>
      <c r="E947">
        <f t="shared" si="72"/>
        <v>4.6353999999999997</v>
      </c>
      <c r="F947">
        <f t="shared" si="73"/>
        <v>1.2555440166493272</v>
      </c>
      <c r="G947">
        <f t="shared" si="74"/>
        <v>1.5763907777439261</v>
      </c>
    </row>
    <row r="948" spans="1:7" x14ac:dyDescent="0.35">
      <c r="A948">
        <v>867</v>
      </c>
      <c r="B948">
        <f t="shared" si="70"/>
        <v>-471.35206382240722</v>
      </c>
      <c r="C948">
        <f t="shared" si="71"/>
        <v>222172.76806964265</v>
      </c>
      <c r="D948">
        <v>57599</v>
      </c>
      <c r="E948">
        <f t="shared" si="72"/>
        <v>5.7599</v>
      </c>
      <c r="F948">
        <f t="shared" si="73"/>
        <v>2.3800440166493275</v>
      </c>
      <c r="G948">
        <f t="shared" si="74"/>
        <v>5.6646095211882646</v>
      </c>
    </row>
    <row r="949" spans="1:7" x14ac:dyDescent="0.35">
      <c r="A949">
        <v>867</v>
      </c>
      <c r="B949">
        <f t="shared" si="70"/>
        <v>-471.35206382240722</v>
      </c>
      <c r="C949">
        <f t="shared" si="71"/>
        <v>222172.76806964265</v>
      </c>
      <c r="D949">
        <v>57406</v>
      </c>
      <c r="E949">
        <f t="shared" si="72"/>
        <v>5.7405999999999997</v>
      </c>
      <c r="F949">
        <f t="shared" si="73"/>
        <v>2.3607440166493272</v>
      </c>
      <c r="G949">
        <f t="shared" si="74"/>
        <v>5.5731123121455992</v>
      </c>
    </row>
    <row r="950" spans="1:7" x14ac:dyDescent="0.35">
      <c r="A950">
        <v>867</v>
      </c>
      <c r="B950">
        <f t="shared" si="70"/>
        <v>-471.35206382240722</v>
      </c>
      <c r="C950">
        <f t="shared" si="71"/>
        <v>222172.76806964265</v>
      </c>
      <c r="D950">
        <v>50432</v>
      </c>
      <c r="E950">
        <f t="shared" si="72"/>
        <v>5.0431999999999997</v>
      </c>
      <c r="F950">
        <f t="shared" si="73"/>
        <v>1.6633440166493272</v>
      </c>
      <c r="G950">
        <f t="shared" si="74"/>
        <v>2.7667133177231173</v>
      </c>
    </row>
    <row r="951" spans="1:7" x14ac:dyDescent="0.35">
      <c r="A951">
        <v>867</v>
      </c>
      <c r="B951">
        <f t="shared" si="70"/>
        <v>-471.35206382240722</v>
      </c>
      <c r="C951">
        <f t="shared" si="71"/>
        <v>222172.76806964265</v>
      </c>
      <c r="D951">
        <v>56263</v>
      </c>
      <c r="E951">
        <f t="shared" si="72"/>
        <v>5.6262999999999996</v>
      </c>
      <c r="F951">
        <f t="shared" si="73"/>
        <v>2.2464440166493271</v>
      </c>
      <c r="G951">
        <f t="shared" si="74"/>
        <v>5.0465107199395627</v>
      </c>
    </row>
    <row r="952" spans="1:7" x14ac:dyDescent="0.35">
      <c r="A952">
        <v>867</v>
      </c>
      <c r="B952">
        <f t="shared" si="70"/>
        <v>-471.35206382240722</v>
      </c>
      <c r="C952">
        <f t="shared" si="71"/>
        <v>222172.76806964265</v>
      </c>
      <c r="D952">
        <v>55947</v>
      </c>
      <c r="E952">
        <f t="shared" si="72"/>
        <v>5.5946999999999996</v>
      </c>
      <c r="F952">
        <f t="shared" si="73"/>
        <v>2.2148440166493271</v>
      </c>
      <c r="G952">
        <f t="shared" si="74"/>
        <v>4.9055340180873248</v>
      </c>
    </row>
    <row r="953" spans="1:7" x14ac:dyDescent="0.35">
      <c r="A953">
        <v>867</v>
      </c>
      <c r="B953">
        <f t="shared" si="70"/>
        <v>-471.35206382240722</v>
      </c>
      <c r="C953">
        <f t="shared" si="71"/>
        <v>222172.76806964265</v>
      </c>
      <c r="D953">
        <v>39400</v>
      </c>
      <c r="E953">
        <f t="shared" si="72"/>
        <v>3.94</v>
      </c>
      <c r="F953">
        <f t="shared" si="73"/>
        <v>0.56014401664932745</v>
      </c>
      <c r="G953">
        <f t="shared" si="74"/>
        <v>0.31376131938804203</v>
      </c>
    </row>
    <row r="954" spans="1:7" x14ac:dyDescent="0.35">
      <c r="A954">
        <v>867</v>
      </c>
      <c r="B954">
        <f t="shared" si="70"/>
        <v>-471.35206382240722</v>
      </c>
      <c r="C954">
        <f t="shared" si="71"/>
        <v>222172.76806964265</v>
      </c>
      <c r="D954">
        <v>49784</v>
      </c>
      <c r="E954">
        <f t="shared" si="72"/>
        <v>4.9783999999999997</v>
      </c>
      <c r="F954">
        <f t="shared" si="73"/>
        <v>1.5985440166493272</v>
      </c>
      <c r="G954">
        <f t="shared" si="74"/>
        <v>2.5553429731653647</v>
      </c>
    </row>
    <row r="955" spans="1:7" x14ac:dyDescent="0.35">
      <c r="A955">
        <v>867</v>
      </c>
      <c r="B955">
        <f t="shared" si="70"/>
        <v>-471.35206382240722</v>
      </c>
      <c r="C955">
        <f t="shared" si="71"/>
        <v>222172.76806964265</v>
      </c>
      <c r="D955">
        <v>50014</v>
      </c>
      <c r="E955">
        <f t="shared" si="72"/>
        <v>5.0014000000000003</v>
      </c>
      <c r="F955">
        <f t="shared" si="73"/>
        <v>1.6215440166493278</v>
      </c>
      <c r="G955">
        <f t="shared" si="74"/>
        <v>2.6294049979312355</v>
      </c>
    </row>
    <row r="956" spans="1:7" x14ac:dyDescent="0.35">
      <c r="A956">
        <v>867</v>
      </c>
      <c r="B956">
        <f t="shared" si="70"/>
        <v>-471.35206382240722</v>
      </c>
      <c r="C956">
        <f t="shared" si="71"/>
        <v>222172.76806964265</v>
      </c>
      <c r="D956">
        <v>47499</v>
      </c>
      <c r="E956">
        <f t="shared" si="72"/>
        <v>4.7499000000000002</v>
      </c>
      <c r="F956">
        <f t="shared" si="73"/>
        <v>1.3700440166493277</v>
      </c>
      <c r="G956">
        <f t="shared" si="74"/>
        <v>1.8770206075566234</v>
      </c>
    </row>
    <row r="957" spans="1:7" x14ac:dyDescent="0.35">
      <c r="A957">
        <v>1831</v>
      </c>
      <c r="B957">
        <f t="shared" si="70"/>
        <v>492.64793617759278</v>
      </c>
      <c r="C957">
        <f t="shared" si="71"/>
        <v>242701.98902004154</v>
      </c>
      <c r="D957">
        <v>17241</v>
      </c>
      <c r="E957">
        <f t="shared" si="72"/>
        <v>1.7241</v>
      </c>
      <c r="F957">
        <f t="shared" si="73"/>
        <v>-1.6557559833506725</v>
      </c>
      <c r="G957">
        <f t="shared" si="74"/>
        <v>2.7415278764015527</v>
      </c>
    </row>
    <row r="958" spans="1:7" x14ac:dyDescent="0.35">
      <c r="A958">
        <v>1831</v>
      </c>
      <c r="B958">
        <f t="shared" si="70"/>
        <v>492.64793617759278</v>
      </c>
      <c r="C958">
        <f t="shared" si="71"/>
        <v>242701.98902004154</v>
      </c>
      <c r="D958">
        <v>25724</v>
      </c>
      <c r="E958">
        <f t="shared" si="72"/>
        <v>2.5724</v>
      </c>
      <c r="F958">
        <f t="shared" si="73"/>
        <v>-0.80745598335067248</v>
      </c>
      <c r="G958">
        <f t="shared" si="74"/>
        <v>0.65198516504880144</v>
      </c>
    </row>
    <row r="959" spans="1:7" x14ac:dyDescent="0.35">
      <c r="A959">
        <v>1831</v>
      </c>
      <c r="B959">
        <f t="shared" si="70"/>
        <v>492.64793617759278</v>
      </c>
      <c r="C959">
        <f t="shared" si="71"/>
        <v>242701.98902004154</v>
      </c>
      <c r="D959">
        <v>20900</v>
      </c>
      <c r="E959">
        <f t="shared" si="72"/>
        <v>2.09</v>
      </c>
      <c r="F959">
        <f t="shared" si="73"/>
        <v>-1.2898559833506726</v>
      </c>
      <c r="G959">
        <f t="shared" si="74"/>
        <v>1.6637284577855307</v>
      </c>
    </row>
    <row r="960" spans="1:7" x14ac:dyDescent="0.35">
      <c r="A960">
        <v>1831</v>
      </c>
      <c r="B960">
        <f t="shared" si="70"/>
        <v>492.64793617759278</v>
      </c>
      <c r="C960">
        <f t="shared" si="71"/>
        <v>242701.98902004154</v>
      </c>
      <c r="D960">
        <v>20000</v>
      </c>
      <c r="E960">
        <f t="shared" si="72"/>
        <v>2</v>
      </c>
      <c r="F960">
        <f t="shared" si="73"/>
        <v>-1.3798559833506725</v>
      </c>
      <c r="G960">
        <f t="shared" si="74"/>
        <v>1.9040025347886513</v>
      </c>
    </row>
    <row r="961" spans="1:7" x14ac:dyDescent="0.35">
      <c r="A961">
        <v>1831</v>
      </c>
      <c r="B961">
        <f t="shared" si="70"/>
        <v>492.64793617759278</v>
      </c>
      <c r="C961">
        <f t="shared" si="71"/>
        <v>242701.98902004154</v>
      </c>
      <c r="D961">
        <v>20000</v>
      </c>
      <c r="E961">
        <f t="shared" si="72"/>
        <v>2</v>
      </c>
      <c r="F961">
        <f t="shared" si="73"/>
        <v>-1.3798559833506725</v>
      </c>
      <c r="G961">
        <f t="shared" si="74"/>
        <v>1.9040025347886513</v>
      </c>
    </row>
    <row r="962" spans="1:7" x14ac:dyDescent="0.35">
      <c r="A962">
        <v>1831</v>
      </c>
      <c r="B962">
        <f t="shared" si="70"/>
        <v>492.64793617759278</v>
      </c>
      <c r="C962">
        <f t="shared" si="71"/>
        <v>242701.98902004154</v>
      </c>
      <c r="D962">
        <v>19886</v>
      </c>
      <c r="E962">
        <f t="shared" si="72"/>
        <v>1.9885999999999999</v>
      </c>
      <c r="F962">
        <f t="shared" si="73"/>
        <v>-1.3912559833506726</v>
      </c>
      <c r="G962">
        <f t="shared" si="74"/>
        <v>1.935593211209047</v>
      </c>
    </row>
    <row r="963" spans="1:7" x14ac:dyDescent="0.35">
      <c r="A963">
        <v>1831</v>
      </c>
      <c r="B963">
        <f t="shared" ref="B963:B1026" si="75">A963-$J$1</f>
        <v>492.64793617759278</v>
      </c>
      <c r="C963">
        <f t="shared" ref="C963:C1026" si="76">B963^2</f>
        <v>242701.98902004154</v>
      </c>
      <c r="D963">
        <v>19995</v>
      </c>
      <c r="E963">
        <f t="shared" ref="E963:E1026" si="77">D963/10000</f>
        <v>1.9995000000000001</v>
      </c>
      <c r="F963">
        <f t="shared" ref="F963:F1026" si="78">E963-$J$2</f>
        <v>-1.3803559833506724</v>
      </c>
      <c r="G963">
        <f t="shared" ref="G963:G1026" si="79">F963^2</f>
        <v>1.9053826407720018</v>
      </c>
    </row>
    <row r="964" spans="1:7" x14ac:dyDescent="0.35">
      <c r="A964">
        <v>1831</v>
      </c>
      <c r="B964">
        <f t="shared" si="75"/>
        <v>492.64793617759278</v>
      </c>
      <c r="C964">
        <f t="shared" si="76"/>
        <v>242701.98902004154</v>
      </c>
      <c r="D964">
        <v>20106</v>
      </c>
      <c r="E964">
        <f t="shared" si="77"/>
        <v>2.0106000000000002</v>
      </c>
      <c r="F964">
        <f t="shared" si="78"/>
        <v>-1.3692559833506723</v>
      </c>
      <c r="G964">
        <f t="shared" si="79"/>
        <v>1.8748619479416166</v>
      </c>
    </row>
    <row r="965" spans="1:7" x14ac:dyDescent="0.35">
      <c r="A965">
        <v>1831</v>
      </c>
      <c r="B965">
        <f t="shared" si="75"/>
        <v>492.64793617759278</v>
      </c>
      <c r="C965">
        <f t="shared" si="76"/>
        <v>242701.98902004154</v>
      </c>
      <c r="D965">
        <v>20218</v>
      </c>
      <c r="E965">
        <f t="shared" si="77"/>
        <v>2.0217999999999998</v>
      </c>
      <c r="F965">
        <f t="shared" si="78"/>
        <v>-1.3580559833506727</v>
      </c>
      <c r="G965">
        <f t="shared" si="79"/>
        <v>1.8443160539145627</v>
      </c>
    </row>
    <row r="966" spans="1:7" x14ac:dyDescent="0.35">
      <c r="A966">
        <v>1831</v>
      </c>
      <c r="B966">
        <f t="shared" si="75"/>
        <v>492.64793617759278</v>
      </c>
      <c r="C966">
        <f t="shared" si="76"/>
        <v>242701.98902004154</v>
      </c>
      <c r="D966">
        <v>20332</v>
      </c>
      <c r="E966">
        <f t="shared" si="77"/>
        <v>2.0331999999999999</v>
      </c>
      <c r="F966">
        <f t="shared" si="78"/>
        <v>-1.3466559833506726</v>
      </c>
      <c r="G966">
        <f t="shared" si="79"/>
        <v>1.8134823374941671</v>
      </c>
    </row>
    <row r="967" spans="1:7" x14ac:dyDescent="0.35">
      <c r="A967">
        <v>1831</v>
      </c>
      <c r="B967">
        <f t="shared" si="75"/>
        <v>492.64793617759278</v>
      </c>
      <c r="C967">
        <f t="shared" si="76"/>
        <v>242701.98902004154</v>
      </c>
      <c r="D967">
        <v>20447</v>
      </c>
      <c r="E967">
        <f t="shared" si="77"/>
        <v>2.0447000000000002</v>
      </c>
      <c r="F967">
        <f t="shared" si="78"/>
        <v>-1.3351559833506723</v>
      </c>
      <c r="G967">
        <f t="shared" si="79"/>
        <v>1.7826414998771007</v>
      </c>
    </row>
    <row r="968" spans="1:7" x14ac:dyDescent="0.35">
      <c r="A968">
        <v>1831</v>
      </c>
      <c r="B968">
        <f t="shared" si="75"/>
        <v>492.64793617759278</v>
      </c>
      <c r="C968">
        <f t="shared" si="76"/>
        <v>242701.98902004154</v>
      </c>
      <c r="D968">
        <v>20565</v>
      </c>
      <c r="E968">
        <f t="shared" si="77"/>
        <v>2.0565000000000002</v>
      </c>
      <c r="F968">
        <f t="shared" si="78"/>
        <v>-1.3233559833506723</v>
      </c>
      <c r="G968">
        <f t="shared" si="79"/>
        <v>1.7512710586700249</v>
      </c>
    </row>
    <row r="969" spans="1:7" x14ac:dyDescent="0.35">
      <c r="A969">
        <v>1831</v>
      </c>
      <c r="B969">
        <f t="shared" si="75"/>
        <v>492.64793617759278</v>
      </c>
      <c r="C969">
        <f t="shared" si="76"/>
        <v>242701.98902004154</v>
      </c>
      <c r="D969">
        <v>20686</v>
      </c>
      <c r="E969">
        <f t="shared" si="77"/>
        <v>2.0686</v>
      </c>
      <c r="F969">
        <f t="shared" si="78"/>
        <v>-1.3112559833506725</v>
      </c>
      <c r="G969">
        <f t="shared" si="79"/>
        <v>1.7193922538729391</v>
      </c>
    </row>
    <row r="970" spans="1:7" x14ac:dyDescent="0.35">
      <c r="A970">
        <v>1831</v>
      </c>
      <c r="B970">
        <f t="shared" si="75"/>
        <v>492.64793617759278</v>
      </c>
      <c r="C970">
        <f t="shared" si="76"/>
        <v>242701.98902004154</v>
      </c>
      <c r="D970">
        <v>20810</v>
      </c>
      <c r="E970">
        <f t="shared" si="77"/>
        <v>2.081</v>
      </c>
      <c r="F970">
        <f t="shared" si="78"/>
        <v>-1.2988559833506725</v>
      </c>
      <c r="G970">
        <f t="shared" si="79"/>
        <v>1.6870268654858425</v>
      </c>
    </row>
    <row r="971" spans="1:7" x14ac:dyDescent="0.35">
      <c r="A971">
        <v>1831</v>
      </c>
      <c r="B971">
        <f t="shared" si="75"/>
        <v>492.64793617759278</v>
      </c>
      <c r="C971">
        <f t="shared" si="76"/>
        <v>242701.98902004154</v>
      </c>
      <c r="D971">
        <v>20000</v>
      </c>
      <c r="E971">
        <f t="shared" si="77"/>
        <v>2</v>
      </c>
      <c r="F971">
        <f t="shared" si="78"/>
        <v>-1.3798559833506725</v>
      </c>
      <c r="G971">
        <f t="shared" si="79"/>
        <v>1.9040025347886513</v>
      </c>
    </row>
    <row r="972" spans="1:7" x14ac:dyDescent="0.35">
      <c r="A972">
        <v>1831</v>
      </c>
      <c r="B972">
        <f t="shared" si="75"/>
        <v>492.64793617759278</v>
      </c>
      <c r="C972">
        <f t="shared" si="76"/>
        <v>242701.98902004154</v>
      </c>
      <c r="D972">
        <v>21295</v>
      </c>
      <c r="E972">
        <f t="shared" si="77"/>
        <v>2.1295000000000002</v>
      </c>
      <c r="F972">
        <f t="shared" si="78"/>
        <v>-1.2503559833506723</v>
      </c>
      <c r="G972">
        <f t="shared" si="79"/>
        <v>1.5633900851008269</v>
      </c>
    </row>
    <row r="973" spans="1:7" x14ac:dyDescent="0.35">
      <c r="A973">
        <v>1831</v>
      </c>
      <c r="B973">
        <f t="shared" si="75"/>
        <v>492.64793617759278</v>
      </c>
      <c r="C973">
        <f t="shared" si="76"/>
        <v>242701.98902004154</v>
      </c>
      <c r="D973">
        <v>21657</v>
      </c>
      <c r="E973">
        <f t="shared" si="77"/>
        <v>2.1657000000000002</v>
      </c>
      <c r="F973">
        <f t="shared" si="78"/>
        <v>-1.2141559833506723</v>
      </c>
      <c r="G973">
        <f t="shared" si="79"/>
        <v>1.474174751906238</v>
      </c>
    </row>
    <row r="974" spans="1:7" x14ac:dyDescent="0.35">
      <c r="A974">
        <v>1831</v>
      </c>
      <c r="B974">
        <f t="shared" si="75"/>
        <v>492.64793617759278</v>
      </c>
      <c r="C974">
        <f t="shared" si="76"/>
        <v>242701.98902004154</v>
      </c>
      <c r="D974">
        <v>22554</v>
      </c>
      <c r="E974">
        <f t="shared" si="77"/>
        <v>2.2553999999999998</v>
      </c>
      <c r="F974">
        <f t="shared" si="78"/>
        <v>-1.1244559833506726</v>
      </c>
      <c r="G974">
        <f t="shared" si="79"/>
        <v>1.2644012584931281</v>
      </c>
    </row>
    <row r="975" spans="1:7" x14ac:dyDescent="0.35">
      <c r="A975">
        <v>1831</v>
      </c>
      <c r="B975">
        <f t="shared" si="75"/>
        <v>492.64793617759278</v>
      </c>
      <c r="C975">
        <f t="shared" si="76"/>
        <v>242701.98902004154</v>
      </c>
      <c r="D975">
        <v>23088</v>
      </c>
      <c r="E975">
        <f t="shared" si="77"/>
        <v>2.3088000000000002</v>
      </c>
      <c r="F975">
        <f t="shared" si="78"/>
        <v>-1.0710559833506723</v>
      </c>
      <c r="G975">
        <f t="shared" si="79"/>
        <v>1.1471609194712757</v>
      </c>
    </row>
    <row r="976" spans="1:7" x14ac:dyDescent="0.35">
      <c r="A976">
        <v>1831</v>
      </c>
      <c r="B976">
        <f t="shared" si="75"/>
        <v>492.64793617759278</v>
      </c>
      <c r="C976">
        <f t="shared" si="76"/>
        <v>242701.98902004154</v>
      </c>
      <c r="D976">
        <v>23622</v>
      </c>
      <c r="E976">
        <f t="shared" si="77"/>
        <v>2.3622000000000001</v>
      </c>
      <c r="F976">
        <f t="shared" si="78"/>
        <v>-1.0176559833506724</v>
      </c>
      <c r="G976">
        <f t="shared" si="79"/>
        <v>1.035623700449424</v>
      </c>
    </row>
    <row r="977" spans="1:7" x14ac:dyDescent="0.35">
      <c r="A977">
        <v>1831</v>
      </c>
      <c r="B977">
        <f t="shared" si="75"/>
        <v>492.64793617759278</v>
      </c>
      <c r="C977">
        <f t="shared" si="76"/>
        <v>242701.98902004154</v>
      </c>
      <c r="D977">
        <v>24155</v>
      </c>
      <c r="E977">
        <f t="shared" si="77"/>
        <v>2.4155000000000002</v>
      </c>
      <c r="F977">
        <f t="shared" si="78"/>
        <v>-0.9643559833506723</v>
      </c>
      <c r="G977">
        <f t="shared" si="79"/>
        <v>0.92998246262424211</v>
      </c>
    </row>
    <row r="978" spans="1:7" x14ac:dyDescent="0.35">
      <c r="A978">
        <v>1831</v>
      </c>
      <c r="B978">
        <f t="shared" si="75"/>
        <v>492.64793617759278</v>
      </c>
      <c r="C978">
        <f t="shared" si="76"/>
        <v>242701.98902004154</v>
      </c>
      <c r="D978">
        <v>24688</v>
      </c>
      <c r="E978">
        <f t="shared" si="77"/>
        <v>2.4687999999999999</v>
      </c>
      <c r="F978">
        <f t="shared" si="78"/>
        <v>-0.91105598335067262</v>
      </c>
      <c r="G978">
        <f t="shared" si="79"/>
        <v>0.8300230047990611</v>
      </c>
    </row>
    <row r="979" spans="1:7" x14ac:dyDescent="0.35">
      <c r="A979">
        <v>1831</v>
      </c>
      <c r="B979">
        <f t="shared" si="75"/>
        <v>492.64793617759278</v>
      </c>
      <c r="C979">
        <f t="shared" si="76"/>
        <v>242701.98902004154</v>
      </c>
      <c r="D979">
        <v>25219</v>
      </c>
      <c r="E979">
        <f t="shared" si="77"/>
        <v>2.5219</v>
      </c>
      <c r="F979">
        <f t="shared" si="78"/>
        <v>-0.85795598335067247</v>
      </c>
      <c r="G979">
        <f t="shared" si="79"/>
        <v>0.73608846936721939</v>
      </c>
    </row>
    <row r="980" spans="1:7" x14ac:dyDescent="0.35">
      <c r="A980">
        <v>1831</v>
      </c>
      <c r="B980">
        <f t="shared" si="75"/>
        <v>492.64793617759278</v>
      </c>
      <c r="C980">
        <f t="shared" si="76"/>
        <v>242701.98902004154</v>
      </c>
      <c r="D980">
        <v>25748</v>
      </c>
      <c r="E980">
        <f t="shared" si="77"/>
        <v>2.5748000000000002</v>
      </c>
      <c r="F980">
        <f t="shared" si="78"/>
        <v>-0.8050559833506723</v>
      </c>
      <c r="G980">
        <f t="shared" si="79"/>
        <v>0.64811513632871798</v>
      </c>
    </row>
    <row r="981" spans="1:7" x14ac:dyDescent="0.35">
      <c r="A981">
        <v>1831</v>
      </c>
      <c r="B981">
        <f t="shared" si="75"/>
        <v>492.64793617759278</v>
      </c>
      <c r="C981">
        <f t="shared" si="76"/>
        <v>242701.98902004154</v>
      </c>
      <c r="D981">
        <v>26273</v>
      </c>
      <c r="E981">
        <f t="shared" si="77"/>
        <v>2.6273</v>
      </c>
      <c r="F981">
        <f t="shared" si="78"/>
        <v>-0.75255598335067253</v>
      </c>
      <c r="G981">
        <f t="shared" si="79"/>
        <v>0.56634050807689773</v>
      </c>
    </row>
    <row r="982" spans="1:7" x14ac:dyDescent="0.35">
      <c r="A982">
        <v>1831</v>
      </c>
      <c r="B982">
        <f t="shared" si="75"/>
        <v>492.64793617759278</v>
      </c>
      <c r="C982">
        <f t="shared" si="76"/>
        <v>242701.98902004154</v>
      </c>
      <c r="D982">
        <v>27419</v>
      </c>
      <c r="E982">
        <f t="shared" si="77"/>
        <v>2.7418999999999998</v>
      </c>
      <c r="F982">
        <f t="shared" si="78"/>
        <v>-0.63795598335067272</v>
      </c>
      <c r="G982">
        <f t="shared" si="79"/>
        <v>0.40698783669292382</v>
      </c>
    </row>
    <row r="983" spans="1:7" x14ac:dyDescent="0.35">
      <c r="A983">
        <v>1831</v>
      </c>
      <c r="B983">
        <f t="shared" si="75"/>
        <v>492.64793617759278</v>
      </c>
      <c r="C983">
        <f t="shared" si="76"/>
        <v>242701.98902004154</v>
      </c>
      <c r="D983">
        <v>27419</v>
      </c>
      <c r="E983">
        <f t="shared" si="77"/>
        <v>2.7418999999999998</v>
      </c>
      <c r="F983">
        <f t="shared" si="78"/>
        <v>-0.63795598335067272</v>
      </c>
      <c r="G983">
        <f t="shared" si="79"/>
        <v>0.40698783669292382</v>
      </c>
    </row>
    <row r="984" spans="1:7" x14ac:dyDescent="0.35">
      <c r="A984">
        <v>1831</v>
      </c>
      <c r="B984">
        <f t="shared" si="75"/>
        <v>492.64793617759278</v>
      </c>
      <c r="C984">
        <f t="shared" si="76"/>
        <v>242701.98902004154</v>
      </c>
      <c r="D984">
        <v>27450</v>
      </c>
      <c r="E984">
        <f t="shared" si="77"/>
        <v>2.7450000000000001</v>
      </c>
      <c r="F984">
        <f t="shared" si="78"/>
        <v>-0.63485598335067239</v>
      </c>
      <c r="G984">
        <f t="shared" si="79"/>
        <v>0.40304211959614922</v>
      </c>
    </row>
    <row r="985" spans="1:7" x14ac:dyDescent="0.35">
      <c r="A985">
        <v>1831</v>
      </c>
      <c r="B985">
        <f t="shared" si="75"/>
        <v>492.64793617759278</v>
      </c>
      <c r="C985">
        <f t="shared" si="76"/>
        <v>242701.98902004154</v>
      </c>
      <c r="D985">
        <v>27935</v>
      </c>
      <c r="E985">
        <f t="shared" si="77"/>
        <v>2.7934999999999999</v>
      </c>
      <c r="F985">
        <f t="shared" si="78"/>
        <v>-0.58635598335067263</v>
      </c>
      <c r="G985">
        <f t="shared" si="79"/>
        <v>0.34381333921113427</v>
      </c>
    </row>
    <row r="986" spans="1:7" x14ac:dyDescent="0.35">
      <c r="A986">
        <v>1831</v>
      </c>
      <c r="B986">
        <f t="shared" si="75"/>
        <v>492.64793617759278</v>
      </c>
      <c r="C986">
        <f t="shared" si="76"/>
        <v>242701.98902004154</v>
      </c>
      <c r="D986">
        <v>28453</v>
      </c>
      <c r="E986">
        <f t="shared" si="77"/>
        <v>2.8452999999999999</v>
      </c>
      <c r="F986">
        <f t="shared" si="78"/>
        <v>-0.53455598335067256</v>
      </c>
      <c r="G986">
        <f t="shared" si="79"/>
        <v>0.28575009933600454</v>
      </c>
    </row>
    <row r="987" spans="1:7" x14ac:dyDescent="0.35">
      <c r="A987">
        <v>836</v>
      </c>
      <c r="B987">
        <f t="shared" si="75"/>
        <v>-502.35206382240722</v>
      </c>
      <c r="C987">
        <f t="shared" si="76"/>
        <v>252357.59602663189</v>
      </c>
      <c r="D987">
        <v>19091</v>
      </c>
      <c r="E987">
        <f t="shared" si="77"/>
        <v>1.9091</v>
      </c>
      <c r="F987">
        <f t="shared" si="78"/>
        <v>-1.4707559833506725</v>
      </c>
      <c r="G987">
        <f t="shared" si="79"/>
        <v>2.1631231625618037</v>
      </c>
    </row>
    <row r="988" spans="1:7" x14ac:dyDescent="0.35">
      <c r="A988">
        <v>836</v>
      </c>
      <c r="B988">
        <f t="shared" si="75"/>
        <v>-502.35206382240722</v>
      </c>
      <c r="C988">
        <f t="shared" si="76"/>
        <v>252357.59602663189</v>
      </c>
      <c r="D988">
        <v>16071</v>
      </c>
      <c r="E988">
        <f t="shared" si="77"/>
        <v>1.6071</v>
      </c>
      <c r="F988">
        <f t="shared" si="78"/>
        <v>-1.7727559833506725</v>
      </c>
      <c r="G988">
        <f t="shared" si="79"/>
        <v>3.1426637765056098</v>
      </c>
    </row>
    <row r="989" spans="1:7" x14ac:dyDescent="0.35">
      <c r="A989">
        <v>836</v>
      </c>
      <c r="B989">
        <f t="shared" si="75"/>
        <v>-502.35206382240722</v>
      </c>
      <c r="C989">
        <f t="shared" si="76"/>
        <v>252357.59602663189</v>
      </c>
      <c r="D989">
        <v>12825</v>
      </c>
      <c r="E989">
        <f t="shared" si="77"/>
        <v>1.2825</v>
      </c>
      <c r="F989">
        <f t="shared" si="78"/>
        <v>-2.0973559833506723</v>
      </c>
      <c r="G989">
        <f t="shared" si="79"/>
        <v>4.3989021208968655</v>
      </c>
    </row>
    <row r="990" spans="1:7" x14ac:dyDescent="0.35">
      <c r="A990">
        <v>836</v>
      </c>
      <c r="B990">
        <f t="shared" si="75"/>
        <v>-502.35206382240722</v>
      </c>
      <c r="C990">
        <f t="shared" si="76"/>
        <v>252357.59602663189</v>
      </c>
      <c r="D990">
        <v>15111</v>
      </c>
      <c r="E990">
        <f t="shared" si="77"/>
        <v>1.5111000000000001</v>
      </c>
      <c r="F990">
        <f t="shared" si="78"/>
        <v>-1.8687559833506724</v>
      </c>
      <c r="G990">
        <f t="shared" si="79"/>
        <v>3.4922489253089384</v>
      </c>
    </row>
    <row r="991" spans="1:7" x14ac:dyDescent="0.35">
      <c r="A991">
        <v>836</v>
      </c>
      <c r="B991">
        <f t="shared" si="75"/>
        <v>-502.35206382240722</v>
      </c>
      <c r="C991">
        <f t="shared" si="76"/>
        <v>252357.59602663189</v>
      </c>
      <c r="D991">
        <v>14671</v>
      </c>
      <c r="E991">
        <f t="shared" si="77"/>
        <v>1.4671000000000001</v>
      </c>
      <c r="F991">
        <f t="shared" si="78"/>
        <v>-1.9127559833506724</v>
      </c>
      <c r="G991">
        <f t="shared" si="79"/>
        <v>3.6586354518437978</v>
      </c>
    </row>
    <row r="992" spans="1:7" x14ac:dyDescent="0.35">
      <c r="A992">
        <v>836</v>
      </c>
      <c r="B992">
        <f t="shared" si="75"/>
        <v>-502.35206382240722</v>
      </c>
      <c r="C992">
        <f t="shared" si="76"/>
        <v>252357.59602663189</v>
      </c>
      <c r="D992">
        <v>15265</v>
      </c>
      <c r="E992">
        <f t="shared" si="77"/>
        <v>1.5265</v>
      </c>
      <c r="F992">
        <f t="shared" si="78"/>
        <v>-1.8533559833506725</v>
      </c>
      <c r="G992">
        <f t="shared" si="79"/>
        <v>3.4349284010217382</v>
      </c>
    </row>
    <row r="993" spans="1:7" x14ac:dyDescent="0.35">
      <c r="A993">
        <v>836</v>
      </c>
      <c r="B993">
        <f t="shared" si="75"/>
        <v>-502.35206382240722</v>
      </c>
      <c r="C993">
        <f t="shared" si="76"/>
        <v>252357.59602663189</v>
      </c>
      <c r="D993">
        <v>17298</v>
      </c>
      <c r="E993">
        <f t="shared" si="77"/>
        <v>1.7298</v>
      </c>
      <c r="F993">
        <f t="shared" si="78"/>
        <v>-1.6500559833506725</v>
      </c>
      <c r="G993">
        <f t="shared" si="79"/>
        <v>2.7226847481913548</v>
      </c>
    </row>
    <row r="994" spans="1:7" x14ac:dyDescent="0.35">
      <c r="A994">
        <v>836</v>
      </c>
      <c r="B994">
        <f t="shared" si="75"/>
        <v>-502.35206382240722</v>
      </c>
      <c r="C994">
        <f t="shared" si="76"/>
        <v>252357.59602663189</v>
      </c>
      <c r="D994">
        <v>14601</v>
      </c>
      <c r="E994">
        <f t="shared" si="77"/>
        <v>1.4601</v>
      </c>
      <c r="F994">
        <f t="shared" si="78"/>
        <v>-1.9197559833506725</v>
      </c>
      <c r="G994">
        <f t="shared" si="79"/>
        <v>3.6854630356107076</v>
      </c>
    </row>
    <row r="995" spans="1:7" x14ac:dyDescent="0.35">
      <c r="A995">
        <v>836</v>
      </c>
      <c r="B995">
        <f t="shared" si="75"/>
        <v>-502.35206382240722</v>
      </c>
      <c r="C995">
        <f t="shared" si="76"/>
        <v>252357.59602663189</v>
      </c>
      <c r="D995">
        <v>15390</v>
      </c>
      <c r="E995">
        <f t="shared" si="77"/>
        <v>1.5389999999999999</v>
      </c>
      <c r="F995">
        <f t="shared" si="78"/>
        <v>-1.8408559833506726</v>
      </c>
      <c r="G995">
        <f t="shared" si="79"/>
        <v>3.3887507514379718</v>
      </c>
    </row>
    <row r="996" spans="1:7" x14ac:dyDescent="0.35">
      <c r="A996">
        <v>836</v>
      </c>
      <c r="B996">
        <f t="shared" si="75"/>
        <v>-502.35206382240722</v>
      </c>
      <c r="C996">
        <f t="shared" si="76"/>
        <v>252357.59602663189</v>
      </c>
      <c r="D996">
        <v>12304</v>
      </c>
      <c r="E996">
        <f t="shared" si="77"/>
        <v>1.2303999999999999</v>
      </c>
      <c r="F996">
        <f t="shared" si="78"/>
        <v>-2.1494559833506726</v>
      </c>
      <c r="G996">
        <f t="shared" si="79"/>
        <v>4.620161024362007</v>
      </c>
    </row>
    <row r="997" spans="1:7" x14ac:dyDescent="0.35">
      <c r="A997">
        <v>836</v>
      </c>
      <c r="B997">
        <f t="shared" si="75"/>
        <v>-502.35206382240722</v>
      </c>
      <c r="C997">
        <f t="shared" si="76"/>
        <v>252357.59602663189</v>
      </c>
      <c r="D997">
        <v>10676</v>
      </c>
      <c r="E997">
        <f t="shared" si="77"/>
        <v>1.0676000000000001</v>
      </c>
      <c r="F997">
        <f t="shared" si="78"/>
        <v>-2.3122559833506724</v>
      </c>
      <c r="G997">
        <f t="shared" si="79"/>
        <v>5.3465277325409852</v>
      </c>
    </row>
    <row r="998" spans="1:7" x14ac:dyDescent="0.35">
      <c r="A998">
        <v>836</v>
      </c>
      <c r="B998">
        <f t="shared" si="75"/>
        <v>-502.35206382240722</v>
      </c>
      <c r="C998">
        <f t="shared" si="76"/>
        <v>252357.59602663189</v>
      </c>
      <c r="D998">
        <v>10236</v>
      </c>
      <c r="E998">
        <f t="shared" si="77"/>
        <v>1.0236000000000001</v>
      </c>
      <c r="F998">
        <f t="shared" si="78"/>
        <v>-2.3562559833506724</v>
      </c>
      <c r="G998">
        <f t="shared" si="79"/>
        <v>5.5519422590758447</v>
      </c>
    </row>
    <row r="999" spans="1:7" x14ac:dyDescent="0.35">
      <c r="A999">
        <v>836</v>
      </c>
      <c r="B999">
        <f t="shared" si="75"/>
        <v>-502.35206382240722</v>
      </c>
      <c r="C999">
        <f t="shared" si="76"/>
        <v>252357.59602663189</v>
      </c>
      <c r="D999">
        <v>13429</v>
      </c>
      <c r="E999">
        <f t="shared" si="77"/>
        <v>1.3429</v>
      </c>
      <c r="F999">
        <f t="shared" si="78"/>
        <v>-2.0369559833506727</v>
      </c>
      <c r="G999">
        <f t="shared" si="79"/>
        <v>4.1491896781081063</v>
      </c>
    </row>
    <row r="1000" spans="1:7" x14ac:dyDescent="0.35">
      <c r="A1000">
        <v>836</v>
      </c>
      <c r="B1000">
        <f t="shared" si="75"/>
        <v>-502.35206382240722</v>
      </c>
      <c r="C1000">
        <f t="shared" si="76"/>
        <v>252357.59602663189</v>
      </c>
      <c r="D1000">
        <v>21712</v>
      </c>
      <c r="E1000">
        <f t="shared" si="77"/>
        <v>2.1711999999999998</v>
      </c>
      <c r="F1000">
        <f t="shared" si="78"/>
        <v>-1.2086559833506727</v>
      </c>
      <c r="G1000">
        <f t="shared" si="79"/>
        <v>1.4608492860893816</v>
      </c>
    </row>
    <row r="1001" spans="1:7" x14ac:dyDescent="0.35">
      <c r="A1001">
        <v>836</v>
      </c>
      <c r="B1001">
        <f t="shared" si="75"/>
        <v>-502.35206382240722</v>
      </c>
      <c r="C1001">
        <f t="shared" si="76"/>
        <v>252357.59602663189</v>
      </c>
      <c r="D1001">
        <v>22143</v>
      </c>
      <c r="E1001">
        <f t="shared" si="77"/>
        <v>2.2143000000000002</v>
      </c>
      <c r="F1001">
        <f t="shared" si="78"/>
        <v>-1.1655559833506723</v>
      </c>
      <c r="G1001">
        <f t="shared" si="79"/>
        <v>1.3585207503245529</v>
      </c>
    </row>
    <row r="1002" spans="1:7" x14ac:dyDescent="0.35">
      <c r="A1002">
        <v>836</v>
      </c>
      <c r="B1002">
        <f t="shared" si="75"/>
        <v>-502.35206382240722</v>
      </c>
      <c r="C1002">
        <f t="shared" si="76"/>
        <v>252357.59602663189</v>
      </c>
      <c r="D1002">
        <v>23286</v>
      </c>
      <c r="E1002">
        <f t="shared" si="77"/>
        <v>2.3285999999999998</v>
      </c>
      <c r="F1002">
        <f t="shared" si="78"/>
        <v>-1.0512559833506727</v>
      </c>
      <c r="G1002">
        <f t="shared" si="79"/>
        <v>1.1051391425305899</v>
      </c>
    </row>
    <row r="1003" spans="1:7" x14ac:dyDescent="0.35">
      <c r="A1003">
        <v>836</v>
      </c>
      <c r="B1003">
        <f t="shared" si="75"/>
        <v>-502.35206382240722</v>
      </c>
      <c r="C1003">
        <f t="shared" si="76"/>
        <v>252357.59602663189</v>
      </c>
      <c r="D1003">
        <v>20452</v>
      </c>
      <c r="E1003">
        <f t="shared" si="77"/>
        <v>2.0451999999999999</v>
      </c>
      <c r="F1003">
        <f t="shared" si="78"/>
        <v>-1.3346559833506726</v>
      </c>
      <c r="G1003">
        <f t="shared" si="79"/>
        <v>1.7813065938937509</v>
      </c>
    </row>
    <row r="1004" spans="1:7" x14ac:dyDescent="0.35">
      <c r="A1004">
        <v>836</v>
      </c>
      <c r="B1004">
        <f t="shared" si="75"/>
        <v>-502.35206382240722</v>
      </c>
      <c r="C1004">
        <f t="shared" si="76"/>
        <v>252357.59602663189</v>
      </c>
      <c r="D1004">
        <v>20375</v>
      </c>
      <c r="E1004">
        <f t="shared" si="77"/>
        <v>2.0375000000000001</v>
      </c>
      <c r="F1004">
        <f t="shared" si="78"/>
        <v>-1.3423559833506724</v>
      </c>
      <c r="G1004">
        <f t="shared" si="79"/>
        <v>1.8019195860373507</v>
      </c>
    </row>
    <row r="1005" spans="1:7" x14ac:dyDescent="0.35">
      <c r="A1005">
        <v>836</v>
      </c>
      <c r="B1005">
        <f t="shared" si="75"/>
        <v>-502.35206382240722</v>
      </c>
      <c r="C1005">
        <f t="shared" si="76"/>
        <v>252357.59602663189</v>
      </c>
      <c r="D1005">
        <v>10034</v>
      </c>
      <c r="E1005">
        <f t="shared" si="77"/>
        <v>1.0034000000000001</v>
      </c>
      <c r="F1005">
        <f t="shared" si="78"/>
        <v>-2.3764559833506724</v>
      </c>
      <c r="G1005">
        <f t="shared" si="79"/>
        <v>5.6475430408032112</v>
      </c>
    </row>
    <row r="1006" spans="1:7" x14ac:dyDescent="0.35">
      <c r="A1006">
        <v>836</v>
      </c>
      <c r="B1006">
        <f t="shared" si="75"/>
        <v>-502.35206382240722</v>
      </c>
      <c r="C1006">
        <f t="shared" si="76"/>
        <v>252357.59602663189</v>
      </c>
      <c r="D1006">
        <v>16910</v>
      </c>
      <c r="E1006">
        <f t="shared" si="77"/>
        <v>1.6910000000000001</v>
      </c>
      <c r="F1006">
        <f t="shared" si="78"/>
        <v>-1.6888559833506724</v>
      </c>
      <c r="G1006">
        <f t="shared" si="79"/>
        <v>2.852234532499367</v>
      </c>
    </row>
    <row r="1007" spans="1:7" x14ac:dyDescent="0.35">
      <c r="A1007">
        <v>836</v>
      </c>
      <c r="B1007">
        <f t="shared" si="75"/>
        <v>-502.35206382240722</v>
      </c>
      <c r="C1007">
        <f t="shared" si="76"/>
        <v>252357.59602663189</v>
      </c>
      <c r="D1007">
        <v>6861</v>
      </c>
      <c r="E1007">
        <f t="shared" si="77"/>
        <v>0.68610000000000004</v>
      </c>
      <c r="F1007">
        <f t="shared" si="78"/>
        <v>-2.6937559833506723</v>
      </c>
      <c r="G1007">
        <f t="shared" si="79"/>
        <v>7.2563212978375473</v>
      </c>
    </row>
    <row r="1008" spans="1:7" x14ac:dyDescent="0.35">
      <c r="A1008">
        <v>836</v>
      </c>
      <c r="B1008">
        <f t="shared" si="75"/>
        <v>-502.35206382240722</v>
      </c>
      <c r="C1008">
        <f t="shared" si="76"/>
        <v>252357.59602663189</v>
      </c>
      <c r="D1008">
        <v>11265</v>
      </c>
      <c r="E1008">
        <f t="shared" si="77"/>
        <v>1.1265000000000001</v>
      </c>
      <c r="F1008">
        <f t="shared" si="78"/>
        <v>-2.2533559833506724</v>
      </c>
      <c r="G1008">
        <f t="shared" si="79"/>
        <v>5.0776131877022763</v>
      </c>
    </row>
    <row r="1009" spans="1:7" x14ac:dyDescent="0.35">
      <c r="A1009">
        <v>836</v>
      </c>
      <c r="B1009">
        <f t="shared" si="75"/>
        <v>-502.35206382240722</v>
      </c>
      <c r="C1009">
        <f t="shared" si="76"/>
        <v>252357.59602663189</v>
      </c>
      <c r="D1009">
        <v>10822</v>
      </c>
      <c r="E1009">
        <f t="shared" si="77"/>
        <v>1.0822000000000001</v>
      </c>
      <c r="F1009">
        <f t="shared" si="78"/>
        <v>-2.2976559833506727</v>
      </c>
      <c r="G1009">
        <f t="shared" si="79"/>
        <v>5.2792230178271469</v>
      </c>
    </row>
    <row r="1010" spans="1:7" x14ac:dyDescent="0.35">
      <c r="A1010">
        <v>836</v>
      </c>
      <c r="B1010">
        <f t="shared" si="75"/>
        <v>-502.35206382240722</v>
      </c>
      <c r="C1010">
        <f t="shared" si="76"/>
        <v>252357.59602663189</v>
      </c>
      <c r="D1010">
        <v>11595</v>
      </c>
      <c r="E1010">
        <f t="shared" si="77"/>
        <v>1.1595</v>
      </c>
      <c r="F1010">
        <f t="shared" si="78"/>
        <v>-2.2203559833506725</v>
      </c>
      <c r="G1010">
        <f t="shared" si="79"/>
        <v>4.9299806928011316</v>
      </c>
    </row>
    <row r="1011" spans="1:7" x14ac:dyDescent="0.35">
      <c r="A1011">
        <v>836</v>
      </c>
      <c r="B1011">
        <f t="shared" si="75"/>
        <v>-502.35206382240722</v>
      </c>
      <c r="C1011">
        <f t="shared" si="76"/>
        <v>252357.59602663189</v>
      </c>
      <c r="D1011">
        <v>12168</v>
      </c>
      <c r="E1011">
        <f t="shared" si="77"/>
        <v>1.2168000000000001</v>
      </c>
      <c r="F1011">
        <f t="shared" si="78"/>
        <v>-2.1630559833506724</v>
      </c>
      <c r="G1011">
        <f t="shared" si="79"/>
        <v>4.6788111871091447</v>
      </c>
    </row>
    <row r="1012" spans="1:7" x14ac:dyDescent="0.35">
      <c r="A1012">
        <v>836</v>
      </c>
      <c r="B1012">
        <f t="shared" si="75"/>
        <v>-502.35206382240722</v>
      </c>
      <c r="C1012">
        <f t="shared" si="76"/>
        <v>252357.59602663189</v>
      </c>
      <c r="D1012">
        <v>8526</v>
      </c>
      <c r="E1012">
        <f t="shared" si="77"/>
        <v>0.85260000000000002</v>
      </c>
      <c r="F1012">
        <f t="shared" si="78"/>
        <v>-2.5272559833506723</v>
      </c>
      <c r="G1012">
        <f t="shared" si="79"/>
        <v>6.3870228053817737</v>
      </c>
    </row>
    <row r="1013" spans="1:7" x14ac:dyDescent="0.35">
      <c r="A1013">
        <v>836</v>
      </c>
      <c r="B1013">
        <f t="shared" si="75"/>
        <v>-502.35206382240722</v>
      </c>
      <c r="C1013">
        <f t="shared" si="76"/>
        <v>252357.59602663189</v>
      </c>
      <c r="D1013">
        <v>10501</v>
      </c>
      <c r="E1013">
        <f t="shared" si="77"/>
        <v>1.0501</v>
      </c>
      <c r="F1013">
        <f t="shared" si="78"/>
        <v>-2.3297559833506725</v>
      </c>
      <c r="G1013">
        <f t="shared" si="79"/>
        <v>5.4277629419582585</v>
      </c>
    </row>
    <row r="1014" spans="1:7" x14ac:dyDescent="0.35">
      <c r="A1014">
        <v>836</v>
      </c>
      <c r="B1014">
        <f t="shared" si="75"/>
        <v>-502.35206382240722</v>
      </c>
      <c r="C1014">
        <f t="shared" si="76"/>
        <v>252357.59602663189</v>
      </c>
      <c r="D1014">
        <v>7041</v>
      </c>
      <c r="E1014">
        <f t="shared" si="77"/>
        <v>0.70409999999999995</v>
      </c>
      <c r="F1014">
        <f t="shared" si="78"/>
        <v>-2.6757559833506726</v>
      </c>
      <c r="G1014">
        <f t="shared" si="79"/>
        <v>7.159670082436925</v>
      </c>
    </row>
    <row r="1015" spans="1:7" x14ac:dyDescent="0.35">
      <c r="A1015">
        <v>836</v>
      </c>
      <c r="B1015">
        <f t="shared" si="75"/>
        <v>-502.35206382240722</v>
      </c>
      <c r="C1015">
        <f t="shared" si="76"/>
        <v>252357.59602663189</v>
      </c>
      <c r="D1015">
        <v>7717</v>
      </c>
      <c r="E1015">
        <f t="shared" si="77"/>
        <v>0.77170000000000005</v>
      </c>
      <c r="F1015">
        <f t="shared" si="78"/>
        <v>-2.6081559833506724</v>
      </c>
      <c r="G1015">
        <f t="shared" si="79"/>
        <v>6.8024776334879133</v>
      </c>
    </row>
    <row r="1016" spans="1:7" x14ac:dyDescent="0.35">
      <c r="A1016">
        <v>836</v>
      </c>
      <c r="B1016">
        <f t="shared" si="75"/>
        <v>-502.35206382240722</v>
      </c>
      <c r="C1016">
        <f t="shared" si="76"/>
        <v>252357.59602663189</v>
      </c>
      <c r="D1016">
        <v>7424</v>
      </c>
      <c r="E1016">
        <f t="shared" si="77"/>
        <v>0.74239999999999995</v>
      </c>
      <c r="F1016">
        <f t="shared" si="78"/>
        <v>-2.6374559833506726</v>
      </c>
      <c r="G1016">
        <f t="shared" si="79"/>
        <v>6.9561740641122629</v>
      </c>
    </row>
    <row r="1017" spans="1:7" x14ac:dyDescent="0.35">
      <c r="A1017">
        <v>1187</v>
      </c>
      <c r="B1017">
        <f t="shared" si="75"/>
        <v>-151.35206382240722</v>
      </c>
      <c r="C1017">
        <f t="shared" si="76"/>
        <v>22907.447223302028</v>
      </c>
      <c r="D1017">
        <v>11765</v>
      </c>
      <c r="E1017">
        <f t="shared" si="77"/>
        <v>1.1765000000000001</v>
      </c>
      <c r="F1017">
        <f t="shared" si="78"/>
        <v>-2.2033559833506722</v>
      </c>
      <c r="G1017">
        <f t="shared" si="79"/>
        <v>4.8547775893672078</v>
      </c>
    </row>
    <row r="1018" spans="1:7" x14ac:dyDescent="0.35">
      <c r="A1018">
        <v>1187</v>
      </c>
      <c r="B1018">
        <f t="shared" si="75"/>
        <v>-151.35206382240722</v>
      </c>
      <c r="C1018">
        <f t="shared" si="76"/>
        <v>22907.447223302028</v>
      </c>
      <c r="D1018">
        <v>9146</v>
      </c>
      <c r="E1018">
        <f t="shared" si="77"/>
        <v>0.91459999999999997</v>
      </c>
      <c r="F1018">
        <f t="shared" si="78"/>
        <v>-2.4652559833506724</v>
      </c>
      <c r="G1018">
        <f t="shared" si="79"/>
        <v>6.0774870634462905</v>
      </c>
    </row>
    <row r="1019" spans="1:7" x14ac:dyDescent="0.35">
      <c r="A1019">
        <v>1187</v>
      </c>
      <c r="B1019">
        <f t="shared" si="75"/>
        <v>-151.35206382240722</v>
      </c>
      <c r="C1019">
        <f t="shared" si="76"/>
        <v>22907.447223302028</v>
      </c>
      <c r="D1019">
        <v>11208</v>
      </c>
      <c r="E1019">
        <f t="shared" si="77"/>
        <v>1.1208</v>
      </c>
      <c r="F1019">
        <f t="shared" si="78"/>
        <v>-2.2590559833506725</v>
      </c>
      <c r="G1019">
        <f t="shared" si="79"/>
        <v>5.1033339359124739</v>
      </c>
    </row>
    <row r="1020" spans="1:7" x14ac:dyDescent="0.35">
      <c r="A1020">
        <v>1187</v>
      </c>
      <c r="B1020">
        <f t="shared" si="75"/>
        <v>-151.35206382240722</v>
      </c>
      <c r="C1020">
        <f t="shared" si="76"/>
        <v>22907.447223302028</v>
      </c>
      <c r="D1020">
        <v>10293</v>
      </c>
      <c r="E1020">
        <f t="shared" si="77"/>
        <v>1.0293000000000001</v>
      </c>
      <c r="F1020">
        <f t="shared" si="78"/>
        <v>-2.3505559833506724</v>
      </c>
      <c r="G1020">
        <f t="shared" si="79"/>
        <v>5.5251134308656464</v>
      </c>
    </row>
    <row r="1021" spans="1:7" x14ac:dyDescent="0.35">
      <c r="A1021">
        <v>1187</v>
      </c>
      <c r="B1021">
        <f t="shared" si="75"/>
        <v>-151.35206382240722</v>
      </c>
      <c r="C1021">
        <f t="shared" si="76"/>
        <v>22907.447223302028</v>
      </c>
      <c r="D1021">
        <v>16510</v>
      </c>
      <c r="E1021">
        <f t="shared" si="77"/>
        <v>1.651</v>
      </c>
      <c r="F1021">
        <f t="shared" si="78"/>
        <v>-1.7288559833506725</v>
      </c>
      <c r="G1021">
        <f t="shared" si="79"/>
        <v>2.9889430111674207</v>
      </c>
    </row>
    <row r="1022" spans="1:7" x14ac:dyDescent="0.35">
      <c r="A1022">
        <v>1187</v>
      </c>
      <c r="B1022">
        <f t="shared" si="75"/>
        <v>-151.35206382240722</v>
      </c>
      <c r="C1022">
        <f t="shared" si="76"/>
        <v>22907.447223302028</v>
      </c>
      <c r="D1022">
        <v>15901</v>
      </c>
      <c r="E1022">
        <f t="shared" si="77"/>
        <v>1.5901000000000001</v>
      </c>
      <c r="F1022">
        <f t="shared" si="78"/>
        <v>-1.7897559833506724</v>
      </c>
      <c r="G1022">
        <f t="shared" si="79"/>
        <v>3.2032264799395325</v>
      </c>
    </row>
    <row r="1023" spans="1:7" x14ac:dyDescent="0.35">
      <c r="A1023">
        <v>1187</v>
      </c>
      <c r="B1023">
        <f t="shared" si="75"/>
        <v>-151.35206382240722</v>
      </c>
      <c r="C1023">
        <f t="shared" si="76"/>
        <v>22907.447223302028</v>
      </c>
      <c r="D1023">
        <v>16499</v>
      </c>
      <c r="E1023">
        <f t="shared" si="77"/>
        <v>1.6498999999999999</v>
      </c>
      <c r="F1023">
        <f t="shared" si="78"/>
        <v>-1.7299559833506726</v>
      </c>
      <c r="G1023">
        <f t="shared" si="79"/>
        <v>2.9927477043307924</v>
      </c>
    </row>
    <row r="1024" spans="1:7" x14ac:dyDescent="0.35">
      <c r="A1024">
        <v>1187</v>
      </c>
      <c r="B1024">
        <f t="shared" si="75"/>
        <v>-151.35206382240722</v>
      </c>
      <c r="C1024">
        <f t="shared" si="76"/>
        <v>22907.447223302028</v>
      </c>
      <c r="D1024">
        <v>20389</v>
      </c>
      <c r="E1024">
        <f t="shared" si="77"/>
        <v>2.0388999999999999</v>
      </c>
      <c r="F1024">
        <f t="shared" si="78"/>
        <v>-1.3409559833506726</v>
      </c>
      <c r="G1024">
        <f t="shared" si="79"/>
        <v>1.7981629492839692</v>
      </c>
    </row>
    <row r="1025" spans="1:7" x14ac:dyDescent="0.35">
      <c r="A1025">
        <v>1187</v>
      </c>
      <c r="B1025">
        <f t="shared" si="75"/>
        <v>-151.35206382240722</v>
      </c>
      <c r="C1025">
        <f t="shared" si="76"/>
        <v>22907.447223302028</v>
      </c>
      <c r="D1025">
        <v>20062</v>
      </c>
      <c r="E1025">
        <f t="shared" si="77"/>
        <v>2.0062000000000002</v>
      </c>
      <c r="F1025">
        <f t="shared" si="78"/>
        <v>-1.3736559833506723</v>
      </c>
      <c r="G1025">
        <f t="shared" si="79"/>
        <v>1.8869307605951025</v>
      </c>
    </row>
    <row r="1026" spans="1:7" x14ac:dyDescent="0.35">
      <c r="A1026">
        <v>1187</v>
      </c>
      <c r="B1026">
        <f t="shared" si="75"/>
        <v>-151.35206382240722</v>
      </c>
      <c r="C1026">
        <f t="shared" si="76"/>
        <v>22907.447223302028</v>
      </c>
      <c r="D1026">
        <v>20192</v>
      </c>
      <c r="E1026">
        <f t="shared" si="77"/>
        <v>2.0192000000000001</v>
      </c>
      <c r="F1026">
        <f t="shared" si="78"/>
        <v>-1.3606559833506724</v>
      </c>
      <c r="G1026">
        <f t="shared" si="79"/>
        <v>1.8513847050279852</v>
      </c>
    </row>
    <row r="1027" spans="1:7" x14ac:dyDescent="0.35">
      <c r="A1027">
        <v>1187</v>
      </c>
      <c r="B1027">
        <f t="shared" ref="B1027:B1090" si="80">A1027-$J$1</f>
        <v>-151.35206382240722</v>
      </c>
      <c r="C1027">
        <f t="shared" ref="C1027:C1090" si="81">B1027^2</f>
        <v>22907.447223302028</v>
      </c>
      <c r="D1027">
        <v>20496</v>
      </c>
      <c r="E1027">
        <f t="shared" ref="E1027:E1090" si="82">D1027/10000</f>
        <v>2.0495999999999999</v>
      </c>
      <c r="F1027">
        <f t="shared" ref="F1027:F1090" si="83">E1027-$J$2</f>
        <v>-1.3302559833506726</v>
      </c>
      <c r="G1027">
        <f t="shared" ref="G1027:G1090" si="84">F1027^2</f>
        <v>1.769580981240265</v>
      </c>
    </row>
    <row r="1028" spans="1:7" x14ac:dyDescent="0.35">
      <c r="A1028">
        <v>1187</v>
      </c>
      <c r="B1028">
        <f t="shared" si="80"/>
        <v>-151.35206382240722</v>
      </c>
      <c r="C1028">
        <f t="shared" si="81"/>
        <v>22907.447223302028</v>
      </c>
      <c r="D1028">
        <v>16746</v>
      </c>
      <c r="E1028">
        <f t="shared" si="82"/>
        <v>1.6746000000000001</v>
      </c>
      <c r="F1028">
        <f t="shared" si="83"/>
        <v>-1.7052559833506724</v>
      </c>
      <c r="G1028">
        <f t="shared" si="84"/>
        <v>2.9078979687532689</v>
      </c>
    </row>
    <row r="1029" spans="1:7" x14ac:dyDescent="0.35">
      <c r="A1029">
        <v>1187</v>
      </c>
      <c r="B1029">
        <f t="shared" si="80"/>
        <v>-151.35206382240722</v>
      </c>
      <c r="C1029">
        <f t="shared" si="81"/>
        <v>22907.447223302028</v>
      </c>
      <c r="D1029">
        <v>14847</v>
      </c>
      <c r="E1029">
        <f t="shared" si="82"/>
        <v>1.4846999999999999</v>
      </c>
      <c r="F1029">
        <f t="shared" si="83"/>
        <v>-1.8951559833506726</v>
      </c>
      <c r="G1029">
        <f t="shared" si="84"/>
        <v>3.5916162012298547</v>
      </c>
    </row>
    <row r="1030" spans="1:7" x14ac:dyDescent="0.35">
      <c r="A1030">
        <v>1187</v>
      </c>
      <c r="B1030">
        <f t="shared" si="80"/>
        <v>-151.35206382240722</v>
      </c>
      <c r="C1030">
        <f t="shared" si="81"/>
        <v>22907.447223302028</v>
      </c>
      <c r="D1030">
        <v>19919</v>
      </c>
      <c r="E1030">
        <f t="shared" si="82"/>
        <v>1.9919</v>
      </c>
      <c r="F1030">
        <f t="shared" si="83"/>
        <v>-1.3879559833506725</v>
      </c>
      <c r="G1030">
        <f t="shared" si="84"/>
        <v>1.9264218117189322</v>
      </c>
    </row>
    <row r="1031" spans="1:7" x14ac:dyDescent="0.35">
      <c r="A1031">
        <v>1187</v>
      </c>
      <c r="B1031">
        <f t="shared" si="80"/>
        <v>-151.35206382240722</v>
      </c>
      <c r="C1031">
        <f t="shared" si="81"/>
        <v>22907.447223302028</v>
      </c>
      <c r="D1031">
        <v>21589</v>
      </c>
      <c r="E1031">
        <f t="shared" si="82"/>
        <v>2.1589</v>
      </c>
      <c r="F1031">
        <f t="shared" si="83"/>
        <v>-1.2209559833506725</v>
      </c>
      <c r="G1031">
        <f t="shared" si="84"/>
        <v>1.4907335132798076</v>
      </c>
    </row>
    <row r="1032" spans="1:7" x14ac:dyDescent="0.35">
      <c r="A1032">
        <v>1187</v>
      </c>
      <c r="B1032">
        <f t="shared" si="80"/>
        <v>-151.35206382240722</v>
      </c>
      <c r="C1032">
        <f t="shared" si="81"/>
        <v>22907.447223302028</v>
      </c>
      <c r="D1032">
        <v>20185</v>
      </c>
      <c r="E1032">
        <f t="shared" si="82"/>
        <v>2.0185</v>
      </c>
      <c r="F1032">
        <f t="shared" si="83"/>
        <v>-1.3613559833506725</v>
      </c>
      <c r="G1032">
        <f t="shared" si="84"/>
        <v>1.8532901134046766</v>
      </c>
    </row>
    <row r="1033" spans="1:7" x14ac:dyDescent="0.35">
      <c r="A1033">
        <v>1187</v>
      </c>
      <c r="B1033">
        <f t="shared" si="80"/>
        <v>-151.35206382240722</v>
      </c>
      <c r="C1033">
        <f t="shared" si="81"/>
        <v>22907.447223302028</v>
      </c>
      <c r="D1033">
        <v>22799</v>
      </c>
      <c r="E1033">
        <f t="shared" si="82"/>
        <v>2.2799</v>
      </c>
      <c r="F1033">
        <f t="shared" si="83"/>
        <v>-1.0999559833506725</v>
      </c>
      <c r="G1033">
        <f t="shared" si="84"/>
        <v>1.2099031653089449</v>
      </c>
    </row>
    <row r="1034" spans="1:7" x14ac:dyDescent="0.35">
      <c r="A1034">
        <v>1187</v>
      </c>
      <c r="B1034">
        <f t="shared" si="80"/>
        <v>-151.35206382240722</v>
      </c>
      <c r="C1034">
        <f t="shared" si="81"/>
        <v>22907.447223302028</v>
      </c>
      <c r="D1034">
        <v>20253</v>
      </c>
      <c r="E1034">
        <f t="shared" si="82"/>
        <v>2.0253000000000001</v>
      </c>
      <c r="F1034">
        <f t="shared" si="83"/>
        <v>-1.3545559833506724</v>
      </c>
      <c r="G1034">
        <f t="shared" si="84"/>
        <v>1.8348219120311071</v>
      </c>
    </row>
    <row r="1035" spans="1:7" x14ac:dyDescent="0.35">
      <c r="A1035">
        <v>1187</v>
      </c>
      <c r="B1035">
        <f t="shared" si="80"/>
        <v>-151.35206382240722</v>
      </c>
      <c r="C1035">
        <f t="shared" si="81"/>
        <v>22907.447223302028</v>
      </c>
      <c r="D1035">
        <v>23917</v>
      </c>
      <c r="E1035">
        <f t="shared" si="82"/>
        <v>2.3917000000000002</v>
      </c>
      <c r="F1035">
        <f t="shared" si="83"/>
        <v>-0.98815598335067234</v>
      </c>
      <c r="G1035">
        <f t="shared" si="84"/>
        <v>0.9764522474317342</v>
      </c>
    </row>
    <row r="1036" spans="1:7" x14ac:dyDescent="0.35">
      <c r="A1036">
        <v>1187</v>
      </c>
      <c r="B1036">
        <f t="shared" si="80"/>
        <v>-151.35206382240722</v>
      </c>
      <c r="C1036">
        <f t="shared" si="81"/>
        <v>22907.447223302028</v>
      </c>
      <c r="D1036">
        <v>20000</v>
      </c>
      <c r="E1036">
        <f t="shared" si="82"/>
        <v>2</v>
      </c>
      <c r="F1036">
        <f t="shared" si="83"/>
        <v>-1.3798559833506725</v>
      </c>
      <c r="G1036">
        <f t="shared" si="84"/>
        <v>1.9040025347886513</v>
      </c>
    </row>
    <row r="1037" spans="1:7" x14ac:dyDescent="0.35">
      <c r="A1037">
        <v>1187</v>
      </c>
      <c r="B1037">
        <f t="shared" si="80"/>
        <v>-151.35206382240722</v>
      </c>
      <c r="C1037">
        <f t="shared" si="81"/>
        <v>22907.447223302028</v>
      </c>
      <c r="D1037">
        <v>17015</v>
      </c>
      <c r="E1037">
        <f t="shared" si="82"/>
        <v>1.7015</v>
      </c>
      <c r="F1037">
        <f t="shared" si="83"/>
        <v>-1.6783559833506725</v>
      </c>
      <c r="G1037">
        <f t="shared" si="84"/>
        <v>2.8168788068490027</v>
      </c>
    </row>
    <row r="1038" spans="1:7" x14ac:dyDescent="0.35">
      <c r="A1038">
        <v>1187</v>
      </c>
      <c r="B1038">
        <f t="shared" si="80"/>
        <v>-151.35206382240722</v>
      </c>
      <c r="C1038">
        <f t="shared" si="81"/>
        <v>22907.447223302028</v>
      </c>
      <c r="D1038">
        <v>22735</v>
      </c>
      <c r="E1038">
        <f t="shared" si="82"/>
        <v>2.2734999999999999</v>
      </c>
      <c r="F1038">
        <f t="shared" si="83"/>
        <v>-1.1063559833506726</v>
      </c>
      <c r="G1038">
        <f t="shared" si="84"/>
        <v>1.2240235618958339</v>
      </c>
    </row>
    <row r="1039" spans="1:7" x14ac:dyDescent="0.35">
      <c r="A1039">
        <v>1187</v>
      </c>
      <c r="B1039">
        <f t="shared" si="80"/>
        <v>-151.35206382240722</v>
      </c>
      <c r="C1039">
        <f t="shared" si="81"/>
        <v>22907.447223302028</v>
      </c>
      <c r="D1039">
        <v>24109</v>
      </c>
      <c r="E1039">
        <f t="shared" si="82"/>
        <v>2.4108999999999998</v>
      </c>
      <c r="F1039">
        <f t="shared" si="83"/>
        <v>-0.96895598335067268</v>
      </c>
      <c r="G1039">
        <f t="shared" si="84"/>
        <v>0.93887569767106904</v>
      </c>
    </row>
    <row r="1040" spans="1:7" x14ac:dyDescent="0.35">
      <c r="A1040">
        <v>1187</v>
      </c>
      <c r="B1040">
        <f t="shared" si="80"/>
        <v>-151.35206382240722</v>
      </c>
      <c r="C1040">
        <f t="shared" si="81"/>
        <v>22907.447223302028</v>
      </c>
      <c r="D1040">
        <v>27126</v>
      </c>
      <c r="E1040">
        <f t="shared" si="82"/>
        <v>2.7126000000000001</v>
      </c>
      <c r="F1040">
        <f t="shared" si="83"/>
        <v>-0.66725598335067238</v>
      </c>
      <c r="G1040">
        <f t="shared" si="84"/>
        <v>0.4452305473172728</v>
      </c>
    </row>
    <row r="1041" spans="1:7" x14ac:dyDescent="0.35">
      <c r="A1041">
        <v>1187</v>
      </c>
      <c r="B1041">
        <f t="shared" si="80"/>
        <v>-151.35206382240722</v>
      </c>
      <c r="C1041">
        <f t="shared" si="81"/>
        <v>22907.447223302028</v>
      </c>
      <c r="D1041">
        <v>23495</v>
      </c>
      <c r="E1041">
        <f t="shared" si="82"/>
        <v>2.3494999999999999</v>
      </c>
      <c r="F1041">
        <f t="shared" si="83"/>
        <v>-1.0303559833506726</v>
      </c>
      <c r="G1041">
        <f t="shared" si="84"/>
        <v>1.0616334524265314</v>
      </c>
    </row>
    <row r="1042" spans="1:7" x14ac:dyDescent="0.35">
      <c r="A1042">
        <v>1187</v>
      </c>
      <c r="B1042">
        <f t="shared" si="80"/>
        <v>-151.35206382240722</v>
      </c>
      <c r="C1042">
        <f t="shared" si="81"/>
        <v>22907.447223302028</v>
      </c>
      <c r="D1042">
        <v>25386</v>
      </c>
      <c r="E1042">
        <f t="shared" si="82"/>
        <v>2.5386000000000002</v>
      </c>
      <c r="F1042">
        <f t="shared" si="83"/>
        <v>-0.84125598335067231</v>
      </c>
      <c r="G1042">
        <f t="shared" si="84"/>
        <v>0.70771162952330668</v>
      </c>
    </row>
    <row r="1043" spans="1:7" x14ac:dyDescent="0.35">
      <c r="A1043">
        <v>1187</v>
      </c>
      <c r="B1043">
        <f t="shared" si="80"/>
        <v>-151.35206382240722</v>
      </c>
      <c r="C1043">
        <f t="shared" si="81"/>
        <v>22907.447223302028</v>
      </c>
      <c r="D1043">
        <v>26378</v>
      </c>
      <c r="E1043">
        <f t="shared" si="82"/>
        <v>2.6377999999999999</v>
      </c>
      <c r="F1043">
        <f t="shared" si="83"/>
        <v>-0.74205598335067258</v>
      </c>
      <c r="G1043">
        <f t="shared" si="84"/>
        <v>0.55064708242653371</v>
      </c>
    </row>
    <row r="1044" spans="1:7" x14ac:dyDescent="0.35">
      <c r="A1044">
        <v>1187</v>
      </c>
      <c r="B1044">
        <f t="shared" si="80"/>
        <v>-151.35206382240722</v>
      </c>
      <c r="C1044">
        <f t="shared" si="81"/>
        <v>22907.447223302028</v>
      </c>
      <c r="D1044">
        <v>26964</v>
      </c>
      <c r="E1044">
        <f t="shared" si="82"/>
        <v>2.6964000000000001</v>
      </c>
      <c r="F1044">
        <f t="shared" si="83"/>
        <v>-0.68345598335067237</v>
      </c>
      <c r="G1044">
        <f t="shared" si="84"/>
        <v>0.46711208117783454</v>
      </c>
    </row>
    <row r="1045" spans="1:7" x14ac:dyDescent="0.35">
      <c r="A1045">
        <v>1187</v>
      </c>
      <c r="B1045">
        <f t="shared" si="80"/>
        <v>-151.35206382240722</v>
      </c>
      <c r="C1045">
        <f t="shared" si="81"/>
        <v>22907.447223302028</v>
      </c>
      <c r="D1045">
        <v>27500</v>
      </c>
      <c r="E1045">
        <f t="shared" si="82"/>
        <v>2.75</v>
      </c>
      <c r="F1045">
        <f t="shared" si="83"/>
        <v>-0.6298559833506725</v>
      </c>
      <c r="G1045">
        <f t="shared" si="84"/>
        <v>0.39671855976264264</v>
      </c>
    </row>
    <row r="1046" spans="1:7" x14ac:dyDescent="0.35">
      <c r="A1046">
        <v>1187</v>
      </c>
      <c r="B1046">
        <f t="shared" si="80"/>
        <v>-151.35206382240722</v>
      </c>
      <c r="C1046">
        <f t="shared" si="81"/>
        <v>22907.447223302028</v>
      </c>
      <c r="D1046">
        <v>28200</v>
      </c>
      <c r="E1046">
        <f t="shared" si="82"/>
        <v>2.82</v>
      </c>
      <c r="F1046">
        <f t="shared" si="83"/>
        <v>-0.55985598335067266</v>
      </c>
      <c r="G1046">
        <f t="shared" si="84"/>
        <v>0.31343872209354867</v>
      </c>
    </row>
    <row r="1047" spans="1:7" x14ac:dyDescent="0.35">
      <c r="A1047">
        <v>652</v>
      </c>
      <c r="B1047">
        <f t="shared" si="80"/>
        <v>-686.35206382240722</v>
      </c>
      <c r="C1047">
        <f t="shared" si="81"/>
        <v>471079.15551327774</v>
      </c>
      <c r="D1047">
        <v>61549</v>
      </c>
      <c r="E1047">
        <f t="shared" si="82"/>
        <v>6.1548999999999996</v>
      </c>
      <c r="F1047">
        <f t="shared" si="83"/>
        <v>2.7750440166493271</v>
      </c>
      <c r="G1047">
        <f t="shared" si="84"/>
        <v>7.7008692943412305</v>
      </c>
    </row>
    <row r="1048" spans="1:7" x14ac:dyDescent="0.35">
      <c r="A1048">
        <v>652</v>
      </c>
      <c r="B1048">
        <f t="shared" si="80"/>
        <v>-686.35206382240722</v>
      </c>
      <c r="C1048">
        <f t="shared" si="81"/>
        <v>471079.15551327774</v>
      </c>
      <c r="D1048">
        <v>67222</v>
      </c>
      <c r="E1048">
        <f t="shared" si="82"/>
        <v>6.7222</v>
      </c>
      <c r="F1048">
        <f t="shared" si="83"/>
        <v>3.3423440166493275</v>
      </c>
      <c r="G1048">
        <f t="shared" si="84"/>
        <v>11.171263525631559</v>
      </c>
    </row>
    <row r="1049" spans="1:7" x14ac:dyDescent="0.35">
      <c r="A1049">
        <v>652</v>
      </c>
      <c r="B1049">
        <f t="shared" si="80"/>
        <v>-686.35206382240722</v>
      </c>
      <c r="C1049">
        <f t="shared" si="81"/>
        <v>471079.15551327774</v>
      </c>
      <c r="D1049">
        <v>68500</v>
      </c>
      <c r="E1049">
        <f t="shared" si="82"/>
        <v>6.85</v>
      </c>
      <c r="F1049">
        <f t="shared" si="83"/>
        <v>3.4701440166493271</v>
      </c>
      <c r="G1049">
        <f t="shared" si="84"/>
        <v>12.041899496287126</v>
      </c>
    </row>
    <row r="1050" spans="1:7" x14ac:dyDescent="0.35">
      <c r="A1050">
        <v>652</v>
      </c>
      <c r="B1050">
        <f t="shared" si="80"/>
        <v>-686.35206382240722</v>
      </c>
      <c r="C1050">
        <f t="shared" si="81"/>
        <v>471079.15551327774</v>
      </c>
      <c r="D1050">
        <v>65964</v>
      </c>
      <c r="E1050">
        <f t="shared" si="82"/>
        <v>6.5964</v>
      </c>
      <c r="F1050">
        <f t="shared" si="83"/>
        <v>3.2165440166493275</v>
      </c>
      <c r="G1050">
        <f t="shared" si="84"/>
        <v>10.34615541104259</v>
      </c>
    </row>
    <row r="1051" spans="1:7" x14ac:dyDescent="0.35">
      <c r="A1051">
        <v>652</v>
      </c>
      <c r="B1051">
        <f t="shared" si="80"/>
        <v>-686.35206382240722</v>
      </c>
      <c r="C1051">
        <f t="shared" si="81"/>
        <v>471079.15551327774</v>
      </c>
      <c r="D1051">
        <v>60000</v>
      </c>
      <c r="E1051">
        <f t="shared" si="82"/>
        <v>6</v>
      </c>
      <c r="F1051">
        <f t="shared" si="83"/>
        <v>2.6201440166493275</v>
      </c>
      <c r="G1051">
        <f t="shared" si="84"/>
        <v>6.8651546679832718</v>
      </c>
    </row>
    <row r="1052" spans="1:7" x14ac:dyDescent="0.35">
      <c r="A1052">
        <v>652</v>
      </c>
      <c r="B1052">
        <f t="shared" si="80"/>
        <v>-686.35206382240722</v>
      </c>
      <c r="C1052">
        <f t="shared" si="81"/>
        <v>471079.15551327774</v>
      </c>
      <c r="D1052">
        <v>54938</v>
      </c>
      <c r="E1052">
        <f t="shared" si="82"/>
        <v>5.4938000000000002</v>
      </c>
      <c r="F1052">
        <f t="shared" si="83"/>
        <v>2.1139440166493277</v>
      </c>
      <c r="G1052">
        <f t="shared" si="84"/>
        <v>4.4687593055274935</v>
      </c>
    </row>
    <row r="1053" spans="1:7" x14ac:dyDescent="0.35">
      <c r="A1053">
        <v>652</v>
      </c>
      <c r="B1053">
        <f t="shared" si="80"/>
        <v>-686.35206382240722</v>
      </c>
      <c r="C1053">
        <f t="shared" si="81"/>
        <v>471079.15551327774</v>
      </c>
      <c r="D1053">
        <v>73611</v>
      </c>
      <c r="E1053">
        <f t="shared" si="82"/>
        <v>7.3611000000000004</v>
      </c>
      <c r="F1053">
        <f t="shared" si="83"/>
        <v>3.9812440166493279</v>
      </c>
      <c r="G1053">
        <f t="shared" si="84"/>
        <v>15.850303920106073</v>
      </c>
    </row>
    <row r="1054" spans="1:7" x14ac:dyDescent="0.35">
      <c r="A1054">
        <v>652</v>
      </c>
      <c r="B1054">
        <f t="shared" si="80"/>
        <v>-686.35206382240722</v>
      </c>
      <c r="C1054">
        <f t="shared" si="81"/>
        <v>471079.15551327774</v>
      </c>
      <c r="D1054">
        <v>73904</v>
      </c>
      <c r="E1054">
        <f t="shared" si="82"/>
        <v>7.3903999999999996</v>
      </c>
      <c r="F1054">
        <f t="shared" si="83"/>
        <v>4.0105440166493267</v>
      </c>
      <c r="G1054">
        <f t="shared" si="84"/>
        <v>16.084463309481716</v>
      </c>
    </row>
    <row r="1055" spans="1:7" x14ac:dyDescent="0.35">
      <c r="A1055">
        <v>652</v>
      </c>
      <c r="B1055">
        <f t="shared" si="80"/>
        <v>-686.35206382240722</v>
      </c>
      <c r="C1055">
        <f t="shared" si="81"/>
        <v>471079.15551327774</v>
      </c>
      <c r="D1055">
        <v>80813</v>
      </c>
      <c r="E1055">
        <f t="shared" si="82"/>
        <v>8.0813000000000006</v>
      </c>
      <c r="F1055">
        <f t="shared" si="83"/>
        <v>4.7014440166493277</v>
      </c>
      <c r="G1055">
        <f t="shared" si="84"/>
        <v>22.103575841687764</v>
      </c>
    </row>
    <row r="1056" spans="1:7" x14ac:dyDescent="0.35">
      <c r="A1056">
        <v>652</v>
      </c>
      <c r="B1056">
        <f t="shared" si="80"/>
        <v>-686.35206382240722</v>
      </c>
      <c r="C1056">
        <f t="shared" si="81"/>
        <v>471079.15551327774</v>
      </c>
      <c r="D1056">
        <v>81057</v>
      </c>
      <c r="E1056">
        <f t="shared" si="82"/>
        <v>8.1057000000000006</v>
      </c>
      <c r="F1056">
        <f t="shared" si="83"/>
        <v>4.7258440166493276</v>
      </c>
      <c r="G1056">
        <f t="shared" si="84"/>
        <v>22.333601669700251</v>
      </c>
    </row>
    <row r="1057" spans="1:7" x14ac:dyDescent="0.35">
      <c r="A1057">
        <v>652</v>
      </c>
      <c r="B1057">
        <f t="shared" si="80"/>
        <v>-686.35206382240722</v>
      </c>
      <c r="C1057">
        <f t="shared" si="81"/>
        <v>471079.15551327774</v>
      </c>
      <c r="D1057">
        <v>77561</v>
      </c>
      <c r="E1057">
        <f t="shared" si="82"/>
        <v>7.7561</v>
      </c>
      <c r="F1057">
        <f t="shared" si="83"/>
        <v>4.3762440166493271</v>
      </c>
      <c r="G1057">
        <f t="shared" si="84"/>
        <v>19.151511693259035</v>
      </c>
    </row>
    <row r="1058" spans="1:7" x14ac:dyDescent="0.35">
      <c r="A1058">
        <v>652</v>
      </c>
      <c r="B1058">
        <f t="shared" si="80"/>
        <v>-686.35206382240722</v>
      </c>
      <c r="C1058">
        <f t="shared" si="81"/>
        <v>471079.15551327774</v>
      </c>
      <c r="D1058">
        <v>74739</v>
      </c>
      <c r="E1058">
        <f t="shared" si="82"/>
        <v>7.4739000000000004</v>
      </c>
      <c r="F1058">
        <f t="shared" si="83"/>
        <v>4.0940440166493275</v>
      </c>
      <c r="G1058">
        <f t="shared" si="84"/>
        <v>16.761196410262158</v>
      </c>
    </row>
    <row r="1059" spans="1:7" x14ac:dyDescent="0.35">
      <c r="A1059">
        <v>652</v>
      </c>
      <c r="B1059">
        <f t="shared" si="80"/>
        <v>-686.35206382240722</v>
      </c>
      <c r="C1059">
        <f t="shared" si="81"/>
        <v>471079.15551327774</v>
      </c>
      <c r="D1059">
        <v>72195</v>
      </c>
      <c r="E1059">
        <f t="shared" si="82"/>
        <v>7.2195</v>
      </c>
      <c r="F1059">
        <f t="shared" si="83"/>
        <v>3.8396440166493275</v>
      </c>
      <c r="G1059">
        <f t="shared" si="84"/>
        <v>14.742866174590981</v>
      </c>
    </row>
    <row r="1060" spans="1:7" x14ac:dyDescent="0.35">
      <c r="A1060">
        <v>652</v>
      </c>
      <c r="B1060">
        <f t="shared" si="80"/>
        <v>-686.35206382240722</v>
      </c>
      <c r="C1060">
        <f t="shared" si="81"/>
        <v>471079.15551327774</v>
      </c>
      <c r="D1060">
        <v>73028</v>
      </c>
      <c r="E1060">
        <f t="shared" si="82"/>
        <v>7.3028000000000004</v>
      </c>
      <c r="F1060">
        <f t="shared" si="83"/>
        <v>3.9229440166493279</v>
      </c>
      <c r="G1060">
        <f t="shared" si="84"/>
        <v>15.389489757764762</v>
      </c>
    </row>
    <row r="1061" spans="1:7" x14ac:dyDescent="0.35">
      <c r="A1061">
        <v>652</v>
      </c>
      <c r="B1061">
        <f t="shared" si="80"/>
        <v>-686.35206382240722</v>
      </c>
      <c r="C1061">
        <f t="shared" si="81"/>
        <v>471079.15551327774</v>
      </c>
      <c r="D1061">
        <v>70098</v>
      </c>
      <c r="E1061">
        <f t="shared" si="82"/>
        <v>7.0098000000000003</v>
      </c>
      <c r="F1061">
        <f t="shared" si="83"/>
        <v>3.6299440166493278</v>
      </c>
      <c r="G1061">
        <f t="shared" si="84"/>
        <v>13.176493564008256</v>
      </c>
    </row>
    <row r="1062" spans="1:7" x14ac:dyDescent="0.35">
      <c r="A1062">
        <v>652</v>
      </c>
      <c r="B1062">
        <f t="shared" si="80"/>
        <v>-686.35206382240722</v>
      </c>
      <c r="C1062">
        <f t="shared" si="81"/>
        <v>471079.15551327774</v>
      </c>
      <c r="D1062">
        <v>71151</v>
      </c>
      <c r="E1062">
        <f t="shared" si="82"/>
        <v>7.1151</v>
      </c>
      <c r="F1062">
        <f t="shared" si="83"/>
        <v>3.7352440166493275</v>
      </c>
      <c r="G1062">
        <f t="shared" si="84"/>
        <v>13.952047863914601</v>
      </c>
    </row>
    <row r="1063" spans="1:7" x14ac:dyDescent="0.35">
      <c r="A1063">
        <v>652</v>
      </c>
      <c r="B1063">
        <f t="shared" si="80"/>
        <v>-686.35206382240722</v>
      </c>
      <c r="C1063">
        <f t="shared" si="81"/>
        <v>471079.15551327774</v>
      </c>
      <c r="D1063">
        <v>73683</v>
      </c>
      <c r="E1063">
        <f t="shared" si="82"/>
        <v>7.3682999999999996</v>
      </c>
      <c r="F1063">
        <f t="shared" si="83"/>
        <v>3.9884440166493271</v>
      </c>
      <c r="G1063">
        <f t="shared" si="84"/>
        <v>15.907685673945817</v>
      </c>
    </row>
    <row r="1064" spans="1:7" x14ac:dyDescent="0.35">
      <c r="A1064">
        <v>652</v>
      </c>
      <c r="B1064">
        <f t="shared" si="80"/>
        <v>-686.35206382240722</v>
      </c>
      <c r="C1064">
        <f t="shared" si="81"/>
        <v>471079.15551327774</v>
      </c>
      <c r="D1064">
        <v>71038</v>
      </c>
      <c r="E1064">
        <f t="shared" si="82"/>
        <v>7.1037999999999997</v>
      </c>
      <c r="F1064">
        <f t="shared" si="83"/>
        <v>3.7239440166493272</v>
      </c>
      <c r="G1064">
        <f t="shared" si="84"/>
        <v>13.867759039138324</v>
      </c>
    </row>
    <row r="1065" spans="1:7" x14ac:dyDescent="0.35">
      <c r="A1065">
        <v>652</v>
      </c>
      <c r="B1065">
        <f t="shared" si="80"/>
        <v>-686.35206382240722</v>
      </c>
      <c r="C1065">
        <f t="shared" si="81"/>
        <v>471079.15551327774</v>
      </c>
      <c r="D1065">
        <v>74059</v>
      </c>
      <c r="E1065">
        <f t="shared" si="82"/>
        <v>7.4058999999999999</v>
      </c>
      <c r="F1065">
        <f t="shared" si="83"/>
        <v>4.0260440166493279</v>
      </c>
      <c r="G1065">
        <f t="shared" si="84"/>
        <v>16.209030423997852</v>
      </c>
    </row>
    <row r="1066" spans="1:7" x14ac:dyDescent="0.35">
      <c r="A1066">
        <v>652</v>
      </c>
      <c r="B1066">
        <f t="shared" si="80"/>
        <v>-686.35206382240722</v>
      </c>
      <c r="C1066">
        <f t="shared" si="81"/>
        <v>471079.15551327774</v>
      </c>
      <c r="D1066">
        <v>77137</v>
      </c>
      <c r="E1066">
        <f t="shared" si="82"/>
        <v>7.7137000000000002</v>
      </c>
      <c r="F1066">
        <f t="shared" si="83"/>
        <v>4.3338440166493282</v>
      </c>
      <c r="G1066">
        <f t="shared" si="84"/>
        <v>18.782203960647184</v>
      </c>
    </row>
    <row r="1067" spans="1:7" x14ac:dyDescent="0.35">
      <c r="A1067">
        <v>652</v>
      </c>
      <c r="B1067">
        <f t="shared" si="80"/>
        <v>-686.35206382240722</v>
      </c>
      <c r="C1067">
        <f t="shared" si="81"/>
        <v>471079.15551327774</v>
      </c>
      <c r="D1067">
        <v>76337</v>
      </c>
      <c r="E1067">
        <f t="shared" si="82"/>
        <v>7.6337000000000002</v>
      </c>
      <c r="F1067">
        <f t="shared" si="83"/>
        <v>4.2538440166493281</v>
      </c>
      <c r="G1067">
        <f t="shared" si="84"/>
        <v>18.09518891798329</v>
      </c>
    </row>
    <row r="1068" spans="1:7" x14ac:dyDescent="0.35">
      <c r="A1068">
        <v>652</v>
      </c>
      <c r="B1068">
        <f t="shared" si="80"/>
        <v>-686.35206382240722</v>
      </c>
      <c r="C1068">
        <f t="shared" si="81"/>
        <v>471079.15551327774</v>
      </c>
      <c r="D1068">
        <v>73731</v>
      </c>
      <c r="E1068">
        <f t="shared" si="82"/>
        <v>7.3731</v>
      </c>
      <c r="F1068">
        <f t="shared" si="83"/>
        <v>3.9932440166493275</v>
      </c>
      <c r="G1068">
        <f t="shared" si="84"/>
        <v>15.945997776505655</v>
      </c>
    </row>
    <row r="1069" spans="1:7" x14ac:dyDescent="0.35">
      <c r="A1069">
        <v>652</v>
      </c>
      <c r="B1069">
        <f t="shared" si="80"/>
        <v>-686.35206382240722</v>
      </c>
      <c r="C1069">
        <f t="shared" si="81"/>
        <v>471079.15551327774</v>
      </c>
      <c r="D1069">
        <v>76682</v>
      </c>
      <c r="E1069">
        <f t="shared" si="82"/>
        <v>7.6681999999999997</v>
      </c>
      <c r="F1069">
        <f t="shared" si="83"/>
        <v>4.2883440166493276</v>
      </c>
      <c r="G1069">
        <f t="shared" si="84"/>
        <v>18.38989440513209</v>
      </c>
    </row>
    <row r="1070" spans="1:7" x14ac:dyDescent="0.35">
      <c r="A1070">
        <v>652</v>
      </c>
      <c r="B1070">
        <f t="shared" si="80"/>
        <v>-686.35206382240722</v>
      </c>
      <c r="C1070">
        <f t="shared" si="81"/>
        <v>471079.15551327774</v>
      </c>
      <c r="D1070">
        <v>69283</v>
      </c>
      <c r="E1070">
        <f t="shared" si="82"/>
        <v>6.9283000000000001</v>
      </c>
      <c r="F1070">
        <f t="shared" si="83"/>
        <v>3.5484440166493276</v>
      </c>
      <c r="G1070">
        <f t="shared" si="84"/>
        <v>12.591454939294414</v>
      </c>
    </row>
    <row r="1071" spans="1:7" x14ac:dyDescent="0.35">
      <c r="A1071">
        <v>652</v>
      </c>
      <c r="B1071">
        <f t="shared" si="80"/>
        <v>-686.35206382240722</v>
      </c>
      <c r="C1071">
        <f t="shared" si="81"/>
        <v>471079.15551327774</v>
      </c>
      <c r="D1071">
        <v>81086</v>
      </c>
      <c r="E1071">
        <f t="shared" si="82"/>
        <v>8.1085999999999991</v>
      </c>
      <c r="F1071">
        <f t="shared" si="83"/>
        <v>4.7287440166493262</v>
      </c>
      <c r="G1071">
        <f t="shared" si="84"/>
        <v>22.361019974996804</v>
      </c>
    </row>
    <row r="1072" spans="1:7" x14ac:dyDescent="0.35">
      <c r="A1072">
        <v>652</v>
      </c>
      <c r="B1072">
        <f t="shared" si="80"/>
        <v>-686.35206382240722</v>
      </c>
      <c r="C1072">
        <f t="shared" si="81"/>
        <v>471079.15551327774</v>
      </c>
      <c r="D1072">
        <v>74926</v>
      </c>
      <c r="E1072">
        <f t="shared" si="82"/>
        <v>7.4926000000000004</v>
      </c>
      <c r="F1072">
        <f t="shared" si="83"/>
        <v>4.1127440166493283</v>
      </c>
      <c r="G1072">
        <f t="shared" si="84"/>
        <v>16.914663346484851</v>
      </c>
    </row>
    <row r="1073" spans="1:7" x14ac:dyDescent="0.35">
      <c r="A1073">
        <v>652</v>
      </c>
      <c r="B1073">
        <f t="shared" si="80"/>
        <v>-686.35206382240722</v>
      </c>
      <c r="C1073">
        <f t="shared" si="81"/>
        <v>471079.15551327774</v>
      </c>
      <c r="D1073">
        <v>83964</v>
      </c>
      <c r="E1073">
        <f t="shared" si="82"/>
        <v>8.3963999999999999</v>
      </c>
      <c r="F1073">
        <f t="shared" si="83"/>
        <v>5.0165440166493269</v>
      </c>
      <c r="G1073">
        <f t="shared" si="84"/>
        <v>25.165713870980163</v>
      </c>
    </row>
    <row r="1074" spans="1:7" x14ac:dyDescent="0.35">
      <c r="A1074">
        <v>652</v>
      </c>
      <c r="B1074">
        <f t="shared" si="80"/>
        <v>-686.35206382240722</v>
      </c>
      <c r="C1074">
        <f t="shared" si="81"/>
        <v>471079.15551327774</v>
      </c>
      <c r="D1074">
        <v>84659</v>
      </c>
      <c r="E1074">
        <f t="shared" si="82"/>
        <v>8.4658999999999995</v>
      </c>
      <c r="F1074">
        <f t="shared" si="83"/>
        <v>5.0860440166493266</v>
      </c>
      <c r="G1074">
        <f t="shared" si="84"/>
        <v>25.867843739294415</v>
      </c>
    </row>
    <row r="1075" spans="1:7" x14ac:dyDescent="0.35">
      <c r="A1075">
        <v>652</v>
      </c>
      <c r="B1075">
        <f t="shared" si="80"/>
        <v>-686.35206382240722</v>
      </c>
      <c r="C1075">
        <f t="shared" si="81"/>
        <v>471079.15551327774</v>
      </c>
      <c r="D1075">
        <v>77093</v>
      </c>
      <c r="E1075">
        <f t="shared" si="82"/>
        <v>7.7092999999999998</v>
      </c>
      <c r="F1075">
        <f t="shared" si="83"/>
        <v>4.3294440166493278</v>
      </c>
      <c r="G1075">
        <f t="shared" si="84"/>
        <v>18.744085493300666</v>
      </c>
    </row>
    <row r="1076" spans="1:7" x14ac:dyDescent="0.35">
      <c r="A1076">
        <v>652</v>
      </c>
      <c r="B1076">
        <f t="shared" si="80"/>
        <v>-686.35206382240722</v>
      </c>
      <c r="C1076">
        <f t="shared" si="81"/>
        <v>471079.15551327774</v>
      </c>
      <c r="D1076">
        <v>77299</v>
      </c>
      <c r="E1076">
        <f t="shared" si="82"/>
        <v>7.7298999999999998</v>
      </c>
      <c r="F1076">
        <f t="shared" si="83"/>
        <v>4.3500440166493277</v>
      </c>
      <c r="G1076">
        <f t="shared" si="84"/>
        <v>18.922882946786615</v>
      </c>
    </row>
    <row r="1077" spans="1:7" x14ac:dyDescent="0.35">
      <c r="A1077">
        <v>1996</v>
      </c>
      <c r="B1077">
        <f t="shared" si="80"/>
        <v>657.64793617759278</v>
      </c>
      <c r="C1077">
        <f t="shared" si="81"/>
        <v>432500.80795864714</v>
      </c>
      <c r="D1077">
        <v>26374</v>
      </c>
      <c r="E1077">
        <f t="shared" si="82"/>
        <v>2.6374</v>
      </c>
      <c r="F1077">
        <f t="shared" si="83"/>
        <v>-0.74245598335067253</v>
      </c>
      <c r="G1077">
        <f t="shared" si="84"/>
        <v>0.55124088721321418</v>
      </c>
    </row>
    <row r="1078" spans="1:7" x14ac:dyDescent="0.35">
      <c r="A1078">
        <v>1996</v>
      </c>
      <c r="B1078">
        <f t="shared" si="80"/>
        <v>657.64793617759278</v>
      </c>
      <c r="C1078">
        <f t="shared" si="81"/>
        <v>432500.80795864714</v>
      </c>
      <c r="D1078">
        <v>33402</v>
      </c>
      <c r="E1078">
        <f t="shared" si="82"/>
        <v>3.3401999999999998</v>
      </c>
      <c r="F1078">
        <f t="shared" si="83"/>
        <v>-3.9655983350672663E-2</v>
      </c>
      <c r="G1078">
        <f t="shared" si="84"/>
        <v>1.5725970155088275E-3</v>
      </c>
    </row>
    <row r="1079" spans="1:7" x14ac:dyDescent="0.35">
      <c r="A1079">
        <v>1996</v>
      </c>
      <c r="B1079">
        <f t="shared" si="80"/>
        <v>657.64793617759278</v>
      </c>
      <c r="C1079">
        <f t="shared" si="81"/>
        <v>432500.80795864714</v>
      </c>
      <c r="D1079">
        <v>25283</v>
      </c>
      <c r="E1079">
        <f t="shared" si="82"/>
        <v>2.5283000000000002</v>
      </c>
      <c r="F1079">
        <f t="shared" si="83"/>
        <v>-0.85155598335067229</v>
      </c>
      <c r="G1079">
        <f t="shared" si="84"/>
        <v>0.72514759278033047</v>
      </c>
    </row>
    <row r="1080" spans="1:7" x14ac:dyDescent="0.35">
      <c r="A1080">
        <v>1996</v>
      </c>
      <c r="B1080">
        <f t="shared" si="80"/>
        <v>657.64793617759278</v>
      </c>
      <c r="C1080">
        <f t="shared" si="81"/>
        <v>432500.80795864714</v>
      </c>
      <c r="D1080">
        <v>29693</v>
      </c>
      <c r="E1080">
        <f t="shared" si="82"/>
        <v>2.9693000000000001</v>
      </c>
      <c r="F1080">
        <f t="shared" si="83"/>
        <v>-0.41055598335067245</v>
      </c>
      <c r="G1080">
        <f t="shared" si="84"/>
        <v>0.16855621546503763</v>
      </c>
    </row>
    <row r="1081" spans="1:7" x14ac:dyDescent="0.35">
      <c r="A1081">
        <v>1996</v>
      </c>
      <c r="B1081">
        <f t="shared" si="80"/>
        <v>657.64793617759278</v>
      </c>
      <c r="C1081">
        <f t="shared" si="81"/>
        <v>432500.80795864714</v>
      </c>
      <c r="D1081">
        <v>31111</v>
      </c>
      <c r="E1081">
        <f t="shared" si="82"/>
        <v>3.1111</v>
      </c>
      <c r="F1081">
        <f t="shared" si="83"/>
        <v>-0.26875598335067252</v>
      </c>
      <c r="G1081">
        <f t="shared" si="84"/>
        <v>7.2229778586786961E-2</v>
      </c>
    </row>
    <row r="1082" spans="1:7" x14ac:dyDescent="0.35">
      <c r="A1082">
        <v>1996</v>
      </c>
      <c r="B1082">
        <f t="shared" si="80"/>
        <v>657.64793617759278</v>
      </c>
      <c r="C1082">
        <f t="shared" si="81"/>
        <v>432500.80795864714</v>
      </c>
      <c r="D1082">
        <v>28745</v>
      </c>
      <c r="E1082">
        <f t="shared" si="82"/>
        <v>2.8744999999999998</v>
      </c>
      <c r="F1082">
        <f t="shared" si="83"/>
        <v>-0.50535598335067267</v>
      </c>
      <c r="G1082">
        <f t="shared" si="84"/>
        <v>0.25538466990832537</v>
      </c>
    </row>
    <row r="1083" spans="1:7" x14ac:dyDescent="0.35">
      <c r="A1083">
        <v>1996</v>
      </c>
      <c r="B1083">
        <f t="shared" si="80"/>
        <v>657.64793617759278</v>
      </c>
      <c r="C1083">
        <f t="shared" si="81"/>
        <v>432500.80795864714</v>
      </c>
      <c r="D1083">
        <v>26021</v>
      </c>
      <c r="E1083">
        <f t="shared" si="82"/>
        <v>2.6021000000000001</v>
      </c>
      <c r="F1083">
        <f t="shared" si="83"/>
        <v>-0.77775598335067242</v>
      </c>
      <c r="G1083">
        <f t="shared" si="84"/>
        <v>0.60490436963777139</v>
      </c>
    </row>
    <row r="1084" spans="1:7" x14ac:dyDescent="0.35">
      <c r="A1084">
        <v>1996</v>
      </c>
      <c r="B1084">
        <f t="shared" si="80"/>
        <v>657.64793617759278</v>
      </c>
      <c r="C1084">
        <f t="shared" si="81"/>
        <v>432500.80795864714</v>
      </c>
      <c r="D1084">
        <v>27338</v>
      </c>
      <c r="E1084">
        <f t="shared" si="82"/>
        <v>2.7338</v>
      </c>
      <c r="F1084">
        <f t="shared" si="83"/>
        <v>-0.64605598335067249</v>
      </c>
      <c r="G1084">
        <f t="shared" si="84"/>
        <v>0.41738833362320443</v>
      </c>
    </row>
    <row r="1085" spans="1:7" x14ac:dyDescent="0.35">
      <c r="A1085">
        <v>1996</v>
      </c>
      <c r="B1085">
        <f t="shared" si="80"/>
        <v>657.64793617759278</v>
      </c>
      <c r="C1085">
        <f t="shared" si="81"/>
        <v>432500.80795864714</v>
      </c>
      <c r="D1085">
        <v>30022</v>
      </c>
      <c r="E1085">
        <f t="shared" si="82"/>
        <v>3.0022000000000002</v>
      </c>
      <c r="F1085">
        <f t="shared" si="83"/>
        <v>-0.3776559833506723</v>
      </c>
      <c r="G1085">
        <f t="shared" si="84"/>
        <v>0.14262404176056326</v>
      </c>
    </row>
    <row r="1086" spans="1:7" x14ac:dyDescent="0.35">
      <c r="A1086">
        <v>1996</v>
      </c>
      <c r="B1086">
        <f t="shared" si="80"/>
        <v>657.64793617759278</v>
      </c>
      <c r="C1086">
        <f t="shared" si="81"/>
        <v>432500.80795864714</v>
      </c>
      <c r="D1086">
        <v>27877</v>
      </c>
      <c r="E1086">
        <f t="shared" si="82"/>
        <v>2.7877000000000001</v>
      </c>
      <c r="F1086">
        <f t="shared" si="83"/>
        <v>-0.59215598335067243</v>
      </c>
      <c r="G1086">
        <f t="shared" si="84"/>
        <v>0.35064870861800185</v>
      </c>
    </row>
    <row r="1087" spans="1:7" x14ac:dyDescent="0.35">
      <c r="A1087">
        <v>1996</v>
      </c>
      <c r="B1087">
        <f t="shared" si="80"/>
        <v>657.64793617759278</v>
      </c>
      <c r="C1087">
        <f t="shared" si="81"/>
        <v>432500.80795864714</v>
      </c>
      <c r="D1087">
        <v>18086</v>
      </c>
      <c r="E1087">
        <f t="shared" si="82"/>
        <v>1.8086</v>
      </c>
      <c r="F1087">
        <f t="shared" si="83"/>
        <v>-1.5712559833506725</v>
      </c>
      <c r="G1087">
        <f t="shared" si="84"/>
        <v>2.4688453652152891</v>
      </c>
    </row>
    <row r="1088" spans="1:7" x14ac:dyDescent="0.35">
      <c r="A1088">
        <v>1996</v>
      </c>
      <c r="B1088">
        <f t="shared" si="80"/>
        <v>657.64793617759278</v>
      </c>
      <c r="C1088">
        <f t="shared" si="81"/>
        <v>432500.80795864714</v>
      </c>
      <c r="D1088">
        <v>18548</v>
      </c>
      <c r="E1088">
        <f t="shared" si="82"/>
        <v>1.8548</v>
      </c>
      <c r="F1088">
        <f t="shared" si="83"/>
        <v>-1.5250559833506725</v>
      </c>
      <c r="G1088">
        <f t="shared" si="84"/>
        <v>2.3257957523536867</v>
      </c>
    </row>
    <row r="1089" spans="1:7" x14ac:dyDescent="0.35">
      <c r="A1089">
        <v>1996</v>
      </c>
      <c r="B1089">
        <f t="shared" si="80"/>
        <v>657.64793617759278</v>
      </c>
      <c r="C1089">
        <f t="shared" si="81"/>
        <v>432500.80795864714</v>
      </c>
      <c r="D1089">
        <v>22581</v>
      </c>
      <c r="E1089">
        <f t="shared" si="82"/>
        <v>2.2581000000000002</v>
      </c>
      <c r="F1089">
        <f t="shared" si="83"/>
        <v>-1.1217559833506723</v>
      </c>
      <c r="G1089">
        <f t="shared" si="84"/>
        <v>1.2583364861830337</v>
      </c>
    </row>
    <row r="1090" spans="1:7" x14ac:dyDescent="0.35">
      <c r="A1090">
        <v>1996</v>
      </c>
      <c r="B1090">
        <f t="shared" si="80"/>
        <v>657.64793617759278</v>
      </c>
      <c r="C1090">
        <f t="shared" si="81"/>
        <v>432500.80795864714</v>
      </c>
      <c r="D1090">
        <v>32924</v>
      </c>
      <c r="E1090">
        <f t="shared" si="82"/>
        <v>3.2924000000000002</v>
      </c>
      <c r="F1090">
        <f t="shared" si="83"/>
        <v>-8.7455983350672284E-2</v>
      </c>
      <c r="G1090">
        <f t="shared" si="84"/>
        <v>7.6485490238330676E-3</v>
      </c>
    </row>
    <row r="1091" spans="1:7" x14ac:dyDescent="0.35">
      <c r="A1091">
        <v>1996</v>
      </c>
      <c r="B1091">
        <f t="shared" ref="B1091:B1154" si="85">A1091-$J$1</f>
        <v>657.64793617759278</v>
      </c>
      <c r="C1091">
        <f t="shared" ref="C1091:C1154" si="86">B1091^2</f>
        <v>432500.80795864714</v>
      </c>
      <c r="D1091">
        <v>30764</v>
      </c>
      <c r="E1091">
        <f t="shared" ref="E1091:E1154" si="87">D1091/10000</f>
        <v>3.0764</v>
      </c>
      <c r="F1091">
        <f t="shared" ref="F1091:F1154" si="88">E1091-$J$2</f>
        <v>-0.30345598335067248</v>
      </c>
      <c r="G1091">
        <f t="shared" ref="G1091:G1154" si="89">F1091^2</f>
        <v>9.2085533831323604E-2</v>
      </c>
    </row>
    <row r="1092" spans="1:7" x14ac:dyDescent="0.35">
      <c r="A1092">
        <v>1996</v>
      </c>
      <c r="B1092">
        <f t="shared" si="85"/>
        <v>657.64793617759278</v>
      </c>
      <c r="C1092">
        <f t="shared" si="86"/>
        <v>432500.80795864714</v>
      </c>
      <c r="D1092">
        <v>19229</v>
      </c>
      <c r="E1092">
        <f t="shared" si="87"/>
        <v>1.9229000000000001</v>
      </c>
      <c r="F1092">
        <f t="shared" si="88"/>
        <v>-1.4569559833506724</v>
      </c>
      <c r="G1092">
        <f t="shared" si="89"/>
        <v>2.1227207374213251</v>
      </c>
    </row>
    <row r="1093" spans="1:7" x14ac:dyDescent="0.35">
      <c r="A1093">
        <v>1996</v>
      </c>
      <c r="B1093">
        <f t="shared" si="85"/>
        <v>657.64793617759278</v>
      </c>
      <c r="C1093">
        <f t="shared" si="86"/>
        <v>432500.80795864714</v>
      </c>
      <c r="D1093">
        <v>11989</v>
      </c>
      <c r="E1093">
        <f t="shared" si="87"/>
        <v>1.1989000000000001</v>
      </c>
      <c r="F1093">
        <f t="shared" si="88"/>
        <v>-2.1809559833506724</v>
      </c>
      <c r="G1093">
        <f t="shared" si="89"/>
        <v>4.7565690013130988</v>
      </c>
    </row>
    <row r="1094" spans="1:7" x14ac:dyDescent="0.35">
      <c r="A1094">
        <v>1996</v>
      </c>
      <c r="B1094">
        <f t="shared" si="85"/>
        <v>657.64793617759278</v>
      </c>
      <c r="C1094">
        <f t="shared" si="86"/>
        <v>432500.80795864714</v>
      </c>
      <c r="D1094">
        <v>26236</v>
      </c>
      <c r="E1094">
        <f t="shared" si="87"/>
        <v>2.6236000000000002</v>
      </c>
      <c r="F1094">
        <f t="shared" si="88"/>
        <v>-0.75625598335067235</v>
      </c>
      <c r="G1094">
        <f t="shared" si="89"/>
        <v>0.57192311235369242</v>
      </c>
    </row>
    <row r="1095" spans="1:7" x14ac:dyDescent="0.35">
      <c r="A1095">
        <v>1996</v>
      </c>
      <c r="B1095">
        <f t="shared" si="85"/>
        <v>657.64793617759278</v>
      </c>
      <c r="C1095">
        <f t="shared" si="86"/>
        <v>432500.80795864714</v>
      </c>
      <c r="D1095">
        <v>27463</v>
      </c>
      <c r="E1095">
        <f t="shared" si="87"/>
        <v>2.7463000000000002</v>
      </c>
      <c r="F1095">
        <f t="shared" si="88"/>
        <v>-0.63355598335067231</v>
      </c>
      <c r="G1095">
        <f t="shared" si="89"/>
        <v>0.40139318403943736</v>
      </c>
    </row>
    <row r="1096" spans="1:7" x14ac:dyDescent="0.35">
      <c r="A1096">
        <v>1996</v>
      </c>
      <c r="B1096">
        <f t="shared" si="85"/>
        <v>657.64793617759278</v>
      </c>
      <c r="C1096">
        <f t="shared" si="86"/>
        <v>432500.80795864714</v>
      </c>
      <c r="D1096">
        <v>24662</v>
      </c>
      <c r="E1096">
        <f t="shared" si="87"/>
        <v>2.4662000000000002</v>
      </c>
      <c r="F1096">
        <f t="shared" si="88"/>
        <v>-0.91365598335067233</v>
      </c>
      <c r="G1096">
        <f t="shared" si="89"/>
        <v>0.83476725591248402</v>
      </c>
    </row>
    <row r="1097" spans="1:7" x14ac:dyDescent="0.35">
      <c r="A1097">
        <v>1996</v>
      </c>
      <c r="B1097">
        <f t="shared" si="85"/>
        <v>657.64793617759278</v>
      </c>
      <c r="C1097">
        <f t="shared" si="86"/>
        <v>432500.80795864714</v>
      </c>
      <c r="D1097">
        <v>28203</v>
      </c>
      <c r="E1097">
        <f t="shared" si="87"/>
        <v>2.8203</v>
      </c>
      <c r="F1097">
        <f t="shared" si="88"/>
        <v>-0.55955598335067247</v>
      </c>
      <c r="G1097">
        <f t="shared" si="89"/>
        <v>0.31310289850353806</v>
      </c>
    </row>
    <row r="1098" spans="1:7" x14ac:dyDescent="0.35">
      <c r="A1098">
        <v>1996</v>
      </c>
      <c r="B1098">
        <f t="shared" si="85"/>
        <v>657.64793617759278</v>
      </c>
      <c r="C1098">
        <f t="shared" si="86"/>
        <v>432500.80795864714</v>
      </c>
      <c r="D1098">
        <v>30625</v>
      </c>
      <c r="E1098">
        <f t="shared" si="87"/>
        <v>3.0625</v>
      </c>
      <c r="F1098">
        <f t="shared" si="88"/>
        <v>-0.3173559833506725</v>
      </c>
      <c r="G1098">
        <f t="shared" si="89"/>
        <v>0.10071482016847232</v>
      </c>
    </row>
    <row r="1099" spans="1:7" x14ac:dyDescent="0.35">
      <c r="A1099">
        <v>1996</v>
      </c>
      <c r="B1099">
        <f t="shared" si="85"/>
        <v>657.64793617759278</v>
      </c>
      <c r="C1099">
        <f t="shared" si="86"/>
        <v>432500.80795864714</v>
      </c>
      <c r="D1099">
        <v>28922</v>
      </c>
      <c r="E1099">
        <f t="shared" si="87"/>
        <v>2.8921999999999999</v>
      </c>
      <c r="F1099">
        <f t="shared" si="88"/>
        <v>-0.48765598335067262</v>
      </c>
      <c r="G1099">
        <f t="shared" si="89"/>
        <v>0.23780835809771148</v>
      </c>
    </row>
    <row r="1100" spans="1:7" x14ac:dyDescent="0.35">
      <c r="A1100">
        <v>1996</v>
      </c>
      <c r="B1100">
        <f t="shared" si="85"/>
        <v>657.64793617759278</v>
      </c>
      <c r="C1100">
        <f t="shared" si="86"/>
        <v>432500.80795864714</v>
      </c>
      <c r="D1100">
        <v>28258</v>
      </c>
      <c r="E1100">
        <f t="shared" si="87"/>
        <v>2.8258000000000001</v>
      </c>
      <c r="F1100">
        <f t="shared" si="88"/>
        <v>-0.55405598335067241</v>
      </c>
      <c r="G1100">
        <f t="shared" si="89"/>
        <v>0.30697803268668056</v>
      </c>
    </row>
    <row r="1101" spans="1:7" x14ac:dyDescent="0.35">
      <c r="A1101">
        <v>1996</v>
      </c>
      <c r="B1101">
        <f t="shared" si="85"/>
        <v>657.64793617759278</v>
      </c>
      <c r="C1101">
        <f t="shared" si="86"/>
        <v>432500.80795864714</v>
      </c>
      <c r="D1101">
        <v>28621</v>
      </c>
      <c r="E1101">
        <f t="shared" si="87"/>
        <v>2.8620999999999999</v>
      </c>
      <c r="F1101">
        <f t="shared" si="88"/>
        <v>-0.51775598335067263</v>
      </c>
      <c r="G1101">
        <f t="shared" si="89"/>
        <v>0.268071258295422</v>
      </c>
    </row>
    <row r="1102" spans="1:7" x14ac:dyDescent="0.35">
      <c r="A1102">
        <v>1996</v>
      </c>
      <c r="B1102">
        <f t="shared" si="85"/>
        <v>657.64793617759278</v>
      </c>
      <c r="C1102">
        <f t="shared" si="86"/>
        <v>432500.80795864714</v>
      </c>
      <c r="D1102">
        <v>28928</v>
      </c>
      <c r="E1102">
        <f t="shared" si="87"/>
        <v>2.8927999999999998</v>
      </c>
      <c r="F1102">
        <f t="shared" si="88"/>
        <v>-0.48705598335067268</v>
      </c>
      <c r="G1102">
        <f t="shared" si="89"/>
        <v>0.23722353091769074</v>
      </c>
    </row>
    <row r="1103" spans="1:7" x14ac:dyDescent="0.35">
      <c r="A1103">
        <v>1996</v>
      </c>
      <c r="B1103">
        <f t="shared" si="85"/>
        <v>657.64793617759278</v>
      </c>
      <c r="C1103">
        <f t="shared" si="86"/>
        <v>432500.80795864714</v>
      </c>
      <c r="D1103">
        <v>29387</v>
      </c>
      <c r="E1103">
        <f t="shared" si="87"/>
        <v>2.9386999999999999</v>
      </c>
      <c r="F1103">
        <f t="shared" si="88"/>
        <v>-0.44115598335067263</v>
      </c>
      <c r="G1103">
        <f t="shared" si="89"/>
        <v>0.19461860164609895</v>
      </c>
    </row>
    <row r="1104" spans="1:7" x14ac:dyDescent="0.35">
      <c r="A1104">
        <v>1996</v>
      </c>
      <c r="B1104">
        <f t="shared" si="85"/>
        <v>657.64793617759278</v>
      </c>
      <c r="C1104">
        <f t="shared" si="86"/>
        <v>432500.80795864714</v>
      </c>
      <c r="D1104">
        <v>30061</v>
      </c>
      <c r="E1104">
        <f t="shared" si="87"/>
        <v>3.0061</v>
      </c>
      <c r="F1104">
        <f t="shared" si="88"/>
        <v>-0.3737559833506725</v>
      </c>
      <c r="G1104">
        <f t="shared" si="89"/>
        <v>0.13969353509042817</v>
      </c>
    </row>
    <row r="1105" spans="1:7" x14ac:dyDescent="0.35">
      <c r="A1105">
        <v>1996</v>
      </c>
      <c r="B1105">
        <f t="shared" si="85"/>
        <v>657.64793617759278</v>
      </c>
      <c r="C1105">
        <f t="shared" si="86"/>
        <v>432500.80795864714</v>
      </c>
      <c r="D1105">
        <v>29356</v>
      </c>
      <c r="E1105">
        <f t="shared" si="87"/>
        <v>2.9356</v>
      </c>
      <c r="F1105">
        <f t="shared" si="88"/>
        <v>-0.44425598335067251</v>
      </c>
      <c r="G1105">
        <f t="shared" si="89"/>
        <v>0.19736337874287302</v>
      </c>
    </row>
    <row r="1106" spans="1:7" x14ac:dyDescent="0.35">
      <c r="A1106">
        <v>1996</v>
      </c>
      <c r="B1106">
        <f t="shared" si="85"/>
        <v>657.64793617759278</v>
      </c>
      <c r="C1106">
        <f t="shared" si="86"/>
        <v>432500.80795864714</v>
      </c>
      <c r="D1106">
        <v>29807</v>
      </c>
      <c r="E1106">
        <f t="shared" si="87"/>
        <v>2.9807000000000001</v>
      </c>
      <c r="F1106">
        <f t="shared" si="88"/>
        <v>-0.39915598335067237</v>
      </c>
      <c r="G1106">
        <f t="shared" si="89"/>
        <v>0.15932549904464224</v>
      </c>
    </row>
    <row r="1107" spans="1:7" x14ac:dyDescent="0.35">
      <c r="A1107">
        <v>1651</v>
      </c>
      <c r="B1107">
        <f t="shared" si="85"/>
        <v>312.64793617759278</v>
      </c>
      <c r="C1107">
        <f t="shared" si="86"/>
        <v>97748.731996108123</v>
      </c>
      <c r="D1107">
        <v>17090</v>
      </c>
      <c r="E1107">
        <f t="shared" si="87"/>
        <v>1.7090000000000001</v>
      </c>
      <c r="F1107">
        <f t="shared" si="88"/>
        <v>-1.6708559833506724</v>
      </c>
      <c r="G1107">
        <f t="shared" si="89"/>
        <v>2.7917597170987425</v>
      </c>
    </row>
    <row r="1108" spans="1:7" x14ac:dyDescent="0.35">
      <c r="A1108">
        <v>1651</v>
      </c>
      <c r="B1108">
        <f t="shared" si="85"/>
        <v>312.64793617759278</v>
      </c>
      <c r="C1108">
        <f t="shared" si="86"/>
        <v>97748.731996108123</v>
      </c>
      <c r="D1108">
        <v>17094</v>
      </c>
      <c r="E1108">
        <f t="shared" si="87"/>
        <v>1.7094</v>
      </c>
      <c r="F1108">
        <f t="shared" si="88"/>
        <v>-1.6704559833506725</v>
      </c>
      <c r="G1108">
        <f t="shared" si="89"/>
        <v>2.7904231923120619</v>
      </c>
    </row>
    <row r="1109" spans="1:7" x14ac:dyDescent="0.35">
      <c r="A1109">
        <v>1651</v>
      </c>
      <c r="B1109">
        <f t="shared" si="85"/>
        <v>312.64793617759278</v>
      </c>
      <c r="C1109">
        <f t="shared" si="86"/>
        <v>97748.731996108123</v>
      </c>
      <c r="D1109">
        <v>17097</v>
      </c>
      <c r="E1109">
        <f t="shared" si="87"/>
        <v>1.7097</v>
      </c>
      <c r="F1109">
        <f t="shared" si="88"/>
        <v>-1.6701559833506725</v>
      </c>
      <c r="G1109">
        <f t="shared" si="89"/>
        <v>2.7894210087220519</v>
      </c>
    </row>
    <row r="1110" spans="1:7" x14ac:dyDescent="0.35">
      <c r="A1110">
        <v>1651</v>
      </c>
      <c r="B1110">
        <f t="shared" si="85"/>
        <v>312.64793617759278</v>
      </c>
      <c r="C1110">
        <f t="shared" si="86"/>
        <v>97748.731996108123</v>
      </c>
      <c r="D1110">
        <v>17103</v>
      </c>
      <c r="E1110">
        <f t="shared" si="87"/>
        <v>1.7102999999999999</v>
      </c>
      <c r="F1110">
        <f t="shared" si="88"/>
        <v>-1.6695559833506726</v>
      </c>
      <c r="G1110">
        <f t="shared" si="89"/>
        <v>2.7874171815420312</v>
      </c>
    </row>
    <row r="1111" spans="1:7" x14ac:dyDescent="0.35">
      <c r="A1111">
        <v>1651</v>
      </c>
      <c r="B1111">
        <f t="shared" si="85"/>
        <v>312.64793617759278</v>
      </c>
      <c r="C1111">
        <f t="shared" si="86"/>
        <v>97748.731996108123</v>
      </c>
      <c r="D1111">
        <v>17106</v>
      </c>
      <c r="E1111">
        <f t="shared" si="87"/>
        <v>1.7105999999999999</v>
      </c>
      <c r="F1111">
        <f t="shared" si="88"/>
        <v>-1.6692559833506726</v>
      </c>
      <c r="G1111">
        <f t="shared" si="89"/>
        <v>2.786415537952021</v>
      </c>
    </row>
    <row r="1112" spans="1:7" x14ac:dyDescent="0.35">
      <c r="A1112">
        <v>1651</v>
      </c>
      <c r="B1112">
        <f t="shared" si="85"/>
        <v>312.64793617759278</v>
      </c>
      <c r="C1112">
        <f t="shared" si="86"/>
        <v>97748.731996108123</v>
      </c>
      <c r="D1112">
        <v>17110</v>
      </c>
      <c r="E1112">
        <f t="shared" si="87"/>
        <v>1.7110000000000001</v>
      </c>
      <c r="F1112">
        <f t="shared" si="88"/>
        <v>-1.6688559833506724</v>
      </c>
      <c r="G1112">
        <f t="shared" si="89"/>
        <v>2.7850802931653398</v>
      </c>
    </row>
    <row r="1113" spans="1:7" x14ac:dyDescent="0.35">
      <c r="A1113">
        <v>1651</v>
      </c>
      <c r="B1113">
        <f t="shared" si="85"/>
        <v>312.64793617759278</v>
      </c>
      <c r="C1113">
        <f t="shared" si="86"/>
        <v>97748.731996108123</v>
      </c>
      <c r="D1113">
        <v>17113</v>
      </c>
      <c r="E1113">
        <f t="shared" si="87"/>
        <v>1.7113</v>
      </c>
      <c r="F1113">
        <f t="shared" si="88"/>
        <v>-1.6685559833506725</v>
      </c>
      <c r="G1113">
        <f t="shared" si="89"/>
        <v>2.7840790695753297</v>
      </c>
    </row>
    <row r="1114" spans="1:7" x14ac:dyDescent="0.35">
      <c r="A1114">
        <v>1651</v>
      </c>
      <c r="B1114">
        <f t="shared" si="85"/>
        <v>312.64793617759278</v>
      </c>
      <c r="C1114">
        <f t="shared" si="86"/>
        <v>97748.731996108123</v>
      </c>
      <c r="D1114">
        <v>17116</v>
      </c>
      <c r="E1114">
        <f t="shared" si="87"/>
        <v>1.7116</v>
      </c>
      <c r="F1114">
        <f t="shared" si="88"/>
        <v>-1.6682559833506725</v>
      </c>
      <c r="G1114">
        <f t="shared" si="89"/>
        <v>2.7830780259853194</v>
      </c>
    </row>
    <row r="1115" spans="1:7" x14ac:dyDescent="0.35">
      <c r="A1115">
        <v>1651</v>
      </c>
      <c r="B1115">
        <f t="shared" si="85"/>
        <v>312.64793617759278</v>
      </c>
      <c r="C1115">
        <f t="shared" si="86"/>
        <v>97748.731996108123</v>
      </c>
      <c r="D1115">
        <v>17119</v>
      </c>
      <c r="E1115">
        <f t="shared" si="87"/>
        <v>1.7119</v>
      </c>
      <c r="F1115">
        <f t="shared" si="88"/>
        <v>-1.6679559833506725</v>
      </c>
      <c r="G1115">
        <f t="shared" si="89"/>
        <v>2.7820771623953089</v>
      </c>
    </row>
    <row r="1116" spans="1:7" x14ac:dyDescent="0.35">
      <c r="A1116">
        <v>1651</v>
      </c>
      <c r="B1116">
        <f t="shared" si="85"/>
        <v>312.64793617759278</v>
      </c>
      <c r="C1116">
        <f t="shared" si="86"/>
        <v>97748.731996108123</v>
      </c>
      <c r="D1116">
        <v>17122</v>
      </c>
      <c r="E1116">
        <f t="shared" si="87"/>
        <v>1.7121999999999999</v>
      </c>
      <c r="F1116">
        <f t="shared" si="88"/>
        <v>-1.6676559833506726</v>
      </c>
      <c r="G1116">
        <f t="shared" si="89"/>
        <v>2.7810764788052986</v>
      </c>
    </row>
    <row r="1117" spans="1:7" x14ac:dyDescent="0.35">
      <c r="A1117">
        <v>1651</v>
      </c>
      <c r="B1117">
        <f t="shared" si="85"/>
        <v>312.64793617759278</v>
      </c>
      <c r="C1117">
        <f t="shared" si="86"/>
        <v>97748.731996108123</v>
      </c>
      <c r="D1117">
        <v>17126</v>
      </c>
      <c r="E1117">
        <f t="shared" si="87"/>
        <v>1.7125999999999999</v>
      </c>
      <c r="F1117">
        <f t="shared" si="88"/>
        <v>-1.6672559833506726</v>
      </c>
      <c r="G1117">
        <f t="shared" si="89"/>
        <v>2.779742514018618</v>
      </c>
    </row>
    <row r="1118" spans="1:7" x14ac:dyDescent="0.35">
      <c r="A1118">
        <v>1651</v>
      </c>
      <c r="B1118">
        <f t="shared" si="85"/>
        <v>312.64793617759278</v>
      </c>
      <c r="C1118">
        <f t="shared" si="86"/>
        <v>97748.731996108123</v>
      </c>
      <c r="D1118">
        <v>17129</v>
      </c>
      <c r="E1118">
        <f t="shared" si="87"/>
        <v>1.7129000000000001</v>
      </c>
      <c r="F1118">
        <f t="shared" si="88"/>
        <v>-1.6669559833506724</v>
      </c>
      <c r="G1118">
        <f t="shared" si="89"/>
        <v>2.7787422504286075</v>
      </c>
    </row>
    <row r="1119" spans="1:7" x14ac:dyDescent="0.35">
      <c r="A1119">
        <v>1651</v>
      </c>
      <c r="B1119">
        <f t="shared" si="85"/>
        <v>312.64793617759278</v>
      </c>
      <c r="C1119">
        <f t="shared" si="86"/>
        <v>97748.731996108123</v>
      </c>
      <c r="D1119">
        <v>17132</v>
      </c>
      <c r="E1119">
        <f t="shared" si="87"/>
        <v>1.7132000000000001</v>
      </c>
      <c r="F1119">
        <f t="shared" si="88"/>
        <v>-1.6666559833506724</v>
      </c>
      <c r="G1119">
        <f t="shared" si="89"/>
        <v>2.7777421668385971</v>
      </c>
    </row>
    <row r="1120" spans="1:7" x14ac:dyDescent="0.35">
      <c r="A1120">
        <v>1651</v>
      </c>
      <c r="B1120">
        <f t="shared" si="85"/>
        <v>312.64793617759278</v>
      </c>
      <c r="C1120">
        <f t="shared" si="86"/>
        <v>97748.731996108123</v>
      </c>
      <c r="D1120">
        <v>17135</v>
      </c>
      <c r="E1120">
        <f t="shared" si="87"/>
        <v>1.7135</v>
      </c>
      <c r="F1120">
        <f t="shared" si="88"/>
        <v>-1.6663559833506725</v>
      </c>
      <c r="G1120">
        <f t="shared" si="89"/>
        <v>2.7767422632485865</v>
      </c>
    </row>
    <row r="1121" spans="1:7" x14ac:dyDescent="0.35">
      <c r="A1121">
        <v>1651</v>
      </c>
      <c r="B1121">
        <f t="shared" si="85"/>
        <v>312.64793617759278</v>
      </c>
      <c r="C1121">
        <f t="shared" si="86"/>
        <v>97748.731996108123</v>
      </c>
      <c r="D1121">
        <v>17139</v>
      </c>
      <c r="E1121">
        <f t="shared" si="87"/>
        <v>1.7139</v>
      </c>
      <c r="F1121">
        <f t="shared" si="88"/>
        <v>-1.6659559833506725</v>
      </c>
      <c r="G1121">
        <f t="shared" si="89"/>
        <v>2.7754093384619063</v>
      </c>
    </row>
    <row r="1122" spans="1:7" x14ac:dyDescent="0.35">
      <c r="A1122">
        <v>1651</v>
      </c>
      <c r="B1122">
        <f t="shared" si="85"/>
        <v>312.64793617759278</v>
      </c>
      <c r="C1122">
        <f t="shared" si="86"/>
        <v>97748.731996108123</v>
      </c>
      <c r="D1122">
        <v>17194</v>
      </c>
      <c r="E1122">
        <f t="shared" si="87"/>
        <v>1.7194</v>
      </c>
      <c r="F1122">
        <f t="shared" si="88"/>
        <v>-1.6604559833506725</v>
      </c>
      <c r="G1122">
        <f t="shared" si="89"/>
        <v>2.7571140726450487</v>
      </c>
    </row>
    <row r="1123" spans="1:7" x14ac:dyDescent="0.35">
      <c r="A1123">
        <v>1651</v>
      </c>
      <c r="B1123">
        <f t="shared" si="85"/>
        <v>312.64793617759278</v>
      </c>
      <c r="C1123">
        <f t="shared" si="86"/>
        <v>97748.731996108123</v>
      </c>
      <c r="D1123">
        <v>17289</v>
      </c>
      <c r="E1123">
        <f t="shared" si="87"/>
        <v>1.7289000000000001</v>
      </c>
      <c r="F1123">
        <f t="shared" si="88"/>
        <v>-1.6509559833506724</v>
      </c>
      <c r="G1123">
        <f t="shared" si="89"/>
        <v>2.7256556589613856</v>
      </c>
    </row>
    <row r="1124" spans="1:7" x14ac:dyDescent="0.35">
      <c r="A1124">
        <v>1651</v>
      </c>
      <c r="B1124">
        <f t="shared" si="85"/>
        <v>312.64793617759278</v>
      </c>
      <c r="C1124">
        <f t="shared" si="86"/>
        <v>97748.731996108123</v>
      </c>
      <c r="D1124">
        <v>17479</v>
      </c>
      <c r="E1124">
        <f t="shared" si="87"/>
        <v>1.7479</v>
      </c>
      <c r="F1124">
        <f t="shared" si="88"/>
        <v>-1.6319559833506725</v>
      </c>
      <c r="G1124">
        <f t="shared" si="89"/>
        <v>2.6632803315940605</v>
      </c>
    </row>
    <row r="1125" spans="1:7" x14ac:dyDescent="0.35">
      <c r="A1125">
        <v>1651</v>
      </c>
      <c r="B1125">
        <f t="shared" si="85"/>
        <v>312.64793617759278</v>
      </c>
      <c r="C1125">
        <f t="shared" si="86"/>
        <v>97748.731996108123</v>
      </c>
      <c r="D1125">
        <v>17575</v>
      </c>
      <c r="E1125">
        <f t="shared" si="87"/>
        <v>1.7575000000000001</v>
      </c>
      <c r="F1125">
        <f t="shared" si="88"/>
        <v>-1.6223559833506724</v>
      </c>
      <c r="G1125">
        <f t="shared" si="89"/>
        <v>2.6320389367137271</v>
      </c>
    </row>
    <row r="1126" spans="1:7" x14ac:dyDescent="0.35">
      <c r="A1126">
        <v>1651</v>
      </c>
      <c r="B1126">
        <f t="shared" si="85"/>
        <v>312.64793617759278</v>
      </c>
      <c r="C1126">
        <f t="shared" si="86"/>
        <v>97748.731996108123</v>
      </c>
      <c r="D1126">
        <v>17672</v>
      </c>
      <c r="E1126">
        <f t="shared" si="87"/>
        <v>1.7672000000000001</v>
      </c>
      <c r="F1126">
        <f t="shared" si="88"/>
        <v>-1.6126559833506724</v>
      </c>
      <c r="G1126">
        <f t="shared" si="89"/>
        <v>2.6006593206367241</v>
      </c>
    </row>
    <row r="1127" spans="1:7" x14ac:dyDescent="0.35">
      <c r="A1127">
        <v>1651</v>
      </c>
      <c r="B1127">
        <f t="shared" si="85"/>
        <v>312.64793617759278</v>
      </c>
      <c r="C1127">
        <f t="shared" si="86"/>
        <v>97748.731996108123</v>
      </c>
      <c r="D1127">
        <v>17769</v>
      </c>
      <c r="E1127">
        <f t="shared" si="87"/>
        <v>1.7768999999999999</v>
      </c>
      <c r="F1127">
        <f t="shared" si="88"/>
        <v>-1.6029559833506726</v>
      </c>
      <c r="G1127">
        <f t="shared" si="89"/>
        <v>2.5694678845597219</v>
      </c>
    </row>
    <row r="1128" spans="1:7" x14ac:dyDescent="0.35">
      <c r="A1128">
        <v>1651</v>
      </c>
      <c r="B1128">
        <f t="shared" si="85"/>
        <v>312.64793617759278</v>
      </c>
      <c r="C1128">
        <f t="shared" si="86"/>
        <v>97748.731996108123</v>
      </c>
      <c r="D1128">
        <v>19308</v>
      </c>
      <c r="E1128">
        <f t="shared" si="87"/>
        <v>1.9308000000000001</v>
      </c>
      <c r="F1128">
        <f t="shared" si="88"/>
        <v>-1.4490559833506724</v>
      </c>
      <c r="G1128">
        <f t="shared" si="89"/>
        <v>2.0997632428843844</v>
      </c>
    </row>
    <row r="1129" spans="1:7" x14ac:dyDescent="0.35">
      <c r="A1129">
        <v>1651</v>
      </c>
      <c r="B1129">
        <f t="shared" si="85"/>
        <v>312.64793617759278</v>
      </c>
      <c r="C1129">
        <f t="shared" si="86"/>
        <v>97748.731996108123</v>
      </c>
      <c r="D1129">
        <v>16705</v>
      </c>
      <c r="E1129">
        <f t="shared" si="87"/>
        <v>1.6705000000000001</v>
      </c>
      <c r="F1129">
        <f t="shared" si="88"/>
        <v>-1.7093559833506724</v>
      </c>
      <c r="G1129">
        <f t="shared" si="89"/>
        <v>2.9218978778167441</v>
      </c>
    </row>
    <row r="1130" spans="1:7" x14ac:dyDescent="0.35">
      <c r="A1130">
        <v>1651</v>
      </c>
      <c r="B1130">
        <f t="shared" si="85"/>
        <v>312.64793617759278</v>
      </c>
      <c r="C1130">
        <f t="shared" si="86"/>
        <v>97748.731996108123</v>
      </c>
      <c r="D1130">
        <v>11008</v>
      </c>
      <c r="E1130">
        <f t="shared" si="87"/>
        <v>1.1008</v>
      </c>
      <c r="F1130">
        <f t="shared" si="88"/>
        <v>-2.2790559833506725</v>
      </c>
      <c r="G1130">
        <f t="shared" si="89"/>
        <v>5.1940961752465009</v>
      </c>
    </row>
    <row r="1131" spans="1:7" x14ac:dyDescent="0.35">
      <c r="A1131">
        <v>1651</v>
      </c>
      <c r="B1131">
        <f t="shared" si="85"/>
        <v>312.64793617759278</v>
      </c>
      <c r="C1131">
        <f t="shared" si="86"/>
        <v>97748.731996108123</v>
      </c>
      <c r="D1131">
        <v>11567</v>
      </c>
      <c r="E1131">
        <f t="shared" si="87"/>
        <v>1.1567000000000001</v>
      </c>
      <c r="F1131">
        <f t="shared" si="88"/>
        <v>-2.2231559833506722</v>
      </c>
      <c r="G1131">
        <f t="shared" si="89"/>
        <v>4.9424225263078947</v>
      </c>
    </row>
    <row r="1132" spans="1:7" x14ac:dyDescent="0.35">
      <c r="A1132">
        <v>1651</v>
      </c>
      <c r="B1132">
        <f t="shared" si="85"/>
        <v>312.64793617759278</v>
      </c>
      <c r="C1132">
        <f t="shared" si="86"/>
        <v>97748.731996108123</v>
      </c>
      <c r="D1132">
        <v>12000</v>
      </c>
      <c r="E1132">
        <f t="shared" si="87"/>
        <v>1.2</v>
      </c>
      <c r="F1132">
        <f t="shared" si="88"/>
        <v>-2.1798559833506728</v>
      </c>
      <c r="G1132">
        <f t="shared" si="89"/>
        <v>4.7517721081497282</v>
      </c>
    </row>
    <row r="1133" spans="1:7" x14ac:dyDescent="0.35">
      <c r="A1133">
        <v>1651</v>
      </c>
      <c r="B1133">
        <f t="shared" si="85"/>
        <v>312.64793617759278</v>
      </c>
      <c r="C1133">
        <f t="shared" si="86"/>
        <v>97748.731996108123</v>
      </c>
      <c r="D1133">
        <v>12500</v>
      </c>
      <c r="E1133">
        <f t="shared" si="87"/>
        <v>1.25</v>
      </c>
      <c r="F1133">
        <f t="shared" si="88"/>
        <v>-2.1298559833506725</v>
      </c>
      <c r="G1133">
        <f t="shared" si="89"/>
        <v>4.5362865098146603</v>
      </c>
    </row>
    <row r="1134" spans="1:7" x14ac:dyDescent="0.35">
      <c r="A1134">
        <v>1651</v>
      </c>
      <c r="B1134">
        <f t="shared" si="85"/>
        <v>312.64793617759278</v>
      </c>
      <c r="C1134">
        <f t="shared" si="86"/>
        <v>97748.731996108123</v>
      </c>
      <c r="D1134">
        <v>13016</v>
      </c>
      <c r="E1134">
        <f t="shared" si="87"/>
        <v>1.3016000000000001</v>
      </c>
      <c r="F1134">
        <f t="shared" si="88"/>
        <v>-2.0782559833506724</v>
      </c>
      <c r="G1134">
        <f t="shared" si="89"/>
        <v>4.3191479323328705</v>
      </c>
    </row>
    <row r="1135" spans="1:7" x14ac:dyDescent="0.35">
      <c r="A1135">
        <v>1651</v>
      </c>
      <c r="B1135">
        <f t="shared" si="85"/>
        <v>312.64793617759278</v>
      </c>
      <c r="C1135">
        <f t="shared" si="86"/>
        <v>97748.731996108123</v>
      </c>
      <c r="D1135">
        <v>12193</v>
      </c>
      <c r="E1135">
        <f t="shared" si="87"/>
        <v>1.2193000000000001</v>
      </c>
      <c r="F1135">
        <f t="shared" si="88"/>
        <v>-2.1605559833506724</v>
      </c>
      <c r="G1135">
        <f t="shared" si="89"/>
        <v>4.6680021571923911</v>
      </c>
    </row>
    <row r="1136" spans="1:7" x14ac:dyDescent="0.35">
      <c r="A1136">
        <v>1651</v>
      </c>
      <c r="B1136">
        <f t="shared" si="85"/>
        <v>312.64793617759278</v>
      </c>
      <c r="C1136">
        <f t="shared" si="86"/>
        <v>97748.731996108123</v>
      </c>
      <c r="D1136">
        <v>11769</v>
      </c>
      <c r="E1136">
        <f t="shared" si="87"/>
        <v>1.1769000000000001</v>
      </c>
      <c r="F1136">
        <f t="shared" si="88"/>
        <v>-2.2029559833506722</v>
      </c>
      <c r="G1136">
        <f t="shared" si="89"/>
        <v>4.8530150645805268</v>
      </c>
    </row>
    <row r="1137" spans="1:7" x14ac:dyDescent="0.35">
      <c r="A1137">
        <v>1577</v>
      </c>
      <c r="B1137">
        <f t="shared" si="85"/>
        <v>238.64793617759278</v>
      </c>
      <c r="C1137">
        <f t="shared" si="86"/>
        <v>56952.837441824398</v>
      </c>
      <c r="D1137">
        <v>17500</v>
      </c>
      <c r="E1137">
        <f t="shared" si="87"/>
        <v>1.75</v>
      </c>
      <c r="F1137">
        <f t="shared" si="88"/>
        <v>-1.6298559833506725</v>
      </c>
      <c r="G1137">
        <f t="shared" si="89"/>
        <v>2.6564305264639878</v>
      </c>
    </row>
    <row r="1138" spans="1:7" x14ac:dyDescent="0.35">
      <c r="A1138">
        <v>1577</v>
      </c>
      <c r="B1138">
        <f t="shared" si="85"/>
        <v>238.64793617759278</v>
      </c>
      <c r="C1138">
        <f t="shared" si="86"/>
        <v>56952.837441824398</v>
      </c>
      <c r="D1138">
        <v>20000</v>
      </c>
      <c r="E1138">
        <f t="shared" si="87"/>
        <v>2</v>
      </c>
      <c r="F1138">
        <f t="shared" si="88"/>
        <v>-1.3798559833506725</v>
      </c>
      <c r="G1138">
        <f t="shared" si="89"/>
        <v>1.9040025347886513</v>
      </c>
    </row>
    <row r="1139" spans="1:7" x14ac:dyDescent="0.35">
      <c r="A1139">
        <v>1577</v>
      </c>
      <c r="B1139">
        <f t="shared" si="85"/>
        <v>238.64793617759278</v>
      </c>
      <c r="C1139">
        <f t="shared" si="86"/>
        <v>56952.837441824398</v>
      </c>
      <c r="D1139">
        <v>21000</v>
      </c>
      <c r="E1139">
        <f t="shared" si="87"/>
        <v>2.1</v>
      </c>
      <c r="F1139">
        <f t="shared" si="88"/>
        <v>-1.2798559833506724</v>
      </c>
      <c r="G1139">
        <f t="shared" si="89"/>
        <v>1.6380313381185168</v>
      </c>
    </row>
    <row r="1140" spans="1:7" x14ac:dyDescent="0.35">
      <c r="A1140">
        <v>1577</v>
      </c>
      <c r="B1140">
        <f t="shared" si="85"/>
        <v>238.64793617759278</v>
      </c>
      <c r="C1140">
        <f t="shared" si="86"/>
        <v>56952.837441824398</v>
      </c>
      <c r="D1140">
        <v>20176</v>
      </c>
      <c r="E1140">
        <f t="shared" si="87"/>
        <v>2.0175999999999998</v>
      </c>
      <c r="F1140">
        <f t="shared" si="88"/>
        <v>-1.3622559833506727</v>
      </c>
      <c r="G1140">
        <f t="shared" si="89"/>
        <v>1.8557413641747083</v>
      </c>
    </row>
    <row r="1141" spans="1:7" x14ac:dyDescent="0.35">
      <c r="A1141">
        <v>1577</v>
      </c>
      <c r="B1141">
        <f t="shared" si="85"/>
        <v>238.64793617759278</v>
      </c>
      <c r="C1141">
        <f t="shared" si="86"/>
        <v>56952.837441824398</v>
      </c>
      <c r="D1141">
        <v>20518</v>
      </c>
      <c r="E1141">
        <f t="shared" si="87"/>
        <v>2.0518000000000001</v>
      </c>
      <c r="F1141">
        <f t="shared" si="88"/>
        <v>-1.3280559833506724</v>
      </c>
      <c r="G1141">
        <f t="shared" si="89"/>
        <v>1.7637326949135215</v>
      </c>
    </row>
    <row r="1142" spans="1:7" x14ac:dyDescent="0.35">
      <c r="A1142">
        <v>1577</v>
      </c>
      <c r="B1142">
        <f t="shared" si="85"/>
        <v>238.64793617759278</v>
      </c>
      <c r="C1142">
        <f t="shared" si="86"/>
        <v>56952.837441824398</v>
      </c>
      <c r="D1142">
        <v>20064</v>
      </c>
      <c r="E1142">
        <f t="shared" si="87"/>
        <v>2.0064000000000002</v>
      </c>
      <c r="F1142">
        <f t="shared" si="88"/>
        <v>-1.3734559833506723</v>
      </c>
      <c r="G1142">
        <f t="shared" si="89"/>
        <v>1.8863813382017622</v>
      </c>
    </row>
    <row r="1143" spans="1:7" x14ac:dyDescent="0.35">
      <c r="A1143">
        <v>1577</v>
      </c>
      <c r="B1143">
        <f t="shared" si="85"/>
        <v>238.64793617759278</v>
      </c>
      <c r="C1143">
        <f t="shared" si="86"/>
        <v>56952.837441824398</v>
      </c>
      <c r="D1143">
        <v>19011</v>
      </c>
      <c r="E1143">
        <f t="shared" si="87"/>
        <v>1.9011</v>
      </c>
      <c r="F1143">
        <f t="shared" si="88"/>
        <v>-1.4787559833506725</v>
      </c>
      <c r="G1143">
        <f t="shared" si="89"/>
        <v>2.1867192582954145</v>
      </c>
    </row>
    <row r="1144" spans="1:7" x14ac:dyDescent="0.35">
      <c r="A1144">
        <v>1577</v>
      </c>
      <c r="B1144">
        <f t="shared" si="85"/>
        <v>238.64793617759278</v>
      </c>
      <c r="C1144">
        <f t="shared" si="86"/>
        <v>56952.837441824398</v>
      </c>
      <c r="D1144">
        <v>19738</v>
      </c>
      <c r="E1144">
        <f t="shared" si="87"/>
        <v>1.9738</v>
      </c>
      <c r="F1144">
        <f t="shared" si="88"/>
        <v>-1.4060559833506725</v>
      </c>
      <c r="G1144">
        <f t="shared" si="89"/>
        <v>1.9769934283162267</v>
      </c>
    </row>
    <row r="1145" spans="1:7" x14ac:dyDescent="0.35">
      <c r="A1145">
        <v>1577</v>
      </c>
      <c r="B1145">
        <f t="shared" si="85"/>
        <v>238.64793617759278</v>
      </c>
      <c r="C1145">
        <f t="shared" si="86"/>
        <v>56952.837441824398</v>
      </c>
      <c r="D1145">
        <v>20067</v>
      </c>
      <c r="E1145">
        <f t="shared" si="87"/>
        <v>2.0066999999999999</v>
      </c>
      <c r="F1145">
        <f t="shared" si="88"/>
        <v>-1.3731559833506726</v>
      </c>
      <c r="G1145">
        <f t="shared" si="89"/>
        <v>1.8855573546117526</v>
      </c>
    </row>
    <row r="1146" spans="1:7" x14ac:dyDescent="0.35">
      <c r="A1146">
        <v>1577</v>
      </c>
      <c r="B1146">
        <f t="shared" si="85"/>
        <v>238.64793617759278</v>
      </c>
      <c r="C1146">
        <f t="shared" si="86"/>
        <v>56952.837441824398</v>
      </c>
      <c r="D1146">
        <v>19070</v>
      </c>
      <c r="E1146">
        <f t="shared" si="87"/>
        <v>1.907</v>
      </c>
      <c r="F1146">
        <f t="shared" si="88"/>
        <v>-1.4728559833506725</v>
      </c>
      <c r="G1146">
        <f t="shared" si="89"/>
        <v>2.1693047476918763</v>
      </c>
    </row>
    <row r="1147" spans="1:7" x14ac:dyDescent="0.35">
      <c r="A1147">
        <v>1577</v>
      </c>
      <c r="B1147">
        <f t="shared" si="85"/>
        <v>238.64793617759278</v>
      </c>
      <c r="C1147">
        <f t="shared" si="86"/>
        <v>56952.837441824398</v>
      </c>
      <c r="D1147">
        <v>18375</v>
      </c>
      <c r="E1147">
        <f t="shared" si="87"/>
        <v>1.8374999999999999</v>
      </c>
      <c r="F1147">
        <f t="shared" si="88"/>
        <v>-1.5423559833506726</v>
      </c>
      <c r="G1147">
        <f t="shared" si="89"/>
        <v>2.37886197937762</v>
      </c>
    </row>
    <row r="1148" spans="1:7" x14ac:dyDescent="0.35">
      <c r="A1148">
        <v>1577</v>
      </c>
      <c r="B1148">
        <f t="shared" si="85"/>
        <v>238.64793617759278</v>
      </c>
      <c r="C1148">
        <f t="shared" si="86"/>
        <v>56952.837441824398</v>
      </c>
      <c r="D1148">
        <v>16657</v>
      </c>
      <c r="E1148">
        <f t="shared" si="87"/>
        <v>1.6657</v>
      </c>
      <c r="F1148">
        <f t="shared" si="88"/>
        <v>-1.7141559833506725</v>
      </c>
      <c r="G1148">
        <f t="shared" si="89"/>
        <v>2.938330735256911</v>
      </c>
    </row>
    <row r="1149" spans="1:7" x14ac:dyDescent="0.35">
      <c r="A1149">
        <v>1577</v>
      </c>
      <c r="B1149">
        <f t="shared" si="85"/>
        <v>238.64793617759278</v>
      </c>
      <c r="C1149">
        <f t="shared" si="86"/>
        <v>56952.837441824398</v>
      </c>
      <c r="D1149">
        <v>14282</v>
      </c>
      <c r="E1149">
        <f t="shared" si="87"/>
        <v>1.4281999999999999</v>
      </c>
      <c r="F1149">
        <f t="shared" si="88"/>
        <v>-1.9516559833506726</v>
      </c>
      <c r="G1149">
        <f t="shared" si="89"/>
        <v>3.808961077348481</v>
      </c>
    </row>
    <row r="1150" spans="1:7" x14ac:dyDescent="0.35">
      <c r="A1150">
        <v>1577</v>
      </c>
      <c r="B1150">
        <f t="shared" si="85"/>
        <v>238.64793617759278</v>
      </c>
      <c r="C1150">
        <f t="shared" si="86"/>
        <v>56952.837441824398</v>
      </c>
      <c r="D1150">
        <v>11809</v>
      </c>
      <c r="E1150">
        <f t="shared" si="87"/>
        <v>1.1809000000000001</v>
      </c>
      <c r="F1150">
        <f t="shared" si="88"/>
        <v>-2.1989559833506727</v>
      </c>
      <c r="G1150">
        <f t="shared" si="89"/>
        <v>4.835407416713724</v>
      </c>
    </row>
    <row r="1151" spans="1:7" x14ac:dyDescent="0.35">
      <c r="A1151">
        <v>1577</v>
      </c>
      <c r="B1151">
        <f t="shared" si="85"/>
        <v>238.64793617759278</v>
      </c>
      <c r="C1151">
        <f t="shared" si="86"/>
        <v>56952.837441824398</v>
      </c>
      <c r="D1151">
        <v>14210</v>
      </c>
      <c r="E1151">
        <f t="shared" si="87"/>
        <v>1.421</v>
      </c>
      <c r="F1151">
        <f t="shared" si="88"/>
        <v>-1.9588559833506725</v>
      </c>
      <c r="G1151">
        <f t="shared" si="89"/>
        <v>3.83711676350873</v>
      </c>
    </row>
    <row r="1152" spans="1:7" x14ac:dyDescent="0.35">
      <c r="A1152">
        <v>1577</v>
      </c>
      <c r="B1152">
        <f t="shared" si="85"/>
        <v>238.64793617759278</v>
      </c>
      <c r="C1152">
        <f t="shared" si="86"/>
        <v>56952.837441824398</v>
      </c>
      <c r="D1152">
        <v>12341</v>
      </c>
      <c r="E1152">
        <f t="shared" si="87"/>
        <v>1.2341</v>
      </c>
      <c r="F1152">
        <f t="shared" si="88"/>
        <v>-2.1457559833506723</v>
      </c>
      <c r="G1152">
        <f t="shared" si="89"/>
        <v>4.6042687400852103</v>
      </c>
    </row>
    <row r="1153" spans="1:7" x14ac:dyDescent="0.35">
      <c r="A1153">
        <v>1577</v>
      </c>
      <c r="B1153">
        <f t="shared" si="85"/>
        <v>238.64793617759278</v>
      </c>
      <c r="C1153">
        <f t="shared" si="86"/>
        <v>56952.837441824398</v>
      </c>
      <c r="D1153">
        <v>12921</v>
      </c>
      <c r="E1153">
        <f t="shared" si="87"/>
        <v>1.2921</v>
      </c>
      <c r="F1153">
        <f t="shared" si="88"/>
        <v>-2.0877559833506725</v>
      </c>
      <c r="G1153">
        <f t="shared" si="89"/>
        <v>4.3587250460165334</v>
      </c>
    </row>
    <row r="1154" spans="1:7" x14ac:dyDescent="0.35">
      <c r="A1154">
        <v>1577</v>
      </c>
      <c r="B1154">
        <f t="shared" si="85"/>
        <v>238.64793617759278</v>
      </c>
      <c r="C1154">
        <f t="shared" si="86"/>
        <v>56952.837441824398</v>
      </c>
      <c r="D1154">
        <v>13722</v>
      </c>
      <c r="E1154">
        <f t="shared" si="87"/>
        <v>1.3722000000000001</v>
      </c>
      <c r="F1154">
        <f t="shared" si="88"/>
        <v>-2.0076559833506726</v>
      </c>
      <c r="G1154">
        <f t="shared" si="89"/>
        <v>4.0306825474837567</v>
      </c>
    </row>
    <row r="1155" spans="1:7" x14ac:dyDescent="0.35">
      <c r="A1155">
        <v>1577</v>
      </c>
      <c r="B1155">
        <f t="shared" ref="B1155:B1218" si="90">A1155-$J$1</f>
        <v>238.64793617759278</v>
      </c>
      <c r="C1155">
        <f t="shared" ref="C1155:C1218" si="91">B1155^2</f>
        <v>56952.837441824398</v>
      </c>
      <c r="D1155">
        <v>15129</v>
      </c>
      <c r="E1155">
        <f t="shared" ref="E1155:E1218" si="92">D1155/10000</f>
        <v>1.5128999999999999</v>
      </c>
      <c r="F1155">
        <f t="shared" ref="F1155:F1218" si="93">E1155-$J$2</f>
        <v>-1.8669559833506726</v>
      </c>
      <c r="G1155">
        <f t="shared" ref="G1155:G1218" si="94">F1155^2</f>
        <v>3.4855246437688767</v>
      </c>
    </row>
    <row r="1156" spans="1:7" x14ac:dyDescent="0.35">
      <c r="A1156">
        <v>1577</v>
      </c>
      <c r="B1156">
        <f t="shared" si="90"/>
        <v>238.64793617759278</v>
      </c>
      <c r="C1156">
        <f t="shared" si="91"/>
        <v>56952.837441824398</v>
      </c>
      <c r="D1156">
        <v>16308</v>
      </c>
      <c r="E1156">
        <f t="shared" si="92"/>
        <v>1.6308</v>
      </c>
      <c r="F1156">
        <f t="shared" si="93"/>
        <v>-1.7490559833506725</v>
      </c>
      <c r="G1156">
        <f t="shared" si="94"/>
        <v>3.0591968328947878</v>
      </c>
    </row>
    <row r="1157" spans="1:7" x14ac:dyDescent="0.35">
      <c r="A1157">
        <v>1577</v>
      </c>
      <c r="B1157">
        <f t="shared" si="90"/>
        <v>238.64793617759278</v>
      </c>
      <c r="C1157">
        <f t="shared" si="91"/>
        <v>56952.837441824398</v>
      </c>
      <c r="D1157">
        <v>18156</v>
      </c>
      <c r="E1157">
        <f t="shared" si="92"/>
        <v>1.8156000000000001</v>
      </c>
      <c r="F1157">
        <f t="shared" si="93"/>
        <v>-1.5642559833506724</v>
      </c>
      <c r="G1157">
        <f t="shared" si="94"/>
        <v>2.4468967814483791</v>
      </c>
    </row>
    <row r="1158" spans="1:7" x14ac:dyDescent="0.35">
      <c r="A1158">
        <v>1577</v>
      </c>
      <c r="B1158">
        <f t="shared" si="90"/>
        <v>238.64793617759278</v>
      </c>
      <c r="C1158">
        <f t="shared" si="91"/>
        <v>56952.837441824398</v>
      </c>
      <c r="D1158">
        <v>18098</v>
      </c>
      <c r="E1158">
        <f t="shared" si="92"/>
        <v>1.8098000000000001</v>
      </c>
      <c r="F1158">
        <f t="shared" si="93"/>
        <v>-1.5700559833506724</v>
      </c>
      <c r="G1158">
        <f t="shared" si="94"/>
        <v>2.4650757908552468</v>
      </c>
    </row>
    <row r="1159" spans="1:7" x14ac:dyDescent="0.35">
      <c r="A1159">
        <v>1577</v>
      </c>
      <c r="B1159">
        <f t="shared" si="90"/>
        <v>238.64793617759278</v>
      </c>
      <c r="C1159">
        <f t="shared" si="91"/>
        <v>56952.837441824398</v>
      </c>
      <c r="D1159">
        <v>20368</v>
      </c>
      <c r="E1159">
        <f t="shared" si="92"/>
        <v>2.0367999999999999</v>
      </c>
      <c r="F1159">
        <f t="shared" si="93"/>
        <v>-1.3430559833506726</v>
      </c>
      <c r="G1159">
        <f t="shared" si="94"/>
        <v>1.8037993744140421</v>
      </c>
    </row>
    <row r="1160" spans="1:7" x14ac:dyDescent="0.35">
      <c r="A1160">
        <v>1577</v>
      </c>
      <c r="B1160">
        <f t="shared" si="90"/>
        <v>238.64793617759278</v>
      </c>
      <c r="C1160">
        <f t="shared" si="91"/>
        <v>56952.837441824398</v>
      </c>
      <c r="D1160">
        <v>20818</v>
      </c>
      <c r="E1160">
        <f t="shared" si="92"/>
        <v>2.0817999999999999</v>
      </c>
      <c r="F1160">
        <f t="shared" si="93"/>
        <v>-1.2980559833506726</v>
      </c>
      <c r="G1160">
        <f t="shared" si="94"/>
        <v>1.6849493359124816</v>
      </c>
    </row>
    <row r="1161" spans="1:7" x14ac:dyDescent="0.35">
      <c r="A1161">
        <v>1577</v>
      </c>
      <c r="B1161">
        <f t="shared" si="90"/>
        <v>238.64793617759278</v>
      </c>
      <c r="C1161">
        <f t="shared" si="91"/>
        <v>56952.837441824398</v>
      </c>
      <c r="D1161">
        <v>18824</v>
      </c>
      <c r="E1161">
        <f t="shared" si="92"/>
        <v>1.8824000000000001</v>
      </c>
      <c r="F1161">
        <f t="shared" si="93"/>
        <v>-1.4974559833506724</v>
      </c>
      <c r="G1161">
        <f t="shared" si="94"/>
        <v>2.2423744220727295</v>
      </c>
    </row>
    <row r="1162" spans="1:7" x14ac:dyDescent="0.35">
      <c r="A1162">
        <v>1577</v>
      </c>
      <c r="B1162">
        <f t="shared" si="90"/>
        <v>238.64793617759278</v>
      </c>
      <c r="C1162">
        <f t="shared" si="91"/>
        <v>56952.837441824398</v>
      </c>
      <c r="D1162">
        <v>17345</v>
      </c>
      <c r="E1162">
        <f t="shared" si="92"/>
        <v>1.7344999999999999</v>
      </c>
      <c r="F1162">
        <f t="shared" si="93"/>
        <v>-1.6453559833506726</v>
      </c>
      <c r="G1162">
        <f t="shared" si="94"/>
        <v>2.7071963119478588</v>
      </c>
    </row>
    <row r="1163" spans="1:7" x14ac:dyDescent="0.35">
      <c r="A1163">
        <v>1577</v>
      </c>
      <c r="B1163">
        <f t="shared" si="90"/>
        <v>238.64793617759278</v>
      </c>
      <c r="C1163">
        <f t="shared" si="91"/>
        <v>56952.837441824398</v>
      </c>
      <c r="D1163">
        <v>15535</v>
      </c>
      <c r="E1163">
        <f t="shared" si="92"/>
        <v>1.5535000000000001</v>
      </c>
      <c r="F1163">
        <f t="shared" si="93"/>
        <v>-1.8263559833506724</v>
      </c>
      <c r="G1163">
        <f t="shared" si="94"/>
        <v>3.3355761779208017</v>
      </c>
    </row>
    <row r="1164" spans="1:7" x14ac:dyDescent="0.35">
      <c r="A1164">
        <v>1577</v>
      </c>
      <c r="B1164">
        <f t="shared" si="90"/>
        <v>238.64793617759278</v>
      </c>
      <c r="C1164">
        <f t="shared" si="91"/>
        <v>56952.837441824398</v>
      </c>
      <c r="D1164">
        <v>15647</v>
      </c>
      <c r="E1164">
        <f t="shared" si="92"/>
        <v>1.5647</v>
      </c>
      <c r="F1164">
        <f t="shared" si="93"/>
        <v>-1.8151559833506725</v>
      </c>
      <c r="G1164">
        <f t="shared" si="94"/>
        <v>3.294791243893747</v>
      </c>
    </row>
    <row r="1165" spans="1:7" x14ac:dyDescent="0.35">
      <c r="A1165">
        <v>1577</v>
      </c>
      <c r="B1165">
        <f t="shared" si="90"/>
        <v>238.64793617759278</v>
      </c>
      <c r="C1165">
        <f t="shared" si="91"/>
        <v>56952.837441824398</v>
      </c>
      <c r="D1165">
        <v>15281</v>
      </c>
      <c r="E1165">
        <f t="shared" si="92"/>
        <v>1.5281</v>
      </c>
      <c r="F1165">
        <f t="shared" si="93"/>
        <v>-1.8517559833506725</v>
      </c>
      <c r="G1165">
        <f t="shared" si="94"/>
        <v>3.429000221875016</v>
      </c>
    </row>
    <row r="1166" spans="1:7" x14ac:dyDescent="0.35">
      <c r="A1166">
        <v>1577</v>
      </c>
      <c r="B1166">
        <f t="shared" si="90"/>
        <v>238.64793617759278</v>
      </c>
      <c r="C1166">
        <f t="shared" si="91"/>
        <v>56952.837441824398</v>
      </c>
      <c r="D1166">
        <v>16255</v>
      </c>
      <c r="E1166">
        <f t="shared" si="92"/>
        <v>1.6254999999999999</v>
      </c>
      <c r="F1166">
        <f t="shared" si="93"/>
        <v>-1.7543559833506726</v>
      </c>
      <c r="G1166">
        <f t="shared" si="94"/>
        <v>3.0777649163183054</v>
      </c>
    </row>
    <row r="1167" spans="1:7" x14ac:dyDescent="0.35">
      <c r="A1167">
        <v>2387</v>
      </c>
      <c r="B1167">
        <f t="shared" si="90"/>
        <v>1048.6479361775928</v>
      </c>
      <c r="C1167">
        <f t="shared" si="91"/>
        <v>1099662.4940495247</v>
      </c>
      <c r="D1167">
        <v>32935</v>
      </c>
      <c r="E1167">
        <f t="shared" si="92"/>
        <v>3.2934999999999999</v>
      </c>
      <c r="F1167">
        <f t="shared" si="93"/>
        <v>-8.6355983350672627E-2</v>
      </c>
      <c r="G1167">
        <f t="shared" si="94"/>
        <v>7.4573558604616478E-3</v>
      </c>
    </row>
    <row r="1168" spans="1:7" x14ac:dyDescent="0.35">
      <c r="A1168">
        <v>2387</v>
      </c>
      <c r="B1168">
        <f t="shared" si="90"/>
        <v>1048.6479361775928</v>
      </c>
      <c r="C1168">
        <f t="shared" si="91"/>
        <v>1099662.4940495247</v>
      </c>
      <c r="D1168">
        <v>32825</v>
      </c>
      <c r="E1168">
        <f t="shared" si="92"/>
        <v>3.2825000000000002</v>
      </c>
      <c r="F1168">
        <f t="shared" si="93"/>
        <v>-9.7355983350672304E-2</v>
      </c>
      <c r="G1168">
        <f t="shared" si="94"/>
        <v>9.4781874941763829E-3</v>
      </c>
    </row>
    <row r="1169" spans="1:7" x14ac:dyDescent="0.35">
      <c r="A1169">
        <v>2387</v>
      </c>
      <c r="B1169">
        <f t="shared" si="90"/>
        <v>1048.6479361775928</v>
      </c>
      <c r="C1169">
        <f t="shared" si="91"/>
        <v>1099662.4940495247</v>
      </c>
      <c r="D1169">
        <v>32515</v>
      </c>
      <c r="E1169">
        <f t="shared" si="92"/>
        <v>3.2515000000000001</v>
      </c>
      <c r="F1169">
        <f t="shared" si="93"/>
        <v>-0.12835598335067244</v>
      </c>
      <c r="G1169">
        <f t="shared" si="94"/>
        <v>1.6475258461918101E-2</v>
      </c>
    </row>
    <row r="1170" spans="1:7" x14ac:dyDescent="0.35">
      <c r="A1170">
        <v>2387</v>
      </c>
      <c r="B1170">
        <f t="shared" si="90"/>
        <v>1048.6479361775928</v>
      </c>
      <c r="C1170">
        <f t="shared" si="91"/>
        <v>1099662.4940495247</v>
      </c>
      <c r="D1170">
        <v>34014</v>
      </c>
      <c r="E1170">
        <f t="shared" si="92"/>
        <v>3.4014000000000002</v>
      </c>
      <c r="F1170">
        <f t="shared" si="93"/>
        <v>2.1544016649327702E-2</v>
      </c>
      <c r="G1170">
        <f t="shared" si="94"/>
        <v>4.6414465338650922E-4</v>
      </c>
    </row>
    <row r="1171" spans="1:7" x14ac:dyDescent="0.35">
      <c r="A1171">
        <v>2387</v>
      </c>
      <c r="B1171">
        <f t="shared" si="90"/>
        <v>1048.6479361775928</v>
      </c>
      <c r="C1171">
        <f t="shared" si="91"/>
        <v>1099662.4940495247</v>
      </c>
      <c r="D1171">
        <v>30331</v>
      </c>
      <c r="E1171">
        <f t="shared" si="92"/>
        <v>3.0331000000000001</v>
      </c>
      <c r="F1171">
        <f t="shared" si="93"/>
        <v>-0.34675598335067237</v>
      </c>
      <c r="G1171">
        <f t="shared" si="94"/>
        <v>0.12023971198949178</v>
      </c>
    </row>
    <row r="1172" spans="1:7" x14ac:dyDescent="0.35">
      <c r="A1172">
        <v>2387</v>
      </c>
      <c r="B1172">
        <f t="shared" si="90"/>
        <v>1048.6479361775928</v>
      </c>
      <c r="C1172">
        <f t="shared" si="91"/>
        <v>1099662.4940495247</v>
      </c>
      <c r="D1172">
        <v>33427</v>
      </c>
      <c r="E1172">
        <f t="shared" si="92"/>
        <v>3.3426999999999998</v>
      </c>
      <c r="F1172">
        <f t="shared" si="93"/>
        <v>-3.7155983350672717E-2</v>
      </c>
      <c r="G1172">
        <f t="shared" si="94"/>
        <v>1.3805670987554681E-3</v>
      </c>
    </row>
    <row r="1173" spans="1:7" x14ac:dyDescent="0.35">
      <c r="A1173">
        <v>2387</v>
      </c>
      <c r="B1173">
        <f t="shared" si="90"/>
        <v>1048.6479361775928</v>
      </c>
      <c r="C1173">
        <f t="shared" si="91"/>
        <v>1099662.4940495247</v>
      </c>
      <c r="D1173">
        <v>35106</v>
      </c>
      <c r="E1173">
        <f t="shared" si="92"/>
        <v>3.5106000000000002</v>
      </c>
      <c r="F1173">
        <f t="shared" si="93"/>
        <v>0.13074401664932767</v>
      </c>
      <c r="G1173">
        <f t="shared" si="94"/>
        <v>1.7093997889599671E-2</v>
      </c>
    </row>
    <row r="1174" spans="1:7" x14ac:dyDescent="0.35">
      <c r="A1174">
        <v>2387</v>
      </c>
      <c r="B1174">
        <f t="shared" si="90"/>
        <v>1048.6479361775928</v>
      </c>
      <c r="C1174">
        <f t="shared" si="91"/>
        <v>1099662.4940495247</v>
      </c>
      <c r="D1174">
        <v>33171</v>
      </c>
      <c r="E1174">
        <f t="shared" si="92"/>
        <v>3.3170999999999999</v>
      </c>
      <c r="F1174">
        <f t="shared" si="93"/>
        <v>-6.2755983350672562E-2</v>
      </c>
      <c r="G1174">
        <f t="shared" si="94"/>
        <v>3.9383134463098915E-3</v>
      </c>
    </row>
    <row r="1175" spans="1:7" x14ac:dyDescent="0.35">
      <c r="A1175">
        <v>2387</v>
      </c>
      <c r="B1175">
        <f t="shared" si="90"/>
        <v>1048.6479361775928</v>
      </c>
      <c r="C1175">
        <f t="shared" si="91"/>
        <v>1099662.4940495247</v>
      </c>
      <c r="D1175">
        <v>37329</v>
      </c>
      <c r="E1175">
        <f t="shared" si="92"/>
        <v>3.7328999999999999</v>
      </c>
      <c r="F1175">
        <f t="shared" si="93"/>
        <v>0.35304401664932739</v>
      </c>
      <c r="G1175">
        <f t="shared" si="94"/>
        <v>0.12464007769189055</v>
      </c>
    </row>
    <row r="1176" spans="1:7" x14ac:dyDescent="0.35">
      <c r="A1176">
        <v>2387</v>
      </c>
      <c r="B1176">
        <f t="shared" si="90"/>
        <v>1048.6479361775928</v>
      </c>
      <c r="C1176">
        <f t="shared" si="91"/>
        <v>1099662.4940495247</v>
      </c>
      <c r="D1176">
        <v>39542</v>
      </c>
      <c r="E1176">
        <f t="shared" si="92"/>
        <v>3.9542000000000002</v>
      </c>
      <c r="F1176">
        <f t="shared" si="93"/>
        <v>0.57434401664932766</v>
      </c>
      <c r="G1176">
        <f t="shared" si="94"/>
        <v>0.32987104946088319</v>
      </c>
    </row>
    <row r="1177" spans="1:7" x14ac:dyDescent="0.35">
      <c r="A1177">
        <v>2387</v>
      </c>
      <c r="B1177">
        <f t="shared" si="90"/>
        <v>1048.6479361775928</v>
      </c>
      <c r="C1177">
        <f t="shared" si="91"/>
        <v>1099662.4940495247</v>
      </c>
      <c r="D1177">
        <v>40141</v>
      </c>
      <c r="E1177">
        <f t="shared" si="92"/>
        <v>4.0141</v>
      </c>
      <c r="F1177">
        <f t="shared" si="93"/>
        <v>0.6342440166493275</v>
      </c>
      <c r="G1177">
        <f t="shared" si="94"/>
        <v>0.40226547265547241</v>
      </c>
    </row>
    <row r="1178" spans="1:7" x14ac:dyDescent="0.35">
      <c r="A1178">
        <v>2387</v>
      </c>
      <c r="B1178">
        <f t="shared" si="90"/>
        <v>1048.6479361775928</v>
      </c>
      <c r="C1178">
        <f t="shared" si="91"/>
        <v>1099662.4940495247</v>
      </c>
      <c r="D1178">
        <v>39809</v>
      </c>
      <c r="E1178">
        <f t="shared" si="92"/>
        <v>3.9809000000000001</v>
      </c>
      <c r="F1178">
        <f t="shared" si="93"/>
        <v>0.60104401664932761</v>
      </c>
      <c r="G1178">
        <f t="shared" si="94"/>
        <v>0.36125390994995721</v>
      </c>
    </row>
    <row r="1179" spans="1:7" x14ac:dyDescent="0.35">
      <c r="A1179">
        <v>2387</v>
      </c>
      <c r="B1179">
        <f t="shared" si="90"/>
        <v>1048.6479361775928</v>
      </c>
      <c r="C1179">
        <f t="shared" si="91"/>
        <v>1099662.4940495247</v>
      </c>
      <c r="D1179">
        <v>40405</v>
      </c>
      <c r="E1179">
        <f t="shared" si="92"/>
        <v>4.0404999999999998</v>
      </c>
      <c r="F1179">
        <f t="shared" si="93"/>
        <v>0.66064401664932726</v>
      </c>
      <c r="G1179">
        <f t="shared" si="94"/>
        <v>0.43645051673455659</v>
      </c>
    </row>
    <row r="1180" spans="1:7" x14ac:dyDescent="0.35">
      <c r="A1180">
        <v>2387</v>
      </c>
      <c r="B1180">
        <f t="shared" si="90"/>
        <v>1048.6479361775928</v>
      </c>
      <c r="C1180">
        <f t="shared" si="91"/>
        <v>1099662.4940495247</v>
      </c>
      <c r="D1180">
        <v>38246</v>
      </c>
      <c r="E1180">
        <f t="shared" si="92"/>
        <v>3.8246000000000002</v>
      </c>
      <c r="F1180">
        <f t="shared" si="93"/>
        <v>0.44474401664932772</v>
      </c>
      <c r="G1180">
        <f t="shared" si="94"/>
        <v>0.19779724034537749</v>
      </c>
    </row>
    <row r="1181" spans="1:7" x14ac:dyDescent="0.35">
      <c r="A1181">
        <v>2387</v>
      </c>
      <c r="B1181">
        <f t="shared" si="90"/>
        <v>1048.6479361775928</v>
      </c>
      <c r="C1181">
        <f t="shared" si="91"/>
        <v>1099662.4940495247</v>
      </c>
      <c r="D1181">
        <v>38677</v>
      </c>
      <c r="E1181">
        <f t="shared" si="92"/>
        <v>3.8677000000000001</v>
      </c>
      <c r="F1181">
        <f t="shared" si="93"/>
        <v>0.48784401664932764</v>
      </c>
      <c r="G1181">
        <f t="shared" si="94"/>
        <v>0.23799178458054945</v>
      </c>
    </row>
    <row r="1182" spans="1:7" x14ac:dyDescent="0.35">
      <c r="A1182">
        <v>2387</v>
      </c>
      <c r="B1182">
        <f t="shared" si="90"/>
        <v>1048.6479361775928</v>
      </c>
      <c r="C1182">
        <f t="shared" si="91"/>
        <v>1099662.4940495247</v>
      </c>
      <c r="D1182">
        <v>39823</v>
      </c>
      <c r="E1182">
        <f t="shared" si="92"/>
        <v>3.9823</v>
      </c>
      <c r="F1182">
        <f t="shared" si="93"/>
        <v>0.60244401664932745</v>
      </c>
      <c r="G1182">
        <f t="shared" si="94"/>
        <v>0.36293879319657513</v>
      </c>
    </row>
    <row r="1183" spans="1:7" x14ac:dyDescent="0.35">
      <c r="A1183">
        <v>2387</v>
      </c>
      <c r="B1183">
        <f t="shared" si="90"/>
        <v>1048.6479361775928</v>
      </c>
      <c r="C1183">
        <f t="shared" si="91"/>
        <v>1099662.4940495247</v>
      </c>
      <c r="D1183">
        <v>41194</v>
      </c>
      <c r="E1183">
        <f t="shared" si="92"/>
        <v>4.1193999999999997</v>
      </c>
      <c r="F1183">
        <f t="shared" si="93"/>
        <v>0.73954401664932723</v>
      </c>
      <c r="G1183">
        <f t="shared" si="94"/>
        <v>0.5469253525618204</v>
      </c>
    </row>
    <row r="1184" spans="1:7" x14ac:dyDescent="0.35">
      <c r="A1184">
        <v>2387</v>
      </c>
      <c r="B1184">
        <f t="shared" si="90"/>
        <v>1048.6479361775928</v>
      </c>
      <c r="C1184">
        <f t="shared" si="91"/>
        <v>1099662.4940495247</v>
      </c>
      <c r="D1184">
        <v>43294</v>
      </c>
      <c r="E1184">
        <f t="shared" si="92"/>
        <v>4.3293999999999997</v>
      </c>
      <c r="F1184">
        <f t="shared" si="93"/>
        <v>0.94954401664932719</v>
      </c>
      <c r="G1184">
        <f t="shared" si="94"/>
        <v>0.9016338395545378</v>
      </c>
    </row>
    <row r="1185" spans="1:7" x14ac:dyDescent="0.35">
      <c r="A1185">
        <v>2387</v>
      </c>
      <c r="B1185">
        <f t="shared" si="90"/>
        <v>1048.6479361775928</v>
      </c>
      <c r="C1185">
        <f t="shared" si="91"/>
        <v>1099662.4940495247</v>
      </c>
      <c r="D1185">
        <v>39397</v>
      </c>
      <c r="E1185">
        <f t="shared" si="92"/>
        <v>3.9397000000000002</v>
      </c>
      <c r="F1185">
        <f t="shared" si="93"/>
        <v>0.5598440166493277</v>
      </c>
      <c r="G1185">
        <f t="shared" si="94"/>
        <v>0.3134253229780527</v>
      </c>
    </row>
    <row r="1186" spans="1:7" x14ac:dyDescent="0.35">
      <c r="A1186">
        <v>2387</v>
      </c>
      <c r="B1186">
        <f t="shared" si="90"/>
        <v>1048.6479361775928</v>
      </c>
      <c r="C1186">
        <f t="shared" si="91"/>
        <v>1099662.4940495247</v>
      </c>
      <c r="D1186">
        <v>46265</v>
      </c>
      <c r="E1186">
        <f t="shared" si="92"/>
        <v>4.6265000000000001</v>
      </c>
      <c r="F1186">
        <f t="shared" si="93"/>
        <v>1.2466440166493276</v>
      </c>
      <c r="G1186">
        <f t="shared" si="94"/>
        <v>1.5541213042475688</v>
      </c>
    </row>
    <row r="1187" spans="1:7" x14ac:dyDescent="0.35">
      <c r="A1187">
        <v>2387</v>
      </c>
      <c r="B1187">
        <f t="shared" si="90"/>
        <v>1048.6479361775928</v>
      </c>
      <c r="C1187">
        <f t="shared" si="91"/>
        <v>1099662.4940495247</v>
      </c>
      <c r="D1187">
        <v>43310</v>
      </c>
      <c r="E1187">
        <f t="shared" si="92"/>
        <v>4.3310000000000004</v>
      </c>
      <c r="F1187">
        <f t="shared" si="93"/>
        <v>0.95114401664932791</v>
      </c>
      <c r="G1187">
        <f t="shared" si="94"/>
        <v>0.90467494040781693</v>
      </c>
    </row>
    <row r="1188" spans="1:7" x14ac:dyDescent="0.35">
      <c r="A1188">
        <v>2387</v>
      </c>
      <c r="B1188">
        <f t="shared" si="90"/>
        <v>1048.6479361775928</v>
      </c>
      <c r="C1188">
        <f t="shared" si="91"/>
        <v>1099662.4940495247</v>
      </c>
      <c r="D1188">
        <v>42324</v>
      </c>
      <c r="E1188">
        <f t="shared" si="92"/>
        <v>4.2324000000000002</v>
      </c>
      <c r="F1188">
        <f t="shared" si="93"/>
        <v>0.85254401664932766</v>
      </c>
      <c r="G1188">
        <f t="shared" si="94"/>
        <v>0.72683130032456911</v>
      </c>
    </row>
    <row r="1189" spans="1:7" x14ac:dyDescent="0.35">
      <c r="A1189">
        <v>2387</v>
      </c>
      <c r="B1189">
        <f t="shared" si="90"/>
        <v>1048.6479361775928</v>
      </c>
      <c r="C1189">
        <f t="shared" si="91"/>
        <v>1099662.4940495247</v>
      </c>
      <c r="D1189">
        <v>44353</v>
      </c>
      <c r="E1189">
        <f t="shared" si="92"/>
        <v>4.4352999999999998</v>
      </c>
      <c r="F1189">
        <f t="shared" si="93"/>
        <v>1.0554440166493273</v>
      </c>
      <c r="G1189">
        <f t="shared" si="94"/>
        <v>1.1139620722808654</v>
      </c>
    </row>
    <row r="1190" spans="1:7" x14ac:dyDescent="0.35">
      <c r="A1190">
        <v>2387</v>
      </c>
      <c r="B1190">
        <f t="shared" si="90"/>
        <v>1048.6479361775928</v>
      </c>
      <c r="C1190">
        <f t="shared" si="91"/>
        <v>1099662.4940495247</v>
      </c>
      <c r="D1190">
        <v>42328</v>
      </c>
      <c r="E1190">
        <f t="shared" si="92"/>
        <v>4.2328000000000001</v>
      </c>
      <c r="F1190">
        <f t="shared" si="93"/>
        <v>0.85294401664932762</v>
      </c>
      <c r="G1190">
        <f t="shared" si="94"/>
        <v>0.72751349553788847</v>
      </c>
    </row>
    <row r="1191" spans="1:7" x14ac:dyDescent="0.35">
      <c r="A1191">
        <v>2387</v>
      </c>
      <c r="B1191">
        <f t="shared" si="90"/>
        <v>1048.6479361775928</v>
      </c>
      <c r="C1191">
        <f t="shared" si="91"/>
        <v>1099662.4940495247</v>
      </c>
      <c r="D1191">
        <v>44102</v>
      </c>
      <c r="E1191">
        <f t="shared" si="92"/>
        <v>4.4101999999999997</v>
      </c>
      <c r="F1191">
        <f t="shared" si="93"/>
        <v>1.0303440166493272</v>
      </c>
      <c r="G1191">
        <f t="shared" si="94"/>
        <v>1.061608792645069</v>
      </c>
    </row>
    <row r="1192" spans="1:7" x14ac:dyDescent="0.35">
      <c r="A1192">
        <v>2387</v>
      </c>
      <c r="B1192">
        <f t="shared" si="90"/>
        <v>1048.6479361775928</v>
      </c>
      <c r="C1192">
        <f t="shared" si="91"/>
        <v>1099662.4940495247</v>
      </c>
      <c r="D1192">
        <v>45280</v>
      </c>
      <c r="E1192">
        <f t="shared" si="92"/>
        <v>4.5279999999999996</v>
      </c>
      <c r="F1192">
        <f t="shared" si="93"/>
        <v>1.1481440166493271</v>
      </c>
      <c r="G1192">
        <f t="shared" si="94"/>
        <v>1.3182346829676503</v>
      </c>
    </row>
    <row r="1193" spans="1:7" x14ac:dyDescent="0.35">
      <c r="A1193">
        <v>2387</v>
      </c>
      <c r="B1193">
        <f t="shared" si="90"/>
        <v>1048.6479361775928</v>
      </c>
      <c r="C1193">
        <f t="shared" si="91"/>
        <v>1099662.4940495247</v>
      </c>
      <c r="D1193">
        <v>49996</v>
      </c>
      <c r="E1193">
        <f t="shared" si="92"/>
        <v>4.9996</v>
      </c>
      <c r="F1193">
        <f t="shared" si="93"/>
        <v>1.6197440166493275</v>
      </c>
      <c r="G1193">
        <f t="shared" si="94"/>
        <v>2.623570679471297</v>
      </c>
    </row>
    <row r="1194" spans="1:7" x14ac:dyDescent="0.35">
      <c r="A1194">
        <v>2387</v>
      </c>
      <c r="B1194">
        <f t="shared" si="90"/>
        <v>1048.6479361775928</v>
      </c>
      <c r="C1194">
        <f t="shared" si="91"/>
        <v>1099662.4940495247</v>
      </c>
      <c r="D1194">
        <v>34265</v>
      </c>
      <c r="E1194">
        <f t="shared" si="92"/>
        <v>3.4264999999999999</v>
      </c>
      <c r="F1194">
        <f t="shared" si="93"/>
        <v>4.664401664932738E-2</v>
      </c>
      <c r="G1194">
        <f t="shared" si="94"/>
        <v>2.1756642891827297E-3</v>
      </c>
    </row>
    <row r="1195" spans="1:7" x14ac:dyDescent="0.35">
      <c r="A1195">
        <v>2387</v>
      </c>
      <c r="B1195">
        <f t="shared" si="90"/>
        <v>1048.6479361775928</v>
      </c>
      <c r="C1195">
        <f t="shared" si="91"/>
        <v>1099662.4940495247</v>
      </c>
      <c r="D1195">
        <v>36010</v>
      </c>
      <c r="E1195">
        <f t="shared" si="92"/>
        <v>3.601</v>
      </c>
      <c r="F1195">
        <f t="shared" si="93"/>
        <v>0.22114401664932748</v>
      </c>
      <c r="G1195">
        <f t="shared" si="94"/>
        <v>4.8904676099798032E-2</v>
      </c>
    </row>
    <row r="1196" spans="1:7" x14ac:dyDescent="0.35">
      <c r="A1196">
        <v>2387</v>
      </c>
      <c r="B1196">
        <f t="shared" si="90"/>
        <v>1048.6479361775928</v>
      </c>
      <c r="C1196">
        <f t="shared" si="91"/>
        <v>1099662.4940495247</v>
      </c>
      <c r="D1196">
        <v>35572</v>
      </c>
      <c r="E1196">
        <f t="shared" si="92"/>
        <v>3.5571999999999999</v>
      </c>
      <c r="F1196">
        <f t="shared" si="93"/>
        <v>0.17734401664932742</v>
      </c>
      <c r="G1196">
        <f t="shared" si="94"/>
        <v>3.1450900241316922E-2</v>
      </c>
    </row>
    <row r="1197" spans="1:7" x14ac:dyDescent="0.35">
      <c r="A1197">
        <v>1440</v>
      </c>
      <c r="B1197">
        <f t="shared" si="90"/>
        <v>101.64793617759278</v>
      </c>
      <c r="C1197">
        <f t="shared" si="91"/>
        <v>10332.302929163976</v>
      </c>
      <c r="D1197">
        <v>23490</v>
      </c>
      <c r="E1197">
        <f t="shared" si="92"/>
        <v>2.3490000000000002</v>
      </c>
      <c r="F1197">
        <f t="shared" si="93"/>
        <v>-1.0308559833506723</v>
      </c>
      <c r="G1197">
        <f t="shared" si="94"/>
        <v>1.0626640584098817</v>
      </c>
    </row>
    <row r="1198" spans="1:7" x14ac:dyDescent="0.35">
      <c r="A1198">
        <v>1440</v>
      </c>
      <c r="B1198">
        <f t="shared" si="90"/>
        <v>101.64793617759278</v>
      </c>
      <c r="C1198">
        <f t="shared" si="91"/>
        <v>10332.302929163976</v>
      </c>
      <c r="D1198">
        <v>24566</v>
      </c>
      <c r="E1198">
        <f t="shared" si="92"/>
        <v>2.4565999999999999</v>
      </c>
      <c r="F1198">
        <f t="shared" si="93"/>
        <v>-0.9232559833506726</v>
      </c>
      <c r="G1198">
        <f t="shared" si="94"/>
        <v>0.8524016107928174</v>
      </c>
    </row>
    <row r="1199" spans="1:7" x14ac:dyDescent="0.35">
      <c r="A1199">
        <v>1440</v>
      </c>
      <c r="B1199">
        <f t="shared" si="90"/>
        <v>101.64793617759278</v>
      </c>
      <c r="C1199">
        <f t="shared" si="91"/>
        <v>10332.302929163976</v>
      </c>
      <c r="D1199">
        <v>24166</v>
      </c>
      <c r="E1199">
        <f t="shared" si="92"/>
        <v>2.4165999999999999</v>
      </c>
      <c r="F1199">
        <f t="shared" si="93"/>
        <v>-0.96325598335067264</v>
      </c>
      <c r="G1199">
        <f t="shared" si="94"/>
        <v>0.92786208946087134</v>
      </c>
    </row>
    <row r="1200" spans="1:7" x14ac:dyDescent="0.35">
      <c r="A1200">
        <v>1440</v>
      </c>
      <c r="B1200">
        <f t="shared" si="90"/>
        <v>101.64793617759278</v>
      </c>
      <c r="C1200">
        <f t="shared" si="91"/>
        <v>10332.302929163976</v>
      </c>
      <c r="D1200">
        <v>22125</v>
      </c>
      <c r="E1200">
        <f t="shared" si="92"/>
        <v>2.2124999999999999</v>
      </c>
      <c r="F1200">
        <f t="shared" si="93"/>
        <v>-1.1673559833506726</v>
      </c>
      <c r="G1200">
        <f t="shared" si="94"/>
        <v>1.3627199918646158</v>
      </c>
    </row>
    <row r="1201" spans="1:7" x14ac:dyDescent="0.35">
      <c r="A1201">
        <v>1440</v>
      </c>
      <c r="B1201">
        <f t="shared" si="90"/>
        <v>101.64793617759278</v>
      </c>
      <c r="C1201">
        <f t="shared" si="91"/>
        <v>10332.302929163976</v>
      </c>
      <c r="D1201">
        <v>21122</v>
      </c>
      <c r="E1201">
        <f t="shared" si="92"/>
        <v>2.1122000000000001</v>
      </c>
      <c r="F1201">
        <f t="shared" si="93"/>
        <v>-1.2676559833506724</v>
      </c>
      <c r="G1201">
        <f t="shared" si="94"/>
        <v>1.6069516921247602</v>
      </c>
    </row>
    <row r="1202" spans="1:7" x14ac:dyDescent="0.35">
      <c r="A1202">
        <v>1440</v>
      </c>
      <c r="B1202">
        <f t="shared" si="90"/>
        <v>101.64793617759278</v>
      </c>
      <c r="C1202">
        <f t="shared" si="91"/>
        <v>10332.302929163976</v>
      </c>
      <c r="D1202">
        <v>20000</v>
      </c>
      <c r="E1202">
        <f t="shared" si="92"/>
        <v>2</v>
      </c>
      <c r="F1202">
        <f t="shared" si="93"/>
        <v>-1.3798559833506725</v>
      </c>
      <c r="G1202">
        <f t="shared" si="94"/>
        <v>1.9040025347886513</v>
      </c>
    </row>
    <row r="1203" spans="1:7" x14ac:dyDescent="0.35">
      <c r="A1203">
        <v>1440</v>
      </c>
      <c r="B1203">
        <f t="shared" si="90"/>
        <v>101.64793617759278</v>
      </c>
      <c r="C1203">
        <f t="shared" si="91"/>
        <v>10332.302929163976</v>
      </c>
      <c r="D1203">
        <v>21586</v>
      </c>
      <c r="E1203">
        <f t="shared" si="92"/>
        <v>2.1585999999999999</v>
      </c>
      <c r="F1203">
        <f t="shared" si="93"/>
        <v>-1.2212559833506726</v>
      </c>
      <c r="G1203">
        <f t="shared" si="94"/>
        <v>1.4914661768698185</v>
      </c>
    </row>
    <row r="1204" spans="1:7" x14ac:dyDescent="0.35">
      <c r="A1204">
        <v>1440</v>
      </c>
      <c r="B1204">
        <f t="shared" si="90"/>
        <v>101.64793617759278</v>
      </c>
      <c r="C1204">
        <f t="shared" si="91"/>
        <v>10332.302929163976</v>
      </c>
      <c r="D1204">
        <v>20000</v>
      </c>
      <c r="E1204">
        <f t="shared" si="92"/>
        <v>2</v>
      </c>
      <c r="F1204">
        <f t="shared" si="93"/>
        <v>-1.3798559833506725</v>
      </c>
      <c r="G1204">
        <f t="shared" si="94"/>
        <v>1.9040025347886513</v>
      </c>
    </row>
    <row r="1205" spans="1:7" x14ac:dyDescent="0.35">
      <c r="A1205">
        <v>1440</v>
      </c>
      <c r="B1205">
        <f t="shared" si="90"/>
        <v>101.64793617759278</v>
      </c>
      <c r="C1205">
        <f t="shared" si="91"/>
        <v>10332.302929163976</v>
      </c>
      <c r="D1205">
        <v>19811</v>
      </c>
      <c r="E1205">
        <f t="shared" si="92"/>
        <v>1.9811000000000001</v>
      </c>
      <c r="F1205">
        <f t="shared" si="93"/>
        <v>-1.3987559833506724</v>
      </c>
      <c r="G1205">
        <f t="shared" si="94"/>
        <v>1.9565183009593066</v>
      </c>
    </row>
    <row r="1206" spans="1:7" x14ac:dyDescent="0.35">
      <c r="A1206">
        <v>1440</v>
      </c>
      <c r="B1206">
        <f t="shared" si="90"/>
        <v>101.64793617759278</v>
      </c>
      <c r="C1206">
        <f t="shared" si="91"/>
        <v>10332.302929163976</v>
      </c>
      <c r="D1206">
        <v>20000</v>
      </c>
      <c r="E1206">
        <f t="shared" si="92"/>
        <v>2</v>
      </c>
      <c r="F1206">
        <f t="shared" si="93"/>
        <v>-1.3798559833506725</v>
      </c>
      <c r="G1206">
        <f t="shared" si="94"/>
        <v>1.9040025347886513</v>
      </c>
    </row>
    <row r="1207" spans="1:7" x14ac:dyDescent="0.35">
      <c r="A1207">
        <v>1440</v>
      </c>
      <c r="B1207">
        <f t="shared" si="90"/>
        <v>101.64793617759278</v>
      </c>
      <c r="C1207">
        <f t="shared" si="91"/>
        <v>10332.302929163976</v>
      </c>
      <c r="D1207">
        <v>24896</v>
      </c>
      <c r="E1207">
        <f t="shared" si="92"/>
        <v>2.4895999999999998</v>
      </c>
      <c r="F1207">
        <f t="shared" si="93"/>
        <v>-0.89025598335067269</v>
      </c>
      <c r="G1207">
        <f t="shared" si="94"/>
        <v>0.79255571589167317</v>
      </c>
    </row>
    <row r="1208" spans="1:7" x14ac:dyDescent="0.35">
      <c r="A1208">
        <v>1440</v>
      </c>
      <c r="B1208">
        <f t="shared" si="90"/>
        <v>101.64793617759278</v>
      </c>
      <c r="C1208">
        <f t="shared" si="91"/>
        <v>10332.302929163976</v>
      </c>
      <c r="D1208">
        <v>22857</v>
      </c>
      <c r="E1208">
        <f t="shared" si="92"/>
        <v>2.2856999999999998</v>
      </c>
      <c r="F1208">
        <f t="shared" si="93"/>
        <v>-1.0941559833506727</v>
      </c>
      <c r="G1208">
        <f t="shared" si="94"/>
        <v>1.1971773159020775</v>
      </c>
    </row>
    <row r="1209" spans="1:7" x14ac:dyDescent="0.35">
      <c r="A1209">
        <v>1440</v>
      </c>
      <c r="B1209">
        <f t="shared" si="90"/>
        <v>101.64793617759278</v>
      </c>
      <c r="C1209">
        <f t="shared" si="91"/>
        <v>10332.302929163976</v>
      </c>
      <c r="D1209">
        <v>19800</v>
      </c>
      <c r="E1209">
        <f t="shared" si="92"/>
        <v>1.98</v>
      </c>
      <c r="F1209">
        <f t="shared" si="93"/>
        <v>-1.3998559833506725</v>
      </c>
      <c r="G1209">
        <f t="shared" si="94"/>
        <v>1.9595967741226783</v>
      </c>
    </row>
    <row r="1210" spans="1:7" x14ac:dyDescent="0.35">
      <c r="A1210">
        <v>1440</v>
      </c>
      <c r="B1210">
        <f t="shared" si="90"/>
        <v>101.64793617759278</v>
      </c>
      <c r="C1210">
        <f t="shared" si="91"/>
        <v>10332.302929163976</v>
      </c>
      <c r="D1210">
        <v>20833</v>
      </c>
      <c r="E1210">
        <f t="shared" si="92"/>
        <v>2.0832999999999999</v>
      </c>
      <c r="F1210">
        <f t="shared" si="93"/>
        <v>-1.2965559833506726</v>
      </c>
      <c r="G1210">
        <f t="shared" si="94"/>
        <v>1.6810574179624296</v>
      </c>
    </row>
    <row r="1211" spans="1:7" x14ac:dyDescent="0.35">
      <c r="A1211">
        <v>1440</v>
      </c>
      <c r="B1211">
        <f t="shared" si="90"/>
        <v>101.64793617759278</v>
      </c>
      <c r="C1211">
        <f t="shared" si="91"/>
        <v>10332.302929163976</v>
      </c>
      <c r="D1211">
        <v>25000</v>
      </c>
      <c r="E1211">
        <f t="shared" si="92"/>
        <v>2.5</v>
      </c>
      <c r="F1211">
        <f t="shared" si="93"/>
        <v>-0.8798559833506725</v>
      </c>
      <c r="G1211">
        <f t="shared" si="94"/>
        <v>0.77414655143797884</v>
      </c>
    </row>
    <row r="1212" spans="1:7" x14ac:dyDescent="0.35">
      <c r="A1212">
        <v>1440</v>
      </c>
      <c r="B1212">
        <f t="shared" si="90"/>
        <v>101.64793617759278</v>
      </c>
      <c r="C1212">
        <f t="shared" si="91"/>
        <v>10332.302929163976</v>
      </c>
      <c r="D1212">
        <v>20117</v>
      </c>
      <c r="E1212">
        <f t="shared" si="92"/>
        <v>2.0116999999999998</v>
      </c>
      <c r="F1212">
        <f t="shared" si="93"/>
        <v>-1.3681559833506727</v>
      </c>
      <c r="G1212">
        <f t="shared" si="94"/>
        <v>1.8718507947782461</v>
      </c>
    </row>
    <row r="1213" spans="1:7" x14ac:dyDescent="0.35">
      <c r="A1213">
        <v>1440</v>
      </c>
      <c r="B1213">
        <f t="shared" si="90"/>
        <v>101.64793617759278</v>
      </c>
      <c r="C1213">
        <f t="shared" si="91"/>
        <v>10332.302929163976</v>
      </c>
      <c r="D1213">
        <v>20000</v>
      </c>
      <c r="E1213">
        <f t="shared" si="92"/>
        <v>2</v>
      </c>
      <c r="F1213">
        <f t="shared" si="93"/>
        <v>-1.3798559833506725</v>
      </c>
      <c r="G1213">
        <f t="shared" si="94"/>
        <v>1.9040025347886513</v>
      </c>
    </row>
    <row r="1214" spans="1:7" x14ac:dyDescent="0.35">
      <c r="A1214">
        <v>1440</v>
      </c>
      <c r="B1214">
        <f t="shared" si="90"/>
        <v>101.64793617759278</v>
      </c>
      <c r="C1214">
        <f t="shared" si="91"/>
        <v>10332.302929163976</v>
      </c>
      <c r="D1214">
        <v>20508</v>
      </c>
      <c r="E1214">
        <f t="shared" si="92"/>
        <v>2.0508000000000002</v>
      </c>
      <c r="F1214">
        <f t="shared" si="93"/>
        <v>-1.3290559833506723</v>
      </c>
      <c r="G1214">
        <f t="shared" si="94"/>
        <v>1.7663898068802226</v>
      </c>
    </row>
    <row r="1215" spans="1:7" x14ac:dyDescent="0.35">
      <c r="A1215">
        <v>1440</v>
      </c>
      <c r="B1215">
        <f t="shared" si="90"/>
        <v>101.64793617759278</v>
      </c>
      <c r="C1215">
        <f t="shared" si="91"/>
        <v>10332.302929163976</v>
      </c>
      <c r="D1215">
        <v>20270</v>
      </c>
      <c r="E1215">
        <f t="shared" si="92"/>
        <v>2.0270000000000001</v>
      </c>
      <c r="F1215">
        <f t="shared" si="93"/>
        <v>-1.3528559833506724</v>
      </c>
      <c r="G1215">
        <f t="shared" si="94"/>
        <v>1.8302193116877148</v>
      </c>
    </row>
    <row r="1216" spans="1:7" x14ac:dyDescent="0.35">
      <c r="A1216">
        <v>1440</v>
      </c>
      <c r="B1216">
        <f t="shared" si="90"/>
        <v>101.64793617759278</v>
      </c>
      <c r="C1216">
        <f t="shared" si="91"/>
        <v>10332.302929163976</v>
      </c>
      <c r="D1216">
        <v>20755</v>
      </c>
      <c r="E1216">
        <f t="shared" si="92"/>
        <v>2.0754999999999999</v>
      </c>
      <c r="F1216">
        <f t="shared" si="93"/>
        <v>-1.3043559833506726</v>
      </c>
      <c r="G1216">
        <f t="shared" si="94"/>
        <v>1.7013445313027</v>
      </c>
    </row>
    <row r="1217" spans="1:7" x14ac:dyDescent="0.35">
      <c r="A1217">
        <v>1440</v>
      </c>
      <c r="B1217">
        <f t="shared" si="90"/>
        <v>101.64793617759278</v>
      </c>
      <c r="C1217">
        <f t="shared" si="91"/>
        <v>10332.302929163976</v>
      </c>
      <c r="D1217">
        <v>22491</v>
      </c>
      <c r="E1217">
        <f t="shared" si="92"/>
        <v>2.2490999999999999</v>
      </c>
      <c r="F1217">
        <f t="shared" si="93"/>
        <v>-1.1307559833506726</v>
      </c>
      <c r="G1217">
        <f t="shared" si="94"/>
        <v>1.2786090938833465</v>
      </c>
    </row>
    <row r="1218" spans="1:7" x14ac:dyDescent="0.35">
      <c r="A1218">
        <v>1440</v>
      </c>
      <c r="B1218">
        <f t="shared" si="90"/>
        <v>101.64793617759278</v>
      </c>
      <c r="C1218">
        <f t="shared" si="91"/>
        <v>10332.302929163976</v>
      </c>
      <c r="D1218">
        <v>20755</v>
      </c>
      <c r="E1218">
        <f t="shared" si="92"/>
        <v>2.0754999999999999</v>
      </c>
      <c r="F1218">
        <f t="shared" si="93"/>
        <v>-1.3043559833506726</v>
      </c>
      <c r="G1218">
        <f t="shared" si="94"/>
        <v>1.7013445313027</v>
      </c>
    </row>
    <row r="1219" spans="1:7" x14ac:dyDescent="0.35">
      <c r="A1219">
        <v>1440</v>
      </c>
      <c r="B1219">
        <f t="shared" ref="B1219:B1282" si="95">A1219-$J$1</f>
        <v>101.64793617759278</v>
      </c>
      <c r="C1219">
        <f t="shared" ref="C1219:C1282" si="96">B1219^2</f>
        <v>10332.302929163976</v>
      </c>
      <c r="D1219">
        <v>22313</v>
      </c>
      <c r="E1219">
        <f t="shared" ref="E1219:E1282" si="97">D1219/10000</f>
        <v>2.2313000000000001</v>
      </c>
      <c r="F1219">
        <f t="shared" ref="F1219:F1282" si="98">E1219-$J$2</f>
        <v>-1.1485559833506724</v>
      </c>
      <c r="G1219">
        <f t="shared" ref="G1219:G1282" si="99">F1219^2</f>
        <v>1.3191808468906301</v>
      </c>
    </row>
    <row r="1220" spans="1:7" x14ac:dyDescent="0.35">
      <c r="A1220">
        <v>1440</v>
      </c>
      <c r="B1220">
        <f t="shared" si="95"/>
        <v>101.64793617759278</v>
      </c>
      <c r="C1220">
        <f t="shared" si="96"/>
        <v>10332.302929163976</v>
      </c>
      <c r="D1220">
        <v>23321</v>
      </c>
      <c r="E1220">
        <f t="shared" si="97"/>
        <v>2.3321000000000001</v>
      </c>
      <c r="F1220">
        <f t="shared" si="98"/>
        <v>-1.0477559833506724</v>
      </c>
      <c r="G1220">
        <f t="shared" si="99"/>
        <v>1.0977926006471346</v>
      </c>
    </row>
    <row r="1221" spans="1:7" x14ac:dyDescent="0.35">
      <c r="A1221">
        <v>1440</v>
      </c>
      <c r="B1221">
        <f t="shared" si="95"/>
        <v>101.64793617759278</v>
      </c>
      <c r="C1221">
        <f t="shared" si="96"/>
        <v>10332.302929163976</v>
      </c>
      <c r="D1221">
        <v>24043</v>
      </c>
      <c r="E1221">
        <f t="shared" si="97"/>
        <v>2.4043000000000001</v>
      </c>
      <c r="F1221">
        <f t="shared" si="98"/>
        <v>-0.9755559833506724</v>
      </c>
      <c r="G1221">
        <f t="shared" si="99"/>
        <v>0.95170947665129735</v>
      </c>
    </row>
    <row r="1222" spans="1:7" x14ac:dyDescent="0.35">
      <c r="A1222">
        <v>1440</v>
      </c>
      <c r="B1222">
        <f t="shared" si="95"/>
        <v>101.64793617759278</v>
      </c>
      <c r="C1222">
        <f t="shared" si="96"/>
        <v>10332.302929163976</v>
      </c>
      <c r="D1222">
        <v>24722</v>
      </c>
      <c r="E1222">
        <f t="shared" si="97"/>
        <v>2.4722</v>
      </c>
      <c r="F1222">
        <f t="shared" si="98"/>
        <v>-0.90765598335067255</v>
      </c>
      <c r="G1222">
        <f t="shared" si="99"/>
        <v>0.82383938411227631</v>
      </c>
    </row>
    <row r="1223" spans="1:7" x14ac:dyDescent="0.35">
      <c r="A1223">
        <v>1440</v>
      </c>
      <c r="B1223">
        <f t="shared" si="95"/>
        <v>101.64793617759278</v>
      </c>
      <c r="C1223">
        <f t="shared" si="96"/>
        <v>10332.302929163976</v>
      </c>
      <c r="D1223">
        <v>28789</v>
      </c>
      <c r="E1223">
        <f t="shared" si="97"/>
        <v>2.8788999999999998</v>
      </c>
      <c r="F1223">
        <f t="shared" si="98"/>
        <v>-0.50095598335067271</v>
      </c>
      <c r="G1223">
        <f t="shared" si="99"/>
        <v>0.25095689725483949</v>
      </c>
    </row>
    <row r="1224" spans="1:7" x14ac:dyDescent="0.35">
      <c r="A1224">
        <v>1440</v>
      </c>
      <c r="B1224">
        <f t="shared" si="95"/>
        <v>101.64793617759278</v>
      </c>
      <c r="C1224">
        <f t="shared" si="96"/>
        <v>10332.302929163976</v>
      </c>
      <c r="D1224">
        <v>25821</v>
      </c>
      <c r="E1224">
        <f t="shared" si="97"/>
        <v>2.5821000000000001</v>
      </c>
      <c r="F1224">
        <f t="shared" si="98"/>
        <v>-0.79775598335067244</v>
      </c>
      <c r="G1224">
        <f t="shared" si="99"/>
        <v>0.63641460897179836</v>
      </c>
    </row>
    <row r="1225" spans="1:7" x14ac:dyDescent="0.35">
      <c r="A1225">
        <v>1440</v>
      </c>
      <c r="B1225">
        <f t="shared" si="95"/>
        <v>101.64793617759278</v>
      </c>
      <c r="C1225">
        <f t="shared" si="96"/>
        <v>10332.302929163976</v>
      </c>
      <c r="D1225">
        <v>24690</v>
      </c>
      <c r="E1225">
        <f t="shared" si="97"/>
        <v>2.4689999999999999</v>
      </c>
      <c r="F1225">
        <f t="shared" si="98"/>
        <v>-0.91085598335067264</v>
      </c>
      <c r="G1225">
        <f t="shared" si="99"/>
        <v>0.82965862240572086</v>
      </c>
    </row>
    <row r="1226" spans="1:7" x14ac:dyDescent="0.35">
      <c r="A1226">
        <v>1440</v>
      </c>
      <c r="B1226">
        <f t="shared" si="95"/>
        <v>101.64793617759278</v>
      </c>
      <c r="C1226">
        <f t="shared" si="96"/>
        <v>10332.302929163976</v>
      </c>
      <c r="D1226">
        <v>25240</v>
      </c>
      <c r="E1226">
        <f t="shared" si="97"/>
        <v>2.524</v>
      </c>
      <c r="F1226">
        <f t="shared" si="98"/>
        <v>-0.85585598335067248</v>
      </c>
      <c r="G1226">
        <f t="shared" si="99"/>
        <v>0.73248946423714656</v>
      </c>
    </row>
    <row r="1227" spans="1:7" x14ac:dyDescent="0.35">
      <c r="A1227">
        <v>1976</v>
      </c>
      <c r="B1227">
        <f t="shared" si="95"/>
        <v>637.64793617759278</v>
      </c>
      <c r="C1227">
        <f t="shared" si="96"/>
        <v>406594.89051154343</v>
      </c>
      <c r="D1227">
        <v>25983</v>
      </c>
      <c r="E1227">
        <f t="shared" si="97"/>
        <v>2.5983000000000001</v>
      </c>
      <c r="F1227">
        <f t="shared" si="98"/>
        <v>-0.78155598335067245</v>
      </c>
      <c r="G1227">
        <f t="shared" si="99"/>
        <v>0.61082975511123661</v>
      </c>
    </row>
    <row r="1228" spans="1:7" x14ac:dyDescent="0.35">
      <c r="A1228">
        <v>1976</v>
      </c>
      <c r="B1228">
        <f t="shared" si="95"/>
        <v>637.64793617759278</v>
      </c>
      <c r="C1228">
        <f t="shared" si="96"/>
        <v>406594.89051154343</v>
      </c>
      <c r="D1228">
        <v>24971</v>
      </c>
      <c r="E1228">
        <f t="shared" si="97"/>
        <v>2.4971000000000001</v>
      </c>
      <c r="F1228">
        <f t="shared" si="98"/>
        <v>-0.8827559833506724</v>
      </c>
      <c r="G1228">
        <f t="shared" si="99"/>
        <v>0.77925812614141265</v>
      </c>
    </row>
    <row r="1229" spans="1:7" x14ac:dyDescent="0.35">
      <c r="A1229">
        <v>1976</v>
      </c>
      <c r="B1229">
        <f t="shared" si="95"/>
        <v>637.64793617759278</v>
      </c>
      <c r="C1229">
        <f t="shared" si="96"/>
        <v>406594.89051154343</v>
      </c>
      <c r="D1229">
        <v>28557</v>
      </c>
      <c r="E1229">
        <f t="shared" si="97"/>
        <v>2.8557000000000001</v>
      </c>
      <c r="F1229">
        <f t="shared" si="98"/>
        <v>-0.52415598335067237</v>
      </c>
      <c r="G1229">
        <f t="shared" si="99"/>
        <v>0.27473949488231031</v>
      </c>
    </row>
    <row r="1230" spans="1:7" x14ac:dyDescent="0.35">
      <c r="A1230">
        <v>1976</v>
      </c>
      <c r="B1230">
        <f t="shared" si="95"/>
        <v>637.64793617759278</v>
      </c>
      <c r="C1230">
        <f t="shared" si="96"/>
        <v>406594.89051154343</v>
      </c>
      <c r="D1230">
        <v>27542</v>
      </c>
      <c r="E1230">
        <f t="shared" si="97"/>
        <v>2.7542</v>
      </c>
      <c r="F1230">
        <f t="shared" si="98"/>
        <v>-0.62565598335067252</v>
      </c>
      <c r="G1230">
        <f t="shared" si="99"/>
        <v>0.39144540950249701</v>
      </c>
    </row>
    <row r="1231" spans="1:7" x14ac:dyDescent="0.35">
      <c r="A1231">
        <v>1976</v>
      </c>
      <c r="B1231">
        <f t="shared" si="95"/>
        <v>637.64793617759278</v>
      </c>
      <c r="C1231">
        <f t="shared" si="96"/>
        <v>406594.89051154343</v>
      </c>
      <c r="D1231">
        <v>25026</v>
      </c>
      <c r="E1231">
        <f t="shared" si="97"/>
        <v>2.5026000000000002</v>
      </c>
      <c r="F1231">
        <f t="shared" si="98"/>
        <v>-0.87725598335067234</v>
      </c>
      <c r="G1231">
        <f t="shared" si="99"/>
        <v>0.76957806032455511</v>
      </c>
    </row>
    <row r="1232" spans="1:7" x14ac:dyDescent="0.35">
      <c r="A1232">
        <v>1976</v>
      </c>
      <c r="B1232">
        <f t="shared" si="95"/>
        <v>637.64793617759278</v>
      </c>
      <c r="C1232">
        <f t="shared" si="96"/>
        <v>406594.89051154343</v>
      </c>
      <c r="D1232">
        <v>25924</v>
      </c>
      <c r="E1232">
        <f t="shared" si="97"/>
        <v>2.5924</v>
      </c>
      <c r="F1232">
        <f t="shared" si="98"/>
        <v>-0.78745598335067246</v>
      </c>
      <c r="G1232">
        <f t="shared" si="99"/>
        <v>0.62008692571477453</v>
      </c>
    </row>
    <row r="1233" spans="1:7" x14ac:dyDescent="0.35">
      <c r="A1233">
        <v>1976</v>
      </c>
      <c r="B1233">
        <f t="shared" si="95"/>
        <v>637.64793617759278</v>
      </c>
      <c r="C1233">
        <f t="shared" si="96"/>
        <v>406594.89051154343</v>
      </c>
      <c r="D1233">
        <v>26931</v>
      </c>
      <c r="E1233">
        <f t="shared" si="97"/>
        <v>2.6930999999999998</v>
      </c>
      <c r="F1233">
        <f t="shared" si="98"/>
        <v>-0.68675598335067267</v>
      </c>
      <c r="G1233">
        <f t="shared" si="99"/>
        <v>0.47163378066794942</v>
      </c>
    </row>
    <row r="1234" spans="1:7" x14ac:dyDescent="0.35">
      <c r="A1234">
        <v>1976</v>
      </c>
      <c r="B1234">
        <f t="shared" si="95"/>
        <v>637.64793617759278</v>
      </c>
      <c r="C1234">
        <f t="shared" si="96"/>
        <v>406594.89051154343</v>
      </c>
      <c r="D1234">
        <v>26536</v>
      </c>
      <c r="E1234">
        <f t="shared" si="97"/>
        <v>2.6536</v>
      </c>
      <c r="F1234">
        <f t="shared" si="98"/>
        <v>-0.72625598335067254</v>
      </c>
      <c r="G1234">
        <f t="shared" si="99"/>
        <v>0.52744775335265237</v>
      </c>
    </row>
    <row r="1235" spans="1:7" x14ac:dyDescent="0.35">
      <c r="A1235">
        <v>1976</v>
      </c>
      <c r="B1235">
        <f t="shared" si="95"/>
        <v>637.64793617759278</v>
      </c>
      <c r="C1235">
        <f t="shared" si="96"/>
        <v>406594.89051154343</v>
      </c>
      <c r="D1235">
        <v>24906</v>
      </c>
      <c r="E1235">
        <f t="shared" si="97"/>
        <v>2.4906000000000001</v>
      </c>
      <c r="F1235">
        <f t="shared" si="98"/>
        <v>-0.88925598335067235</v>
      </c>
      <c r="G1235">
        <f t="shared" si="99"/>
        <v>0.79077620392497128</v>
      </c>
    </row>
    <row r="1236" spans="1:7" x14ac:dyDescent="0.35">
      <c r="A1236">
        <v>1976</v>
      </c>
      <c r="B1236">
        <f t="shared" si="95"/>
        <v>637.64793617759278</v>
      </c>
      <c r="C1236">
        <f t="shared" si="96"/>
        <v>406594.89051154343</v>
      </c>
      <c r="D1236">
        <v>26103</v>
      </c>
      <c r="E1236">
        <f t="shared" si="97"/>
        <v>2.6103000000000001</v>
      </c>
      <c r="F1236">
        <f t="shared" si="98"/>
        <v>-0.76955598335067243</v>
      </c>
      <c r="G1236">
        <f t="shared" si="99"/>
        <v>0.59221641151082038</v>
      </c>
    </row>
    <row r="1237" spans="1:7" x14ac:dyDescent="0.35">
      <c r="A1237">
        <v>1976</v>
      </c>
      <c r="B1237">
        <f t="shared" si="95"/>
        <v>637.64793617759278</v>
      </c>
      <c r="C1237">
        <f t="shared" si="96"/>
        <v>406594.89051154343</v>
      </c>
      <c r="D1237">
        <v>26768</v>
      </c>
      <c r="E1237">
        <f t="shared" si="97"/>
        <v>2.6768000000000001</v>
      </c>
      <c r="F1237">
        <f t="shared" si="98"/>
        <v>-0.70305598335067243</v>
      </c>
      <c r="G1237">
        <f t="shared" si="99"/>
        <v>0.49428771572518099</v>
      </c>
    </row>
    <row r="1238" spans="1:7" x14ac:dyDescent="0.35">
      <c r="A1238">
        <v>1976</v>
      </c>
      <c r="B1238">
        <f t="shared" si="95"/>
        <v>637.64793617759278</v>
      </c>
      <c r="C1238">
        <f t="shared" si="96"/>
        <v>406594.89051154343</v>
      </c>
      <c r="D1238">
        <v>31028</v>
      </c>
      <c r="E1238">
        <f t="shared" si="97"/>
        <v>3.1027999999999998</v>
      </c>
      <c r="F1238">
        <f t="shared" si="98"/>
        <v>-0.27705598335067272</v>
      </c>
      <c r="G1238">
        <f t="shared" si="99"/>
        <v>7.6760017910408235E-2</v>
      </c>
    </row>
    <row r="1239" spans="1:7" x14ac:dyDescent="0.35">
      <c r="A1239">
        <v>1976</v>
      </c>
      <c r="B1239">
        <f t="shared" si="95"/>
        <v>637.64793617759278</v>
      </c>
      <c r="C1239">
        <f t="shared" si="96"/>
        <v>406594.89051154343</v>
      </c>
      <c r="D1239">
        <v>25468</v>
      </c>
      <c r="E1239">
        <f t="shared" si="97"/>
        <v>2.5468000000000002</v>
      </c>
      <c r="F1239">
        <f t="shared" si="98"/>
        <v>-0.83305598335067232</v>
      </c>
      <c r="G1239">
        <f t="shared" si="99"/>
        <v>0.6939822713963556</v>
      </c>
    </row>
    <row r="1240" spans="1:7" x14ac:dyDescent="0.35">
      <c r="A1240">
        <v>1976</v>
      </c>
      <c r="B1240">
        <f t="shared" si="95"/>
        <v>637.64793617759278</v>
      </c>
      <c r="C1240">
        <f t="shared" si="96"/>
        <v>406594.89051154343</v>
      </c>
      <c r="D1240">
        <v>21850</v>
      </c>
      <c r="E1240">
        <f t="shared" si="97"/>
        <v>2.1850000000000001</v>
      </c>
      <c r="F1240">
        <f t="shared" si="98"/>
        <v>-1.1948559833506724</v>
      </c>
      <c r="G1240">
        <f t="shared" si="99"/>
        <v>1.4276808209489025</v>
      </c>
    </row>
    <row r="1241" spans="1:7" x14ac:dyDescent="0.35">
      <c r="A1241">
        <v>1976</v>
      </c>
      <c r="B1241">
        <f t="shared" si="95"/>
        <v>637.64793617759278</v>
      </c>
      <c r="C1241">
        <f t="shared" si="96"/>
        <v>406594.89051154343</v>
      </c>
      <c r="D1241">
        <v>22923</v>
      </c>
      <c r="E1241">
        <f t="shared" si="97"/>
        <v>2.2923</v>
      </c>
      <c r="F1241">
        <f t="shared" si="98"/>
        <v>-1.0875559833506725</v>
      </c>
      <c r="G1241">
        <f t="shared" si="99"/>
        <v>1.1827780169218483</v>
      </c>
    </row>
    <row r="1242" spans="1:7" x14ac:dyDescent="0.35">
      <c r="A1242">
        <v>1976</v>
      </c>
      <c r="B1242">
        <f t="shared" si="95"/>
        <v>637.64793617759278</v>
      </c>
      <c r="C1242">
        <f t="shared" si="96"/>
        <v>406594.89051154343</v>
      </c>
      <c r="D1242">
        <v>34989</v>
      </c>
      <c r="E1242">
        <f t="shared" si="97"/>
        <v>3.4988999999999999</v>
      </c>
      <c r="F1242">
        <f t="shared" si="98"/>
        <v>0.1190440166493274</v>
      </c>
      <c r="G1242">
        <f t="shared" si="99"/>
        <v>1.4171477900005339E-2</v>
      </c>
    </row>
    <row r="1243" spans="1:7" x14ac:dyDescent="0.35">
      <c r="A1243">
        <v>1976</v>
      </c>
      <c r="B1243">
        <f t="shared" si="95"/>
        <v>637.64793617759278</v>
      </c>
      <c r="C1243">
        <f t="shared" si="96"/>
        <v>406594.89051154343</v>
      </c>
      <c r="D1243">
        <v>23573</v>
      </c>
      <c r="E1243">
        <f t="shared" si="97"/>
        <v>2.3573</v>
      </c>
      <c r="F1243">
        <f t="shared" si="98"/>
        <v>-1.0225559833506725</v>
      </c>
      <c r="G1243">
        <f t="shared" si="99"/>
        <v>1.0456207390862609</v>
      </c>
    </row>
    <row r="1244" spans="1:7" x14ac:dyDescent="0.35">
      <c r="A1244">
        <v>1976</v>
      </c>
      <c r="B1244">
        <f t="shared" si="95"/>
        <v>637.64793617759278</v>
      </c>
      <c r="C1244">
        <f t="shared" si="96"/>
        <v>406594.89051154343</v>
      </c>
      <c r="D1244">
        <v>41050</v>
      </c>
      <c r="E1244">
        <f t="shared" si="97"/>
        <v>4.1050000000000004</v>
      </c>
      <c r="F1244">
        <f t="shared" si="98"/>
        <v>0.72514401664932793</v>
      </c>
      <c r="G1244">
        <f t="shared" si="99"/>
        <v>0.52583384488232077</v>
      </c>
    </row>
    <row r="1245" spans="1:7" x14ac:dyDescent="0.35">
      <c r="A1245">
        <v>1976</v>
      </c>
      <c r="B1245">
        <f t="shared" si="95"/>
        <v>637.64793617759278</v>
      </c>
      <c r="C1245">
        <f t="shared" si="96"/>
        <v>406594.89051154343</v>
      </c>
      <c r="D1245">
        <v>37417</v>
      </c>
      <c r="E1245">
        <f t="shared" si="97"/>
        <v>3.7416999999999998</v>
      </c>
      <c r="F1245">
        <f t="shared" si="98"/>
        <v>0.3618440166493273</v>
      </c>
      <c r="G1245">
        <f t="shared" si="99"/>
        <v>0.13093109238491865</v>
      </c>
    </row>
    <row r="1246" spans="1:7" x14ac:dyDescent="0.35">
      <c r="A1246">
        <v>1976</v>
      </c>
      <c r="B1246">
        <f t="shared" si="95"/>
        <v>637.64793617759278</v>
      </c>
      <c r="C1246">
        <f t="shared" si="96"/>
        <v>406594.89051154343</v>
      </c>
      <c r="D1246">
        <v>49229</v>
      </c>
      <c r="E1246">
        <f t="shared" si="97"/>
        <v>4.9229000000000003</v>
      </c>
      <c r="F1246">
        <f t="shared" si="98"/>
        <v>1.5430440166493278</v>
      </c>
      <c r="G1246">
        <f t="shared" si="99"/>
        <v>2.3809848373172908</v>
      </c>
    </row>
    <row r="1247" spans="1:7" x14ac:dyDescent="0.35">
      <c r="A1247">
        <v>1976</v>
      </c>
      <c r="B1247">
        <f t="shared" si="95"/>
        <v>637.64793617759278</v>
      </c>
      <c r="C1247">
        <f t="shared" si="96"/>
        <v>406594.89051154343</v>
      </c>
      <c r="D1247">
        <v>50483</v>
      </c>
      <c r="E1247">
        <f t="shared" si="97"/>
        <v>5.0483000000000002</v>
      </c>
      <c r="F1247">
        <f t="shared" si="98"/>
        <v>1.6684440166493277</v>
      </c>
      <c r="G1247">
        <f t="shared" si="99"/>
        <v>2.7837054366929421</v>
      </c>
    </row>
    <row r="1248" spans="1:7" x14ac:dyDescent="0.35">
      <c r="A1248">
        <v>1976</v>
      </c>
      <c r="B1248">
        <f t="shared" si="95"/>
        <v>637.64793617759278</v>
      </c>
      <c r="C1248">
        <f t="shared" si="96"/>
        <v>406594.89051154343</v>
      </c>
      <c r="D1248">
        <v>51911</v>
      </c>
      <c r="E1248">
        <f t="shared" si="97"/>
        <v>5.1910999999999996</v>
      </c>
      <c r="F1248">
        <f t="shared" si="98"/>
        <v>1.8112440166493271</v>
      </c>
      <c r="G1248">
        <f t="shared" si="99"/>
        <v>3.2806048878479879</v>
      </c>
    </row>
    <row r="1249" spans="1:7" x14ac:dyDescent="0.35">
      <c r="A1249">
        <v>1976</v>
      </c>
      <c r="B1249">
        <f t="shared" si="95"/>
        <v>637.64793617759278</v>
      </c>
      <c r="C1249">
        <f t="shared" si="96"/>
        <v>406594.89051154343</v>
      </c>
      <c r="D1249">
        <v>49376</v>
      </c>
      <c r="E1249">
        <f t="shared" si="97"/>
        <v>4.9375999999999998</v>
      </c>
      <c r="F1249">
        <f t="shared" si="98"/>
        <v>1.5577440166493273</v>
      </c>
      <c r="G1249">
        <f t="shared" si="99"/>
        <v>2.4265664214067795</v>
      </c>
    </row>
    <row r="1250" spans="1:7" x14ac:dyDescent="0.35">
      <c r="A1250">
        <v>1976</v>
      </c>
      <c r="B1250">
        <f t="shared" si="95"/>
        <v>637.64793617759278</v>
      </c>
      <c r="C1250">
        <f t="shared" si="96"/>
        <v>406594.89051154343</v>
      </c>
      <c r="D1250">
        <v>57287</v>
      </c>
      <c r="E1250">
        <f t="shared" si="97"/>
        <v>5.7286999999999999</v>
      </c>
      <c r="F1250">
        <f t="shared" si="98"/>
        <v>2.3488440166493274</v>
      </c>
      <c r="G1250">
        <f t="shared" si="99"/>
        <v>5.5170682145493455</v>
      </c>
    </row>
    <row r="1251" spans="1:7" x14ac:dyDescent="0.35">
      <c r="A1251">
        <v>1976</v>
      </c>
      <c r="B1251">
        <f t="shared" si="95"/>
        <v>637.64793617759278</v>
      </c>
      <c r="C1251">
        <f t="shared" si="96"/>
        <v>406594.89051154343</v>
      </c>
      <c r="D1251">
        <v>57761</v>
      </c>
      <c r="E1251">
        <f t="shared" si="97"/>
        <v>5.7760999999999996</v>
      </c>
      <c r="F1251">
        <f t="shared" si="98"/>
        <v>2.3962440166493271</v>
      </c>
      <c r="G1251">
        <f t="shared" si="99"/>
        <v>5.7419853873277003</v>
      </c>
    </row>
    <row r="1252" spans="1:7" x14ac:dyDescent="0.35">
      <c r="A1252">
        <v>1976</v>
      </c>
      <c r="B1252">
        <f t="shared" si="95"/>
        <v>637.64793617759278</v>
      </c>
      <c r="C1252">
        <f t="shared" si="96"/>
        <v>406594.89051154343</v>
      </c>
      <c r="D1252">
        <v>59734</v>
      </c>
      <c r="E1252">
        <f t="shared" si="97"/>
        <v>5.9733999999999998</v>
      </c>
      <c r="F1252">
        <f t="shared" si="98"/>
        <v>2.5935440166493273</v>
      </c>
      <c r="G1252">
        <f t="shared" si="99"/>
        <v>6.7264705662975262</v>
      </c>
    </row>
    <row r="1253" spans="1:7" x14ac:dyDescent="0.35">
      <c r="A1253">
        <v>1976</v>
      </c>
      <c r="B1253">
        <f t="shared" si="95"/>
        <v>637.64793617759278</v>
      </c>
      <c r="C1253">
        <f t="shared" si="96"/>
        <v>406594.89051154343</v>
      </c>
      <c r="D1253">
        <v>61214</v>
      </c>
      <c r="E1253">
        <f t="shared" si="97"/>
        <v>6.1214000000000004</v>
      </c>
      <c r="F1253">
        <f t="shared" si="98"/>
        <v>2.7415440166493279</v>
      </c>
      <c r="G1253">
        <f t="shared" si="99"/>
        <v>7.51606359522573</v>
      </c>
    </row>
    <row r="1254" spans="1:7" x14ac:dyDescent="0.35">
      <c r="A1254">
        <v>1976</v>
      </c>
      <c r="B1254">
        <f t="shared" si="95"/>
        <v>637.64793617759278</v>
      </c>
      <c r="C1254">
        <f t="shared" si="96"/>
        <v>406594.89051154343</v>
      </c>
      <c r="D1254">
        <v>64530</v>
      </c>
      <c r="E1254">
        <f t="shared" si="97"/>
        <v>6.4530000000000003</v>
      </c>
      <c r="F1254">
        <f t="shared" si="98"/>
        <v>3.0731440166493278</v>
      </c>
      <c r="G1254">
        <f t="shared" si="99"/>
        <v>9.444214147067564</v>
      </c>
    </row>
    <row r="1255" spans="1:7" x14ac:dyDescent="0.35">
      <c r="A1255">
        <v>1976</v>
      </c>
      <c r="B1255">
        <f t="shared" si="95"/>
        <v>637.64793617759278</v>
      </c>
      <c r="C1255">
        <f t="shared" si="96"/>
        <v>406594.89051154343</v>
      </c>
      <c r="D1255">
        <v>67386</v>
      </c>
      <c r="E1255">
        <f t="shared" si="97"/>
        <v>6.7385999999999999</v>
      </c>
      <c r="F1255">
        <f t="shared" si="98"/>
        <v>3.3587440166493274</v>
      </c>
      <c r="G1255">
        <f t="shared" si="99"/>
        <v>11.281161369377658</v>
      </c>
    </row>
    <row r="1256" spans="1:7" x14ac:dyDescent="0.35">
      <c r="A1256">
        <v>1976</v>
      </c>
      <c r="B1256">
        <f t="shared" si="95"/>
        <v>637.64793617759278</v>
      </c>
      <c r="C1256">
        <f t="shared" si="96"/>
        <v>406594.89051154343</v>
      </c>
      <c r="D1256">
        <v>69716</v>
      </c>
      <c r="E1256">
        <f t="shared" si="97"/>
        <v>6.9715999999999996</v>
      </c>
      <c r="F1256">
        <f t="shared" si="98"/>
        <v>3.5917440166493271</v>
      </c>
      <c r="G1256">
        <f t="shared" si="99"/>
        <v>12.900625081136242</v>
      </c>
    </row>
    <row r="1257" spans="1:7" x14ac:dyDescent="0.35">
      <c r="A1257">
        <v>589</v>
      </c>
      <c r="B1257">
        <f t="shared" si="95"/>
        <v>-749.35206382240722</v>
      </c>
      <c r="C1257">
        <f t="shared" si="96"/>
        <v>561528.5155549011</v>
      </c>
      <c r="D1257">
        <v>33871</v>
      </c>
      <c r="E1257">
        <f t="shared" si="97"/>
        <v>3.3871000000000002</v>
      </c>
      <c r="F1257">
        <f t="shared" si="98"/>
        <v>7.2440166493277225E-3</v>
      </c>
      <c r="G1257">
        <f t="shared" si="99"/>
        <v>5.2475777215737246E-5</v>
      </c>
    </row>
    <row r="1258" spans="1:7" x14ac:dyDescent="0.35">
      <c r="A1258">
        <v>589</v>
      </c>
      <c r="B1258">
        <f t="shared" si="95"/>
        <v>-749.35206382240722</v>
      </c>
      <c r="C1258">
        <f t="shared" si="96"/>
        <v>561528.5155549011</v>
      </c>
      <c r="D1258">
        <v>39930</v>
      </c>
      <c r="E1258">
        <f t="shared" si="97"/>
        <v>3.9929999999999999</v>
      </c>
      <c r="F1258">
        <f t="shared" si="98"/>
        <v>0.61314401664932738</v>
      </c>
      <c r="G1258">
        <f t="shared" si="99"/>
        <v>0.37594558515287063</v>
      </c>
    </row>
    <row r="1259" spans="1:7" x14ac:dyDescent="0.35">
      <c r="A1259">
        <v>589</v>
      </c>
      <c r="B1259">
        <f t="shared" si="95"/>
        <v>-749.35206382240722</v>
      </c>
      <c r="C1259">
        <f t="shared" si="96"/>
        <v>561528.5155549011</v>
      </c>
      <c r="D1259">
        <v>30073</v>
      </c>
      <c r="E1259">
        <f t="shared" si="97"/>
        <v>3.0072999999999999</v>
      </c>
      <c r="F1259">
        <f t="shared" si="98"/>
        <v>-0.37255598335067264</v>
      </c>
      <c r="G1259">
        <f t="shared" si="99"/>
        <v>0.13879796073038667</v>
      </c>
    </row>
    <row r="1260" spans="1:7" x14ac:dyDescent="0.35">
      <c r="A1260">
        <v>589</v>
      </c>
      <c r="B1260">
        <f t="shared" si="95"/>
        <v>-749.35206382240722</v>
      </c>
      <c r="C1260">
        <f t="shared" si="96"/>
        <v>561528.5155549011</v>
      </c>
      <c r="D1260">
        <v>23713</v>
      </c>
      <c r="E1260">
        <f t="shared" si="97"/>
        <v>2.3713000000000002</v>
      </c>
      <c r="F1260">
        <f t="shared" si="98"/>
        <v>-1.0085559833506723</v>
      </c>
      <c r="G1260">
        <f t="shared" si="99"/>
        <v>1.0171851715524416</v>
      </c>
    </row>
    <row r="1261" spans="1:7" x14ac:dyDescent="0.35">
      <c r="A1261">
        <v>589</v>
      </c>
      <c r="B1261">
        <f t="shared" si="95"/>
        <v>-749.35206382240722</v>
      </c>
      <c r="C1261">
        <f t="shared" si="96"/>
        <v>561528.5155549011</v>
      </c>
      <c r="D1261">
        <v>33520</v>
      </c>
      <c r="E1261">
        <f t="shared" si="97"/>
        <v>3.3519999999999999</v>
      </c>
      <c r="F1261">
        <f t="shared" si="98"/>
        <v>-2.7855983350672631E-2</v>
      </c>
      <c r="G1261">
        <f t="shared" si="99"/>
        <v>7.7595580843295084E-4</v>
      </c>
    </row>
    <row r="1262" spans="1:7" x14ac:dyDescent="0.35">
      <c r="A1262">
        <v>589</v>
      </c>
      <c r="B1262">
        <f t="shared" si="95"/>
        <v>-749.35206382240722</v>
      </c>
      <c r="C1262">
        <f t="shared" si="96"/>
        <v>561528.5155549011</v>
      </c>
      <c r="D1262">
        <v>23696</v>
      </c>
      <c r="E1262">
        <f t="shared" si="97"/>
        <v>2.3696000000000002</v>
      </c>
      <c r="F1262">
        <f t="shared" si="98"/>
        <v>-1.0102559833506723</v>
      </c>
      <c r="G1262">
        <f t="shared" si="99"/>
        <v>1.020617151895834</v>
      </c>
    </row>
    <row r="1263" spans="1:7" x14ac:dyDescent="0.35">
      <c r="A1263">
        <v>589</v>
      </c>
      <c r="B1263">
        <f t="shared" si="95"/>
        <v>-749.35206382240722</v>
      </c>
      <c r="C1263">
        <f t="shared" si="96"/>
        <v>561528.5155549011</v>
      </c>
      <c r="D1263">
        <v>30702</v>
      </c>
      <c r="E1263">
        <f t="shared" si="97"/>
        <v>3.0701999999999998</v>
      </c>
      <c r="F1263">
        <f t="shared" si="98"/>
        <v>-0.30965598335067268</v>
      </c>
      <c r="G1263">
        <f t="shared" si="99"/>
        <v>9.588682802487207E-2</v>
      </c>
    </row>
    <row r="1264" spans="1:7" x14ac:dyDescent="0.35">
      <c r="A1264">
        <v>589</v>
      </c>
      <c r="B1264">
        <f t="shared" si="95"/>
        <v>-749.35206382240722</v>
      </c>
      <c r="C1264">
        <f t="shared" si="96"/>
        <v>561528.5155549011</v>
      </c>
      <c r="D1264">
        <v>26519</v>
      </c>
      <c r="E1264">
        <f t="shared" si="97"/>
        <v>2.6518999999999999</v>
      </c>
      <c r="F1264">
        <f t="shared" si="98"/>
        <v>-0.72795598335067258</v>
      </c>
      <c r="G1264">
        <f t="shared" si="99"/>
        <v>0.52991991369604474</v>
      </c>
    </row>
    <row r="1265" spans="1:7" x14ac:dyDescent="0.35">
      <c r="A1265">
        <v>589</v>
      </c>
      <c r="B1265">
        <f t="shared" si="95"/>
        <v>-749.35206382240722</v>
      </c>
      <c r="C1265">
        <f t="shared" si="96"/>
        <v>561528.5155549011</v>
      </c>
      <c r="D1265">
        <v>31308</v>
      </c>
      <c r="E1265">
        <f t="shared" si="97"/>
        <v>3.1307999999999998</v>
      </c>
      <c r="F1265">
        <f t="shared" si="98"/>
        <v>-0.24905598335067269</v>
      </c>
      <c r="G1265">
        <f t="shared" si="99"/>
        <v>6.2028882842770555E-2</v>
      </c>
    </row>
    <row r="1266" spans="1:7" x14ac:dyDescent="0.35">
      <c r="A1266">
        <v>589</v>
      </c>
      <c r="B1266">
        <f t="shared" si="95"/>
        <v>-749.35206382240722</v>
      </c>
      <c r="C1266">
        <f t="shared" si="96"/>
        <v>561528.5155549011</v>
      </c>
      <c r="D1266">
        <v>31606</v>
      </c>
      <c r="E1266">
        <f t="shared" si="97"/>
        <v>3.1606000000000001</v>
      </c>
      <c r="F1266">
        <f t="shared" si="98"/>
        <v>-0.21925598335067242</v>
      </c>
      <c r="G1266">
        <f t="shared" si="99"/>
        <v>4.8073186235070342E-2</v>
      </c>
    </row>
    <row r="1267" spans="1:7" x14ac:dyDescent="0.35">
      <c r="A1267">
        <v>589</v>
      </c>
      <c r="B1267">
        <f t="shared" si="95"/>
        <v>-749.35206382240722</v>
      </c>
      <c r="C1267">
        <f t="shared" si="96"/>
        <v>561528.5155549011</v>
      </c>
      <c r="D1267">
        <v>22508</v>
      </c>
      <c r="E1267">
        <f t="shared" si="97"/>
        <v>2.2507999999999999</v>
      </c>
      <c r="F1267">
        <f t="shared" si="98"/>
        <v>-1.1290559833506726</v>
      </c>
      <c r="G1267">
        <f t="shared" si="99"/>
        <v>1.2747674135399543</v>
      </c>
    </row>
    <row r="1268" spans="1:7" x14ac:dyDescent="0.35">
      <c r="A1268">
        <v>589</v>
      </c>
      <c r="B1268">
        <f t="shared" si="95"/>
        <v>-749.35206382240722</v>
      </c>
      <c r="C1268">
        <f t="shared" si="96"/>
        <v>561528.5155549011</v>
      </c>
      <c r="D1268">
        <v>33286</v>
      </c>
      <c r="E1268">
        <f t="shared" si="97"/>
        <v>3.3285999999999998</v>
      </c>
      <c r="F1268">
        <f t="shared" si="98"/>
        <v>-5.1255983350672718E-2</v>
      </c>
      <c r="G1268">
        <f t="shared" si="99"/>
        <v>2.627175829244439E-3</v>
      </c>
    </row>
    <row r="1269" spans="1:7" x14ac:dyDescent="0.35">
      <c r="A1269">
        <v>589</v>
      </c>
      <c r="B1269">
        <f t="shared" si="95"/>
        <v>-749.35206382240722</v>
      </c>
      <c r="C1269">
        <f t="shared" si="96"/>
        <v>561528.5155549011</v>
      </c>
      <c r="D1269">
        <v>27031</v>
      </c>
      <c r="E1269">
        <f t="shared" si="97"/>
        <v>2.7031000000000001</v>
      </c>
      <c r="F1269">
        <f t="shared" si="98"/>
        <v>-0.67675598335067244</v>
      </c>
      <c r="G1269">
        <f t="shared" si="99"/>
        <v>0.45799866100093561</v>
      </c>
    </row>
    <row r="1270" spans="1:7" x14ac:dyDescent="0.35">
      <c r="A1270">
        <v>589</v>
      </c>
      <c r="B1270">
        <f t="shared" si="95"/>
        <v>-749.35206382240722</v>
      </c>
      <c r="C1270">
        <f t="shared" si="96"/>
        <v>561528.5155549011</v>
      </c>
      <c r="D1270">
        <v>33158</v>
      </c>
      <c r="E1270">
        <f t="shared" si="97"/>
        <v>3.3157999999999999</v>
      </c>
      <c r="F1270">
        <f t="shared" si="98"/>
        <v>-6.4055983350672641E-2</v>
      </c>
      <c r="G1270">
        <f t="shared" si="99"/>
        <v>4.1031690030216509E-3</v>
      </c>
    </row>
    <row r="1271" spans="1:7" x14ac:dyDescent="0.35">
      <c r="A1271">
        <v>589</v>
      </c>
      <c r="B1271">
        <f t="shared" si="95"/>
        <v>-749.35206382240722</v>
      </c>
      <c r="C1271">
        <f t="shared" si="96"/>
        <v>561528.5155549011</v>
      </c>
      <c r="D1271">
        <v>34932</v>
      </c>
      <c r="E1271">
        <f t="shared" si="97"/>
        <v>3.4931999999999999</v>
      </c>
      <c r="F1271">
        <f t="shared" si="98"/>
        <v>0.11334401664932736</v>
      </c>
      <c r="G1271">
        <f t="shared" si="99"/>
        <v>1.2846866110202998E-2</v>
      </c>
    </row>
    <row r="1272" spans="1:7" x14ac:dyDescent="0.35">
      <c r="A1272">
        <v>589</v>
      </c>
      <c r="B1272">
        <f t="shared" si="95"/>
        <v>-749.35206382240722</v>
      </c>
      <c r="C1272">
        <f t="shared" si="96"/>
        <v>561528.5155549011</v>
      </c>
      <c r="D1272">
        <v>32950</v>
      </c>
      <c r="E1272">
        <f t="shared" si="97"/>
        <v>3.2949999999999999</v>
      </c>
      <c r="F1272">
        <f t="shared" si="98"/>
        <v>-8.485598335067257E-2</v>
      </c>
      <c r="G1272">
        <f t="shared" si="99"/>
        <v>7.2005379104096209E-3</v>
      </c>
    </row>
    <row r="1273" spans="1:7" x14ac:dyDescent="0.35">
      <c r="A1273">
        <v>589</v>
      </c>
      <c r="B1273">
        <f t="shared" si="95"/>
        <v>-749.35206382240722</v>
      </c>
      <c r="C1273">
        <f t="shared" si="96"/>
        <v>561528.5155549011</v>
      </c>
      <c r="D1273">
        <v>46448</v>
      </c>
      <c r="E1273">
        <f t="shared" si="97"/>
        <v>4.6448</v>
      </c>
      <c r="F1273">
        <f t="shared" si="98"/>
        <v>1.2649440166493275</v>
      </c>
      <c r="G1273">
        <f t="shared" si="99"/>
        <v>1.6000833652569342</v>
      </c>
    </row>
    <row r="1274" spans="1:7" x14ac:dyDescent="0.35">
      <c r="A1274">
        <v>589</v>
      </c>
      <c r="B1274">
        <f t="shared" si="95"/>
        <v>-749.35206382240722</v>
      </c>
      <c r="C1274">
        <f t="shared" si="96"/>
        <v>561528.5155549011</v>
      </c>
      <c r="D1274">
        <v>34097</v>
      </c>
      <c r="E1274">
        <f t="shared" si="97"/>
        <v>3.4097</v>
      </c>
      <c r="F1274">
        <f t="shared" si="98"/>
        <v>2.9844016649327454E-2</v>
      </c>
      <c r="G1274">
        <f t="shared" si="99"/>
        <v>8.906653297653343E-4</v>
      </c>
    </row>
    <row r="1275" spans="1:7" x14ac:dyDescent="0.35">
      <c r="A1275">
        <v>589</v>
      </c>
      <c r="B1275">
        <f t="shared" si="95"/>
        <v>-749.35206382240722</v>
      </c>
      <c r="C1275">
        <f t="shared" si="96"/>
        <v>561528.5155549011</v>
      </c>
      <c r="D1275">
        <v>35426</v>
      </c>
      <c r="E1275">
        <f t="shared" si="97"/>
        <v>3.5426000000000002</v>
      </c>
      <c r="F1275">
        <f t="shared" si="98"/>
        <v>0.16274401664932769</v>
      </c>
      <c r="G1275">
        <f t="shared" si="99"/>
        <v>2.6485614955156649E-2</v>
      </c>
    </row>
    <row r="1276" spans="1:7" x14ac:dyDescent="0.35">
      <c r="A1276">
        <v>589</v>
      </c>
      <c r="B1276">
        <f t="shared" si="95"/>
        <v>-749.35206382240722</v>
      </c>
      <c r="C1276">
        <f t="shared" si="96"/>
        <v>561528.5155549011</v>
      </c>
      <c r="D1276">
        <v>32342</v>
      </c>
      <c r="E1276">
        <f t="shared" si="97"/>
        <v>3.2342</v>
      </c>
      <c r="F1276">
        <f t="shared" si="98"/>
        <v>-0.14565598335067254</v>
      </c>
      <c r="G1276">
        <f t="shared" si="99"/>
        <v>2.1215665485851395E-2</v>
      </c>
    </row>
    <row r="1277" spans="1:7" x14ac:dyDescent="0.35">
      <c r="A1277">
        <v>589</v>
      </c>
      <c r="B1277">
        <f t="shared" si="95"/>
        <v>-749.35206382240722</v>
      </c>
      <c r="C1277">
        <f t="shared" si="96"/>
        <v>561528.5155549011</v>
      </c>
      <c r="D1277">
        <v>37891</v>
      </c>
      <c r="E1277">
        <f t="shared" si="97"/>
        <v>3.7890999999999999</v>
      </c>
      <c r="F1277">
        <f t="shared" si="98"/>
        <v>0.40924401664932741</v>
      </c>
      <c r="G1277">
        <f t="shared" si="99"/>
        <v>0.16748066516327498</v>
      </c>
    </row>
    <row r="1278" spans="1:7" x14ac:dyDescent="0.35">
      <c r="A1278">
        <v>589</v>
      </c>
      <c r="B1278">
        <f t="shared" si="95"/>
        <v>-749.35206382240722</v>
      </c>
      <c r="C1278">
        <f t="shared" si="96"/>
        <v>561528.5155549011</v>
      </c>
      <c r="D1278">
        <v>39404</v>
      </c>
      <c r="E1278">
        <f t="shared" si="97"/>
        <v>3.9403999999999999</v>
      </c>
      <c r="F1278">
        <f t="shared" si="98"/>
        <v>0.5605440166493274</v>
      </c>
      <c r="G1278">
        <f t="shared" si="99"/>
        <v>0.31420959460136144</v>
      </c>
    </row>
    <row r="1279" spans="1:7" x14ac:dyDescent="0.35">
      <c r="A1279">
        <v>589</v>
      </c>
      <c r="B1279">
        <f t="shared" si="95"/>
        <v>-749.35206382240722</v>
      </c>
      <c r="C1279">
        <f t="shared" si="96"/>
        <v>561528.5155549011</v>
      </c>
      <c r="D1279">
        <v>43223</v>
      </c>
      <c r="E1279">
        <f t="shared" si="97"/>
        <v>4.3223000000000003</v>
      </c>
      <c r="F1279">
        <f t="shared" si="98"/>
        <v>0.94244401664932775</v>
      </c>
      <c r="G1279">
        <f t="shared" si="99"/>
        <v>0.88820072451811838</v>
      </c>
    </row>
    <row r="1280" spans="1:7" x14ac:dyDescent="0.35">
      <c r="A1280">
        <v>589</v>
      </c>
      <c r="B1280">
        <f t="shared" si="95"/>
        <v>-749.35206382240722</v>
      </c>
      <c r="C1280">
        <f t="shared" si="96"/>
        <v>561528.5155549011</v>
      </c>
      <c r="D1280">
        <v>29465</v>
      </c>
      <c r="E1280">
        <f t="shared" si="97"/>
        <v>2.9464999999999999</v>
      </c>
      <c r="F1280">
        <f t="shared" si="98"/>
        <v>-0.4333559833506726</v>
      </c>
      <c r="G1280">
        <f t="shared" si="99"/>
        <v>0.18779740830582842</v>
      </c>
    </row>
    <row r="1281" spans="1:7" x14ac:dyDescent="0.35">
      <c r="A1281">
        <v>589</v>
      </c>
      <c r="B1281">
        <f t="shared" si="95"/>
        <v>-749.35206382240722</v>
      </c>
      <c r="C1281">
        <f t="shared" si="96"/>
        <v>561528.5155549011</v>
      </c>
      <c r="D1281">
        <v>32411</v>
      </c>
      <c r="E1281">
        <f t="shared" si="97"/>
        <v>3.2410999999999999</v>
      </c>
      <c r="F1281">
        <f t="shared" si="98"/>
        <v>-0.13875598335067263</v>
      </c>
      <c r="G1281">
        <f t="shared" si="99"/>
        <v>1.9253222915612139E-2</v>
      </c>
    </row>
    <row r="1282" spans="1:7" x14ac:dyDescent="0.35">
      <c r="A1282">
        <v>589</v>
      </c>
      <c r="B1282">
        <f t="shared" si="95"/>
        <v>-749.35206382240722</v>
      </c>
      <c r="C1282">
        <f t="shared" si="96"/>
        <v>561528.5155549011</v>
      </c>
      <c r="D1282">
        <v>38074</v>
      </c>
      <c r="E1282">
        <f t="shared" si="97"/>
        <v>3.8073999999999999</v>
      </c>
      <c r="F1282">
        <f t="shared" si="98"/>
        <v>0.4275440166493274</v>
      </c>
      <c r="G1282">
        <f t="shared" si="99"/>
        <v>0.18279388617264034</v>
      </c>
    </row>
    <row r="1283" spans="1:7" x14ac:dyDescent="0.35">
      <c r="A1283">
        <v>589</v>
      </c>
      <c r="B1283">
        <f t="shared" ref="B1283:B1346" si="100">A1283-$J$1</f>
        <v>-749.35206382240722</v>
      </c>
      <c r="C1283">
        <f t="shared" ref="C1283:C1346" si="101">B1283^2</f>
        <v>561528.5155549011</v>
      </c>
      <c r="D1283">
        <v>32727</v>
      </c>
      <c r="E1283">
        <f t="shared" ref="E1283:E1346" si="102">D1283/10000</f>
        <v>3.2726999999999999</v>
      </c>
      <c r="F1283">
        <f t="shared" ref="F1283:F1346" si="103">E1283-$J$2</f>
        <v>-0.10715598335067256</v>
      </c>
      <c r="G1283">
        <f t="shared" ref="G1283:G1346" si="104">F1283^2</f>
        <v>1.1482404767849614E-2</v>
      </c>
    </row>
    <row r="1284" spans="1:7" x14ac:dyDescent="0.35">
      <c r="A1284">
        <v>589</v>
      </c>
      <c r="B1284">
        <f t="shared" si="100"/>
        <v>-749.35206382240722</v>
      </c>
      <c r="C1284">
        <f t="shared" si="101"/>
        <v>561528.5155549011</v>
      </c>
      <c r="D1284">
        <v>32958</v>
      </c>
      <c r="E1284">
        <f t="shared" si="102"/>
        <v>3.2957999999999998</v>
      </c>
      <c r="F1284">
        <f t="shared" si="103"/>
        <v>-8.4055983350672658E-2</v>
      </c>
      <c r="G1284">
        <f t="shared" si="104"/>
        <v>7.0654083370485588E-3</v>
      </c>
    </row>
    <row r="1285" spans="1:7" x14ac:dyDescent="0.35">
      <c r="A1285">
        <v>589</v>
      </c>
      <c r="B1285">
        <f t="shared" si="100"/>
        <v>-749.35206382240722</v>
      </c>
      <c r="C1285">
        <f t="shared" si="101"/>
        <v>561528.5155549011</v>
      </c>
      <c r="D1285">
        <v>33578</v>
      </c>
      <c r="E1285">
        <f t="shared" si="102"/>
        <v>3.3578000000000001</v>
      </c>
      <c r="F1285">
        <f t="shared" si="103"/>
        <v>-2.2055983350672381E-2</v>
      </c>
      <c r="G1285">
        <f t="shared" si="104"/>
        <v>4.8646640156513728E-4</v>
      </c>
    </row>
    <row r="1286" spans="1:7" x14ac:dyDescent="0.35">
      <c r="A1286">
        <v>589</v>
      </c>
      <c r="B1286">
        <f t="shared" si="100"/>
        <v>-749.35206382240722</v>
      </c>
      <c r="C1286">
        <f t="shared" si="101"/>
        <v>561528.5155549011</v>
      </c>
      <c r="D1286">
        <v>34518</v>
      </c>
      <c r="E1286">
        <f t="shared" si="102"/>
        <v>3.4518</v>
      </c>
      <c r="F1286">
        <f t="shared" si="103"/>
        <v>7.194401664932748E-2</v>
      </c>
      <c r="G1286">
        <f t="shared" si="104"/>
        <v>5.1759415316387095E-3</v>
      </c>
    </row>
    <row r="1287" spans="1:7" x14ac:dyDescent="0.35">
      <c r="A1287">
        <v>1940</v>
      </c>
      <c r="B1287">
        <f t="shared" si="100"/>
        <v>601.64793617759278</v>
      </c>
      <c r="C1287">
        <f t="shared" si="101"/>
        <v>361980.23910675675</v>
      </c>
      <c r="D1287">
        <v>23292</v>
      </c>
      <c r="E1287">
        <f t="shared" si="102"/>
        <v>2.3292000000000002</v>
      </c>
      <c r="F1287">
        <f t="shared" si="103"/>
        <v>-1.0506559833506723</v>
      </c>
      <c r="G1287">
        <f t="shared" si="104"/>
        <v>1.1038779953505682</v>
      </c>
    </row>
    <row r="1288" spans="1:7" x14ac:dyDescent="0.35">
      <c r="A1288">
        <v>1083</v>
      </c>
      <c r="B1288">
        <f t="shared" si="100"/>
        <v>-255.35206382240722</v>
      </c>
      <c r="C1288">
        <f t="shared" si="101"/>
        <v>65204.676498362729</v>
      </c>
      <c r="D1288">
        <v>22052</v>
      </c>
      <c r="E1288">
        <f t="shared" si="102"/>
        <v>2.2052</v>
      </c>
      <c r="F1288">
        <f t="shared" si="103"/>
        <v>-1.1746559833506725</v>
      </c>
      <c r="G1288">
        <f t="shared" si="104"/>
        <v>1.3798166792215352</v>
      </c>
    </row>
    <row r="1289" spans="1:7" x14ac:dyDescent="0.35">
      <c r="A1289">
        <v>1083</v>
      </c>
      <c r="B1289">
        <f t="shared" si="100"/>
        <v>-255.35206382240722</v>
      </c>
      <c r="C1289">
        <f t="shared" si="101"/>
        <v>65204.676498362729</v>
      </c>
      <c r="D1289">
        <v>21991</v>
      </c>
      <c r="E1289">
        <f t="shared" si="102"/>
        <v>2.1991000000000001</v>
      </c>
      <c r="F1289">
        <f t="shared" si="103"/>
        <v>-1.1807559833506724</v>
      </c>
      <c r="G1289">
        <f t="shared" si="104"/>
        <v>1.3941846922184136</v>
      </c>
    </row>
    <row r="1290" spans="1:7" x14ac:dyDescent="0.35">
      <c r="A1290">
        <v>1083</v>
      </c>
      <c r="B1290">
        <f t="shared" si="100"/>
        <v>-255.35206382240722</v>
      </c>
      <c r="C1290">
        <f t="shared" si="101"/>
        <v>65204.676498362729</v>
      </c>
      <c r="D1290">
        <v>26160</v>
      </c>
      <c r="E1290">
        <f t="shared" si="102"/>
        <v>2.6160000000000001</v>
      </c>
      <c r="F1290">
        <f t="shared" si="103"/>
        <v>-0.7638559833506724</v>
      </c>
      <c r="G1290">
        <f t="shared" si="104"/>
        <v>0.58347596330062268</v>
      </c>
    </row>
    <row r="1291" spans="1:7" x14ac:dyDescent="0.35">
      <c r="A1291">
        <v>1083</v>
      </c>
      <c r="B1291">
        <f t="shared" si="100"/>
        <v>-255.35206382240722</v>
      </c>
      <c r="C1291">
        <f t="shared" si="101"/>
        <v>65204.676498362729</v>
      </c>
      <c r="D1291">
        <v>26125</v>
      </c>
      <c r="E1291">
        <f t="shared" si="102"/>
        <v>2.6124999999999998</v>
      </c>
      <c r="F1291">
        <f t="shared" si="103"/>
        <v>-0.76735598335067268</v>
      </c>
      <c r="G1291">
        <f t="shared" si="104"/>
        <v>0.58883520518407784</v>
      </c>
    </row>
    <row r="1292" spans="1:7" x14ac:dyDescent="0.35">
      <c r="A1292">
        <v>1083</v>
      </c>
      <c r="B1292">
        <f t="shared" si="100"/>
        <v>-255.35206382240722</v>
      </c>
      <c r="C1292">
        <f t="shared" si="101"/>
        <v>65204.676498362729</v>
      </c>
      <c r="D1292">
        <v>26271</v>
      </c>
      <c r="E1292">
        <f t="shared" si="102"/>
        <v>2.6271</v>
      </c>
      <c r="F1292">
        <f t="shared" si="103"/>
        <v>-0.75275598335067251</v>
      </c>
      <c r="G1292">
        <f t="shared" si="104"/>
        <v>0.566641570470238</v>
      </c>
    </row>
    <row r="1293" spans="1:7" x14ac:dyDescent="0.35">
      <c r="A1293">
        <v>1083</v>
      </c>
      <c r="B1293">
        <f t="shared" si="100"/>
        <v>-255.35206382240722</v>
      </c>
      <c r="C1293">
        <f t="shared" si="101"/>
        <v>65204.676498362729</v>
      </c>
      <c r="D1293">
        <v>26092</v>
      </c>
      <c r="E1293">
        <f t="shared" si="102"/>
        <v>2.6092</v>
      </c>
      <c r="F1293">
        <f t="shared" si="103"/>
        <v>-0.77065598335067254</v>
      </c>
      <c r="G1293">
        <f t="shared" si="104"/>
        <v>0.59391064467419208</v>
      </c>
    </row>
    <row r="1294" spans="1:7" x14ac:dyDescent="0.35">
      <c r="A1294">
        <v>1083</v>
      </c>
      <c r="B1294">
        <f t="shared" si="100"/>
        <v>-255.35206382240722</v>
      </c>
      <c r="C1294">
        <f t="shared" si="101"/>
        <v>65204.676498362729</v>
      </c>
      <c r="D1294">
        <v>28303</v>
      </c>
      <c r="E1294">
        <f t="shared" si="102"/>
        <v>2.8302999999999998</v>
      </c>
      <c r="F1294">
        <f t="shared" si="103"/>
        <v>-0.54955598335067268</v>
      </c>
      <c r="G1294">
        <f t="shared" si="104"/>
        <v>0.30201177883652486</v>
      </c>
    </row>
    <row r="1295" spans="1:7" x14ac:dyDescent="0.35">
      <c r="A1295">
        <v>1083</v>
      </c>
      <c r="B1295">
        <f t="shared" si="100"/>
        <v>-255.35206382240722</v>
      </c>
      <c r="C1295">
        <f t="shared" si="101"/>
        <v>65204.676498362729</v>
      </c>
      <c r="D1295">
        <v>28645</v>
      </c>
      <c r="E1295">
        <f t="shared" si="102"/>
        <v>2.8645</v>
      </c>
      <c r="F1295">
        <f t="shared" si="103"/>
        <v>-0.51535598335067245</v>
      </c>
      <c r="G1295">
        <f t="shared" si="104"/>
        <v>0.26559178957533858</v>
      </c>
    </row>
    <row r="1296" spans="1:7" x14ac:dyDescent="0.35">
      <c r="A1296">
        <v>1083</v>
      </c>
      <c r="B1296">
        <f t="shared" si="100"/>
        <v>-255.35206382240722</v>
      </c>
      <c r="C1296">
        <f t="shared" si="101"/>
        <v>65204.676498362729</v>
      </c>
      <c r="D1296">
        <v>26972</v>
      </c>
      <c r="E1296">
        <f t="shared" si="102"/>
        <v>2.6972</v>
      </c>
      <c r="F1296">
        <f t="shared" si="103"/>
        <v>-0.68265598335067246</v>
      </c>
      <c r="G1296">
        <f t="shared" si="104"/>
        <v>0.46601919160447358</v>
      </c>
    </row>
    <row r="1297" spans="1:7" x14ac:dyDescent="0.35">
      <c r="A1297">
        <v>1083</v>
      </c>
      <c r="B1297">
        <f t="shared" si="100"/>
        <v>-255.35206382240722</v>
      </c>
      <c r="C1297">
        <f t="shared" si="101"/>
        <v>65204.676498362729</v>
      </c>
      <c r="D1297">
        <v>28226</v>
      </c>
      <c r="E1297">
        <f t="shared" si="102"/>
        <v>2.8226</v>
      </c>
      <c r="F1297">
        <f t="shared" si="103"/>
        <v>-0.5572559833506725</v>
      </c>
      <c r="G1297">
        <f t="shared" si="104"/>
        <v>0.310534230980125</v>
      </c>
    </row>
    <row r="1298" spans="1:7" x14ac:dyDescent="0.35">
      <c r="A1298">
        <v>1083</v>
      </c>
      <c r="B1298">
        <f t="shared" si="100"/>
        <v>-255.35206382240722</v>
      </c>
      <c r="C1298">
        <f t="shared" si="101"/>
        <v>65204.676498362729</v>
      </c>
      <c r="D1298">
        <v>28457</v>
      </c>
      <c r="E1298">
        <f t="shared" si="102"/>
        <v>2.8456999999999999</v>
      </c>
      <c r="F1298">
        <f t="shared" si="103"/>
        <v>-0.5341559833506726</v>
      </c>
      <c r="G1298">
        <f t="shared" si="104"/>
        <v>0.28532261454932401</v>
      </c>
    </row>
    <row r="1299" spans="1:7" x14ac:dyDescent="0.35">
      <c r="A1299">
        <v>1083</v>
      </c>
      <c r="B1299">
        <f t="shared" si="100"/>
        <v>-255.35206382240722</v>
      </c>
      <c r="C1299">
        <f t="shared" si="101"/>
        <v>65204.676498362729</v>
      </c>
      <c r="D1299">
        <v>28805</v>
      </c>
      <c r="E1299">
        <f t="shared" si="102"/>
        <v>2.8805000000000001</v>
      </c>
      <c r="F1299">
        <f t="shared" si="103"/>
        <v>-0.49935598335067244</v>
      </c>
      <c r="G1299">
        <f t="shared" si="104"/>
        <v>0.24935639810811705</v>
      </c>
    </row>
    <row r="1300" spans="1:7" x14ac:dyDescent="0.35">
      <c r="A1300">
        <v>1083</v>
      </c>
      <c r="B1300">
        <f t="shared" si="100"/>
        <v>-255.35206382240722</v>
      </c>
      <c r="C1300">
        <f t="shared" si="101"/>
        <v>65204.676498362729</v>
      </c>
      <c r="D1300">
        <v>29782</v>
      </c>
      <c r="E1300">
        <f t="shared" si="102"/>
        <v>2.9782000000000002</v>
      </c>
      <c r="F1300">
        <f t="shared" si="103"/>
        <v>-0.40165598335067232</v>
      </c>
      <c r="G1300">
        <f t="shared" si="104"/>
        <v>0.16132752896139557</v>
      </c>
    </row>
    <row r="1301" spans="1:7" x14ac:dyDescent="0.35">
      <c r="A1301">
        <v>1083</v>
      </c>
      <c r="B1301">
        <f t="shared" si="100"/>
        <v>-255.35206382240722</v>
      </c>
      <c r="C1301">
        <f t="shared" si="101"/>
        <v>65204.676498362729</v>
      </c>
      <c r="D1301">
        <v>28508</v>
      </c>
      <c r="E1301">
        <f t="shared" si="102"/>
        <v>2.8508</v>
      </c>
      <c r="F1301">
        <f t="shared" si="103"/>
        <v>-0.5290559833506725</v>
      </c>
      <c r="G1301">
        <f t="shared" si="104"/>
        <v>0.27990023351914706</v>
      </c>
    </row>
    <row r="1302" spans="1:7" x14ac:dyDescent="0.35">
      <c r="A1302">
        <v>1083</v>
      </c>
      <c r="B1302">
        <f t="shared" si="100"/>
        <v>-255.35206382240722</v>
      </c>
      <c r="C1302">
        <f t="shared" si="101"/>
        <v>65204.676498362729</v>
      </c>
      <c r="D1302">
        <v>31158</v>
      </c>
      <c r="E1302">
        <f t="shared" si="102"/>
        <v>3.1158000000000001</v>
      </c>
      <c r="F1302">
        <f t="shared" si="103"/>
        <v>-0.26405598335067237</v>
      </c>
      <c r="G1302">
        <f t="shared" si="104"/>
        <v>6.9725562343290567E-2</v>
      </c>
    </row>
    <row r="1303" spans="1:7" x14ac:dyDescent="0.35">
      <c r="A1303">
        <v>1083</v>
      </c>
      <c r="B1303">
        <f t="shared" si="100"/>
        <v>-255.35206382240722</v>
      </c>
      <c r="C1303">
        <f t="shared" si="101"/>
        <v>65204.676498362729</v>
      </c>
      <c r="D1303">
        <v>26163</v>
      </c>
      <c r="E1303">
        <f t="shared" si="102"/>
        <v>2.6162999999999998</v>
      </c>
      <c r="F1303">
        <f t="shared" si="103"/>
        <v>-0.76355598335067265</v>
      </c>
      <c r="G1303">
        <f t="shared" si="104"/>
        <v>0.58301773971061266</v>
      </c>
    </row>
    <row r="1304" spans="1:7" x14ac:dyDescent="0.35">
      <c r="A1304">
        <v>1083</v>
      </c>
      <c r="B1304">
        <f t="shared" si="100"/>
        <v>-255.35206382240722</v>
      </c>
      <c r="C1304">
        <f t="shared" si="101"/>
        <v>65204.676498362729</v>
      </c>
      <c r="D1304">
        <v>29756</v>
      </c>
      <c r="E1304">
        <f t="shared" si="102"/>
        <v>2.9756</v>
      </c>
      <c r="F1304">
        <f t="shared" si="103"/>
        <v>-0.40425598335067248</v>
      </c>
      <c r="G1304">
        <f t="shared" si="104"/>
        <v>0.16342290007481919</v>
      </c>
    </row>
    <row r="1305" spans="1:7" x14ac:dyDescent="0.35">
      <c r="A1305">
        <v>1083</v>
      </c>
      <c r="B1305">
        <f t="shared" si="100"/>
        <v>-255.35206382240722</v>
      </c>
      <c r="C1305">
        <f t="shared" si="101"/>
        <v>65204.676498362729</v>
      </c>
      <c r="D1305">
        <v>31537</v>
      </c>
      <c r="E1305">
        <f t="shared" si="102"/>
        <v>3.1537000000000002</v>
      </c>
      <c r="F1305">
        <f t="shared" si="103"/>
        <v>-0.22615598335067233</v>
      </c>
      <c r="G1305">
        <f t="shared" si="104"/>
        <v>5.114652880530958E-2</v>
      </c>
    </row>
    <row r="1306" spans="1:7" x14ac:dyDescent="0.35">
      <c r="A1306">
        <v>1083</v>
      </c>
      <c r="B1306">
        <f t="shared" si="100"/>
        <v>-255.35206382240722</v>
      </c>
      <c r="C1306">
        <f t="shared" si="101"/>
        <v>65204.676498362729</v>
      </c>
      <c r="D1306">
        <v>31759</v>
      </c>
      <c r="E1306">
        <f t="shared" si="102"/>
        <v>3.1758999999999999</v>
      </c>
      <c r="F1306">
        <f t="shared" si="103"/>
        <v>-0.20395598335067255</v>
      </c>
      <c r="G1306">
        <f t="shared" si="104"/>
        <v>4.1598043144539819E-2</v>
      </c>
    </row>
    <row r="1307" spans="1:7" x14ac:dyDescent="0.35">
      <c r="A1307">
        <v>1083</v>
      </c>
      <c r="B1307">
        <f t="shared" si="100"/>
        <v>-255.35206382240722</v>
      </c>
      <c r="C1307">
        <f t="shared" si="101"/>
        <v>65204.676498362729</v>
      </c>
      <c r="D1307">
        <v>32924</v>
      </c>
      <c r="E1307">
        <f t="shared" si="102"/>
        <v>3.2924000000000002</v>
      </c>
      <c r="F1307">
        <f t="shared" si="103"/>
        <v>-8.7455983350672284E-2</v>
      </c>
      <c r="G1307">
        <f t="shared" si="104"/>
        <v>7.6485490238330676E-3</v>
      </c>
    </row>
    <row r="1308" spans="1:7" x14ac:dyDescent="0.35">
      <c r="A1308">
        <v>1083</v>
      </c>
      <c r="B1308">
        <f t="shared" si="100"/>
        <v>-255.35206382240722</v>
      </c>
      <c r="C1308">
        <f t="shared" si="101"/>
        <v>65204.676498362729</v>
      </c>
      <c r="D1308">
        <v>32509</v>
      </c>
      <c r="E1308">
        <f t="shared" si="102"/>
        <v>3.2509000000000001</v>
      </c>
      <c r="F1308">
        <f t="shared" si="103"/>
        <v>-0.12895598335067238</v>
      </c>
      <c r="G1308">
        <f t="shared" si="104"/>
        <v>1.6629645641938889E-2</v>
      </c>
    </row>
    <row r="1309" spans="1:7" x14ac:dyDescent="0.35">
      <c r="A1309">
        <v>1083</v>
      </c>
      <c r="B1309">
        <f t="shared" si="100"/>
        <v>-255.35206382240722</v>
      </c>
      <c r="C1309">
        <f t="shared" si="101"/>
        <v>65204.676498362729</v>
      </c>
      <c r="D1309">
        <v>32366</v>
      </c>
      <c r="E1309">
        <f t="shared" si="102"/>
        <v>3.2366000000000001</v>
      </c>
      <c r="F1309">
        <f t="shared" si="103"/>
        <v>-0.14325598335067236</v>
      </c>
      <c r="G1309">
        <f t="shared" si="104"/>
        <v>2.0522276765768115E-2</v>
      </c>
    </row>
    <row r="1310" spans="1:7" x14ac:dyDescent="0.35">
      <c r="A1310">
        <v>1083</v>
      </c>
      <c r="B1310">
        <f t="shared" si="100"/>
        <v>-255.35206382240722</v>
      </c>
      <c r="C1310">
        <f t="shared" si="101"/>
        <v>65204.676498362729</v>
      </c>
      <c r="D1310">
        <v>33587</v>
      </c>
      <c r="E1310">
        <f t="shared" si="102"/>
        <v>3.3586999999999998</v>
      </c>
      <c r="F1310">
        <f t="shared" si="103"/>
        <v>-2.1155983350672702E-2</v>
      </c>
      <c r="G1310">
        <f t="shared" si="104"/>
        <v>4.4757563153394056E-4</v>
      </c>
    </row>
    <row r="1311" spans="1:7" x14ac:dyDescent="0.35">
      <c r="A1311">
        <v>1083</v>
      </c>
      <c r="B1311">
        <f t="shared" si="100"/>
        <v>-255.35206382240722</v>
      </c>
      <c r="C1311">
        <f t="shared" si="101"/>
        <v>65204.676498362729</v>
      </c>
      <c r="D1311">
        <v>35878</v>
      </c>
      <c r="E1311">
        <f t="shared" si="102"/>
        <v>3.5878000000000001</v>
      </c>
      <c r="F1311">
        <f t="shared" si="103"/>
        <v>0.2079440166493276</v>
      </c>
      <c r="G1311">
        <f t="shared" si="104"/>
        <v>4.3240714060255835E-2</v>
      </c>
    </row>
    <row r="1312" spans="1:7" x14ac:dyDescent="0.35">
      <c r="A1312">
        <v>1083</v>
      </c>
      <c r="B1312">
        <f t="shared" si="100"/>
        <v>-255.35206382240722</v>
      </c>
      <c r="C1312">
        <f t="shared" si="101"/>
        <v>65204.676498362729</v>
      </c>
      <c r="D1312">
        <v>36909</v>
      </c>
      <c r="E1312">
        <f t="shared" si="102"/>
        <v>3.6909000000000001</v>
      </c>
      <c r="F1312">
        <f t="shared" si="103"/>
        <v>0.31104401664932757</v>
      </c>
      <c r="G1312">
        <f t="shared" si="104"/>
        <v>9.6748380293347161E-2</v>
      </c>
    </row>
    <row r="1313" spans="1:7" x14ac:dyDescent="0.35">
      <c r="A1313">
        <v>1083</v>
      </c>
      <c r="B1313">
        <f t="shared" si="100"/>
        <v>-255.35206382240722</v>
      </c>
      <c r="C1313">
        <f t="shared" si="101"/>
        <v>65204.676498362729</v>
      </c>
      <c r="D1313">
        <v>36070</v>
      </c>
      <c r="E1313">
        <f t="shared" si="102"/>
        <v>3.6070000000000002</v>
      </c>
      <c r="F1313">
        <f t="shared" si="103"/>
        <v>0.22714401664932771</v>
      </c>
      <c r="G1313">
        <f t="shared" si="104"/>
        <v>5.1594404299590065E-2</v>
      </c>
    </row>
    <row r="1314" spans="1:7" x14ac:dyDescent="0.35">
      <c r="A1314">
        <v>1083</v>
      </c>
      <c r="B1314">
        <f t="shared" si="100"/>
        <v>-255.35206382240722</v>
      </c>
      <c r="C1314">
        <f t="shared" si="101"/>
        <v>65204.676498362729</v>
      </c>
      <c r="D1314">
        <v>35638</v>
      </c>
      <c r="E1314">
        <f t="shared" si="102"/>
        <v>3.5638000000000001</v>
      </c>
      <c r="F1314">
        <f t="shared" si="103"/>
        <v>0.18394401664932758</v>
      </c>
      <c r="G1314">
        <f t="shared" si="104"/>
        <v>3.3835401261088104E-2</v>
      </c>
    </row>
    <row r="1315" spans="1:7" x14ac:dyDescent="0.35">
      <c r="A1315">
        <v>1083</v>
      </c>
      <c r="B1315">
        <f t="shared" si="100"/>
        <v>-255.35206382240722</v>
      </c>
      <c r="C1315">
        <f t="shared" si="101"/>
        <v>65204.676498362729</v>
      </c>
      <c r="D1315">
        <v>36077</v>
      </c>
      <c r="E1315">
        <f t="shared" si="102"/>
        <v>3.6076999999999999</v>
      </c>
      <c r="F1315">
        <f t="shared" si="103"/>
        <v>0.22784401664932741</v>
      </c>
      <c r="G1315">
        <f t="shared" si="104"/>
        <v>5.1912895922898987E-2</v>
      </c>
    </row>
    <row r="1316" spans="1:7" x14ac:dyDescent="0.35">
      <c r="A1316">
        <v>1083</v>
      </c>
      <c r="B1316">
        <f t="shared" si="100"/>
        <v>-255.35206382240722</v>
      </c>
      <c r="C1316">
        <f t="shared" si="101"/>
        <v>65204.676498362729</v>
      </c>
      <c r="D1316">
        <v>36950</v>
      </c>
      <c r="E1316">
        <f t="shared" si="102"/>
        <v>3.6949999999999998</v>
      </c>
      <c r="F1316">
        <f t="shared" si="103"/>
        <v>0.31514401664932734</v>
      </c>
      <c r="G1316">
        <f t="shared" si="104"/>
        <v>9.9315751229871505E-2</v>
      </c>
    </row>
    <row r="1317" spans="1:7" x14ac:dyDescent="0.35">
      <c r="A1317">
        <v>2702</v>
      </c>
      <c r="B1317">
        <f t="shared" si="100"/>
        <v>1363.6479361775928</v>
      </c>
      <c r="C1317">
        <f t="shared" si="101"/>
        <v>1859535.6938414082</v>
      </c>
      <c r="D1317">
        <v>39418</v>
      </c>
      <c r="E1317">
        <f t="shared" si="102"/>
        <v>3.9418000000000002</v>
      </c>
      <c r="F1317">
        <f t="shared" si="103"/>
        <v>0.56194401664932769</v>
      </c>
      <c r="G1317">
        <f t="shared" si="104"/>
        <v>0.31578107784797987</v>
      </c>
    </row>
    <row r="1318" spans="1:7" x14ac:dyDescent="0.35">
      <c r="A1318">
        <v>2702</v>
      </c>
      <c r="B1318">
        <f t="shared" si="100"/>
        <v>1363.6479361775928</v>
      </c>
      <c r="C1318">
        <f t="shared" si="101"/>
        <v>1859535.6938414082</v>
      </c>
      <c r="D1318">
        <v>39773</v>
      </c>
      <c r="E1318">
        <f t="shared" si="102"/>
        <v>3.9773000000000001</v>
      </c>
      <c r="F1318">
        <f t="shared" si="103"/>
        <v>0.59744401664932756</v>
      </c>
      <c r="G1318">
        <f t="shared" si="104"/>
        <v>0.35693935303008201</v>
      </c>
    </row>
    <row r="1319" spans="1:7" x14ac:dyDescent="0.35">
      <c r="A1319">
        <v>2702</v>
      </c>
      <c r="B1319">
        <f t="shared" si="100"/>
        <v>1363.6479361775928</v>
      </c>
      <c r="C1319">
        <f t="shared" si="101"/>
        <v>1859535.6938414082</v>
      </c>
      <c r="D1319">
        <v>40391</v>
      </c>
      <c r="E1319">
        <f t="shared" si="102"/>
        <v>4.0391000000000004</v>
      </c>
      <c r="F1319">
        <f t="shared" si="103"/>
        <v>0.65924401664932786</v>
      </c>
      <c r="G1319">
        <f t="shared" si="104"/>
        <v>0.43460267348793924</v>
      </c>
    </row>
    <row r="1320" spans="1:7" x14ac:dyDescent="0.35">
      <c r="A1320">
        <v>2702</v>
      </c>
      <c r="B1320">
        <f t="shared" si="100"/>
        <v>1363.6479361775928</v>
      </c>
      <c r="C1320">
        <f t="shared" si="101"/>
        <v>1859535.6938414082</v>
      </c>
      <c r="D1320">
        <v>42470</v>
      </c>
      <c r="E1320">
        <f t="shared" si="102"/>
        <v>4.2469999999999999</v>
      </c>
      <c r="F1320">
        <f t="shared" si="103"/>
        <v>0.86714401664932739</v>
      </c>
      <c r="G1320">
        <f t="shared" si="104"/>
        <v>0.75193874561072893</v>
      </c>
    </row>
    <row r="1321" spans="1:7" x14ac:dyDescent="0.35">
      <c r="A1321">
        <v>2702</v>
      </c>
      <c r="B1321">
        <f t="shared" si="100"/>
        <v>1363.6479361775928</v>
      </c>
      <c r="C1321">
        <f t="shared" si="101"/>
        <v>1859535.6938414082</v>
      </c>
      <c r="D1321">
        <v>43018</v>
      </c>
      <c r="E1321">
        <f t="shared" si="102"/>
        <v>4.3018000000000001</v>
      </c>
      <c r="F1321">
        <f t="shared" si="103"/>
        <v>0.92194401664932757</v>
      </c>
      <c r="G1321">
        <f t="shared" si="104"/>
        <v>0.84998076983549564</v>
      </c>
    </row>
    <row r="1322" spans="1:7" x14ac:dyDescent="0.35">
      <c r="A1322">
        <v>2702</v>
      </c>
      <c r="B1322">
        <f t="shared" si="100"/>
        <v>1363.6479361775928</v>
      </c>
      <c r="C1322">
        <f t="shared" si="101"/>
        <v>1859535.6938414082</v>
      </c>
      <c r="D1322">
        <v>43465</v>
      </c>
      <c r="E1322">
        <f t="shared" si="102"/>
        <v>4.3464999999999998</v>
      </c>
      <c r="F1322">
        <f t="shared" si="103"/>
        <v>0.96664401664932731</v>
      </c>
      <c r="G1322">
        <f t="shared" si="104"/>
        <v>0.93440065492394497</v>
      </c>
    </row>
    <row r="1323" spans="1:7" x14ac:dyDescent="0.35">
      <c r="A1323">
        <v>2702</v>
      </c>
      <c r="B1323">
        <f t="shared" si="100"/>
        <v>1363.6479361775928</v>
      </c>
      <c r="C1323">
        <f t="shared" si="101"/>
        <v>1859535.6938414082</v>
      </c>
      <c r="D1323">
        <v>43446</v>
      </c>
      <c r="E1323">
        <f t="shared" si="102"/>
        <v>4.3445999999999998</v>
      </c>
      <c r="F1323">
        <f t="shared" si="103"/>
        <v>0.9647440166493273</v>
      </c>
      <c r="G1323">
        <f t="shared" si="104"/>
        <v>0.93073101766067745</v>
      </c>
    </row>
    <row r="1324" spans="1:7" x14ac:dyDescent="0.35">
      <c r="A1324">
        <v>2702</v>
      </c>
      <c r="B1324">
        <f t="shared" si="100"/>
        <v>1363.6479361775928</v>
      </c>
      <c r="C1324">
        <f t="shared" si="101"/>
        <v>1859535.6938414082</v>
      </c>
      <c r="D1324">
        <v>43750</v>
      </c>
      <c r="E1324">
        <f t="shared" si="102"/>
        <v>4.375</v>
      </c>
      <c r="F1324">
        <f t="shared" si="103"/>
        <v>0.9951440166493275</v>
      </c>
      <c r="G1324">
        <f t="shared" si="104"/>
        <v>0.99031161387295696</v>
      </c>
    </row>
    <row r="1325" spans="1:7" x14ac:dyDescent="0.35">
      <c r="A1325">
        <v>2702</v>
      </c>
      <c r="B1325">
        <f t="shared" si="100"/>
        <v>1363.6479361775928</v>
      </c>
      <c r="C1325">
        <f t="shared" si="101"/>
        <v>1859535.6938414082</v>
      </c>
      <c r="D1325">
        <v>43453</v>
      </c>
      <c r="E1325">
        <f t="shared" si="102"/>
        <v>4.3452999999999999</v>
      </c>
      <c r="F1325">
        <f t="shared" si="103"/>
        <v>0.96544401664932744</v>
      </c>
      <c r="G1325">
        <f t="shared" si="104"/>
        <v>0.9320821492839868</v>
      </c>
    </row>
    <row r="1326" spans="1:7" x14ac:dyDescent="0.35">
      <c r="A1326">
        <v>2702</v>
      </c>
      <c r="B1326">
        <f t="shared" si="100"/>
        <v>1363.6479361775928</v>
      </c>
      <c r="C1326">
        <f t="shared" si="101"/>
        <v>1859535.6938414082</v>
      </c>
      <c r="D1326">
        <v>43487</v>
      </c>
      <c r="E1326">
        <f t="shared" si="102"/>
        <v>4.3487</v>
      </c>
      <c r="F1326">
        <f t="shared" si="103"/>
        <v>0.96884401664932751</v>
      </c>
      <c r="G1326">
        <f t="shared" si="104"/>
        <v>0.93865872859720245</v>
      </c>
    </row>
    <row r="1327" spans="1:7" x14ac:dyDescent="0.35">
      <c r="A1327">
        <v>2702</v>
      </c>
      <c r="B1327">
        <f t="shared" si="100"/>
        <v>1363.6479361775928</v>
      </c>
      <c r="C1327">
        <f t="shared" si="101"/>
        <v>1859535.6938414082</v>
      </c>
      <c r="D1327">
        <v>44168</v>
      </c>
      <c r="E1327">
        <f t="shared" si="102"/>
        <v>4.4168000000000003</v>
      </c>
      <c r="F1327">
        <f t="shared" si="103"/>
        <v>1.0369440166493278</v>
      </c>
      <c r="G1327">
        <f t="shared" si="104"/>
        <v>1.0752528936648413</v>
      </c>
    </row>
    <row r="1328" spans="1:7" x14ac:dyDescent="0.35">
      <c r="A1328">
        <v>2702</v>
      </c>
      <c r="B1328">
        <f t="shared" si="100"/>
        <v>1363.6479361775928</v>
      </c>
      <c r="C1328">
        <f t="shared" si="101"/>
        <v>1859535.6938414082</v>
      </c>
      <c r="D1328">
        <v>44322</v>
      </c>
      <c r="E1328">
        <f t="shared" si="102"/>
        <v>4.4321999999999999</v>
      </c>
      <c r="F1328">
        <f t="shared" si="103"/>
        <v>1.0523440166493274</v>
      </c>
      <c r="G1328">
        <f t="shared" si="104"/>
        <v>1.1074279293776399</v>
      </c>
    </row>
    <row r="1329" spans="1:7" x14ac:dyDescent="0.35">
      <c r="A1329">
        <v>2702</v>
      </c>
      <c r="B1329">
        <f t="shared" si="100"/>
        <v>1363.6479361775928</v>
      </c>
      <c r="C1329">
        <f t="shared" si="101"/>
        <v>1859535.6938414082</v>
      </c>
      <c r="D1329">
        <v>41974</v>
      </c>
      <c r="E1329">
        <f t="shared" si="102"/>
        <v>4.1974</v>
      </c>
      <c r="F1329">
        <f t="shared" si="103"/>
        <v>0.81754401664932752</v>
      </c>
      <c r="G1329">
        <f t="shared" si="104"/>
        <v>0.66837821915911588</v>
      </c>
    </row>
    <row r="1330" spans="1:7" x14ac:dyDescent="0.35">
      <c r="A1330">
        <v>2702</v>
      </c>
      <c r="B1330">
        <f t="shared" si="100"/>
        <v>1363.6479361775928</v>
      </c>
      <c r="C1330">
        <f t="shared" si="101"/>
        <v>1859535.6938414082</v>
      </c>
      <c r="D1330">
        <v>42519</v>
      </c>
      <c r="E1330">
        <f t="shared" si="102"/>
        <v>4.2519</v>
      </c>
      <c r="F1330">
        <f t="shared" si="103"/>
        <v>0.87204401664932751</v>
      </c>
      <c r="G1330">
        <f t="shared" si="104"/>
        <v>0.76046076697389264</v>
      </c>
    </row>
    <row r="1331" spans="1:7" x14ac:dyDescent="0.35">
      <c r="A1331">
        <v>2702</v>
      </c>
      <c r="B1331">
        <f t="shared" si="100"/>
        <v>1363.6479361775928</v>
      </c>
      <c r="C1331">
        <f t="shared" si="101"/>
        <v>1859535.6938414082</v>
      </c>
      <c r="D1331">
        <v>44007</v>
      </c>
      <c r="E1331">
        <f t="shared" si="102"/>
        <v>4.4006999999999996</v>
      </c>
      <c r="F1331">
        <f t="shared" si="103"/>
        <v>1.0208440166493271</v>
      </c>
      <c r="G1331">
        <f t="shared" si="104"/>
        <v>1.0421225063287316</v>
      </c>
    </row>
    <row r="1332" spans="1:7" x14ac:dyDescent="0.35">
      <c r="A1332">
        <v>2702</v>
      </c>
      <c r="B1332">
        <f t="shared" si="100"/>
        <v>1363.6479361775928</v>
      </c>
      <c r="C1332">
        <f t="shared" si="101"/>
        <v>1859535.6938414082</v>
      </c>
      <c r="D1332">
        <v>43879</v>
      </c>
      <c r="E1332">
        <f t="shared" si="102"/>
        <v>4.3879000000000001</v>
      </c>
      <c r="F1332">
        <f t="shared" si="103"/>
        <v>1.0080440166493276</v>
      </c>
      <c r="G1332">
        <f t="shared" si="104"/>
        <v>1.0161527395025098</v>
      </c>
    </row>
    <row r="1333" spans="1:7" x14ac:dyDescent="0.35">
      <c r="A1333">
        <v>2702</v>
      </c>
      <c r="B1333">
        <f t="shared" si="100"/>
        <v>1363.6479361775928</v>
      </c>
      <c r="C1333">
        <f t="shared" si="101"/>
        <v>1859535.6938414082</v>
      </c>
      <c r="D1333">
        <v>44691</v>
      </c>
      <c r="E1333">
        <f t="shared" si="102"/>
        <v>4.4691000000000001</v>
      </c>
      <c r="F1333">
        <f t="shared" si="103"/>
        <v>1.0892440166493276</v>
      </c>
      <c r="G1333">
        <f t="shared" si="104"/>
        <v>1.1864525278063607</v>
      </c>
    </row>
    <row r="1334" spans="1:7" x14ac:dyDescent="0.35">
      <c r="A1334">
        <v>2702</v>
      </c>
      <c r="B1334">
        <f t="shared" si="100"/>
        <v>1363.6479361775928</v>
      </c>
      <c r="C1334">
        <f t="shared" si="101"/>
        <v>1859535.6938414082</v>
      </c>
      <c r="D1334">
        <v>45365</v>
      </c>
      <c r="E1334">
        <f t="shared" si="102"/>
        <v>4.5365000000000002</v>
      </c>
      <c r="F1334">
        <f t="shared" si="103"/>
        <v>1.1566440166493277</v>
      </c>
      <c r="G1334">
        <f t="shared" si="104"/>
        <v>1.3378253812506902</v>
      </c>
    </row>
    <row r="1335" spans="1:7" x14ac:dyDescent="0.35">
      <c r="A1335">
        <v>2702</v>
      </c>
      <c r="B1335">
        <f t="shared" si="100"/>
        <v>1363.6479361775928</v>
      </c>
      <c r="C1335">
        <f t="shared" si="101"/>
        <v>1859535.6938414082</v>
      </c>
      <c r="D1335">
        <v>45739</v>
      </c>
      <c r="E1335">
        <f t="shared" si="102"/>
        <v>4.5739000000000001</v>
      </c>
      <c r="F1335">
        <f t="shared" si="103"/>
        <v>1.1940440166493276</v>
      </c>
      <c r="G1335">
        <f t="shared" si="104"/>
        <v>1.4257411136960596</v>
      </c>
    </row>
    <row r="1336" spans="1:7" x14ac:dyDescent="0.35">
      <c r="A1336">
        <v>2702</v>
      </c>
      <c r="B1336">
        <f t="shared" si="100"/>
        <v>1363.6479361775928</v>
      </c>
      <c r="C1336">
        <f t="shared" si="101"/>
        <v>1859535.6938414082</v>
      </c>
      <c r="D1336">
        <v>46201</v>
      </c>
      <c r="E1336">
        <f t="shared" si="102"/>
        <v>4.6200999999999999</v>
      </c>
      <c r="F1336">
        <f t="shared" si="103"/>
        <v>1.2402440166493274</v>
      </c>
      <c r="G1336">
        <f t="shared" si="104"/>
        <v>1.538205220834457</v>
      </c>
    </row>
    <row r="1337" spans="1:7" x14ac:dyDescent="0.35">
      <c r="A1337">
        <v>2702</v>
      </c>
      <c r="B1337">
        <f t="shared" si="100"/>
        <v>1363.6479361775928</v>
      </c>
      <c r="C1337">
        <f t="shared" si="101"/>
        <v>1859535.6938414082</v>
      </c>
      <c r="D1337">
        <v>47052</v>
      </c>
      <c r="E1337">
        <f t="shared" si="102"/>
        <v>4.7051999999999996</v>
      </c>
      <c r="F1337">
        <f t="shared" si="103"/>
        <v>1.3253440166493271</v>
      </c>
      <c r="G1337">
        <f t="shared" si="104"/>
        <v>1.7565367624681718</v>
      </c>
    </row>
    <row r="1338" spans="1:7" x14ac:dyDescent="0.35">
      <c r="A1338">
        <v>2702</v>
      </c>
      <c r="B1338">
        <f t="shared" si="100"/>
        <v>1363.6479361775928</v>
      </c>
      <c r="C1338">
        <f t="shared" si="101"/>
        <v>1859535.6938414082</v>
      </c>
      <c r="D1338">
        <v>48948</v>
      </c>
      <c r="E1338">
        <f t="shared" si="102"/>
        <v>4.8948</v>
      </c>
      <c r="F1338">
        <f t="shared" si="103"/>
        <v>1.5149440166493275</v>
      </c>
      <c r="G1338">
        <f t="shared" si="104"/>
        <v>2.2950553735815982</v>
      </c>
    </row>
    <row r="1339" spans="1:7" x14ac:dyDescent="0.35">
      <c r="A1339">
        <v>2702</v>
      </c>
      <c r="B1339">
        <f t="shared" si="100"/>
        <v>1363.6479361775928</v>
      </c>
      <c r="C1339">
        <f t="shared" si="101"/>
        <v>1859535.6938414082</v>
      </c>
      <c r="D1339">
        <v>49985</v>
      </c>
      <c r="E1339">
        <f t="shared" si="102"/>
        <v>4.9984999999999999</v>
      </c>
      <c r="F1339">
        <f t="shared" si="103"/>
        <v>1.6186440166493274</v>
      </c>
      <c r="G1339">
        <f t="shared" si="104"/>
        <v>2.6200084526346683</v>
      </c>
    </row>
    <row r="1340" spans="1:7" x14ac:dyDescent="0.35">
      <c r="A1340">
        <v>2702</v>
      </c>
      <c r="B1340">
        <f t="shared" si="100"/>
        <v>1363.6479361775928</v>
      </c>
      <c r="C1340">
        <f t="shared" si="101"/>
        <v>1859535.6938414082</v>
      </c>
      <c r="D1340">
        <v>50153</v>
      </c>
      <c r="E1340">
        <f t="shared" si="102"/>
        <v>5.0152999999999999</v>
      </c>
      <c r="F1340">
        <f t="shared" si="103"/>
        <v>1.6354440166493274</v>
      </c>
      <c r="G1340">
        <f t="shared" si="104"/>
        <v>2.6746771315940854</v>
      </c>
    </row>
    <row r="1341" spans="1:7" x14ac:dyDescent="0.35">
      <c r="A1341">
        <v>2702</v>
      </c>
      <c r="B1341">
        <f t="shared" si="100"/>
        <v>1363.6479361775928</v>
      </c>
      <c r="C1341">
        <f t="shared" si="101"/>
        <v>1859535.6938414082</v>
      </c>
      <c r="D1341">
        <v>49802</v>
      </c>
      <c r="E1341">
        <f t="shared" si="102"/>
        <v>4.9802</v>
      </c>
      <c r="F1341">
        <f t="shared" si="103"/>
        <v>1.6003440166493275</v>
      </c>
      <c r="G1341">
        <f t="shared" si="104"/>
        <v>2.561100971625303</v>
      </c>
    </row>
    <row r="1342" spans="1:7" x14ac:dyDescent="0.35">
      <c r="A1342">
        <v>2702</v>
      </c>
      <c r="B1342">
        <f t="shared" si="100"/>
        <v>1363.6479361775928</v>
      </c>
      <c r="C1342">
        <f t="shared" si="101"/>
        <v>1859535.6938414082</v>
      </c>
      <c r="D1342">
        <v>51360</v>
      </c>
      <c r="E1342">
        <f t="shared" si="102"/>
        <v>5.1360000000000001</v>
      </c>
      <c r="F1342">
        <f t="shared" si="103"/>
        <v>1.7561440166493276</v>
      </c>
      <c r="G1342">
        <f t="shared" si="104"/>
        <v>3.0840418072132341</v>
      </c>
    </row>
    <row r="1343" spans="1:7" x14ac:dyDescent="0.35">
      <c r="A1343">
        <v>2702</v>
      </c>
      <c r="B1343">
        <f t="shared" si="100"/>
        <v>1363.6479361775928</v>
      </c>
      <c r="C1343">
        <f t="shared" si="101"/>
        <v>1859535.6938414082</v>
      </c>
      <c r="D1343">
        <v>51520</v>
      </c>
      <c r="E1343">
        <f t="shared" si="102"/>
        <v>5.1520000000000001</v>
      </c>
      <c r="F1343">
        <f t="shared" si="103"/>
        <v>1.7721440166493276</v>
      </c>
      <c r="G1343">
        <f t="shared" si="104"/>
        <v>3.1404944157460126</v>
      </c>
    </row>
    <row r="1344" spans="1:7" x14ac:dyDescent="0.35">
      <c r="A1344">
        <v>2702</v>
      </c>
      <c r="B1344">
        <f t="shared" si="100"/>
        <v>1363.6479361775928</v>
      </c>
      <c r="C1344">
        <f t="shared" si="101"/>
        <v>1859535.6938414082</v>
      </c>
      <c r="D1344">
        <v>51348</v>
      </c>
      <c r="E1344">
        <f t="shared" si="102"/>
        <v>5.1348000000000003</v>
      </c>
      <c r="F1344">
        <f t="shared" si="103"/>
        <v>1.7549440166493278</v>
      </c>
      <c r="G1344">
        <f t="shared" si="104"/>
        <v>3.0798285015732758</v>
      </c>
    </row>
    <row r="1345" spans="1:7" x14ac:dyDescent="0.35">
      <c r="A1345">
        <v>2702</v>
      </c>
      <c r="B1345">
        <f t="shared" si="100"/>
        <v>1363.6479361775928</v>
      </c>
      <c r="C1345">
        <f t="shared" si="101"/>
        <v>1859535.6938414082</v>
      </c>
      <c r="D1345">
        <v>53411</v>
      </c>
      <c r="E1345">
        <f t="shared" si="102"/>
        <v>5.3411</v>
      </c>
      <c r="F1345">
        <f t="shared" si="103"/>
        <v>1.9612440166493275</v>
      </c>
      <c r="G1345">
        <f t="shared" si="104"/>
        <v>3.8464780928427875</v>
      </c>
    </row>
    <row r="1346" spans="1:7" x14ac:dyDescent="0.35">
      <c r="A1346">
        <v>2702</v>
      </c>
      <c r="B1346">
        <f t="shared" si="100"/>
        <v>1363.6479361775928</v>
      </c>
      <c r="C1346">
        <f t="shared" si="101"/>
        <v>1859535.6938414082</v>
      </c>
      <c r="D1346">
        <v>54148</v>
      </c>
      <c r="E1346">
        <f t="shared" si="102"/>
        <v>5.4147999999999996</v>
      </c>
      <c r="F1346">
        <f t="shared" si="103"/>
        <v>2.0349440166493271</v>
      </c>
      <c r="G1346">
        <f t="shared" si="104"/>
        <v>4.1409971508968972</v>
      </c>
    </row>
    <row r="1347" spans="1:7" x14ac:dyDescent="0.35">
      <c r="A1347">
        <v>216</v>
      </c>
      <c r="B1347">
        <f t="shared" ref="B1347:B1410" si="105">A1347-$J$1</f>
        <v>-1122.3520638224072</v>
      </c>
      <c r="C1347">
        <f t="shared" ref="C1347:C1410" si="106">B1347^2</f>
        <v>1259674.1551664169</v>
      </c>
      <c r="D1347">
        <v>28348</v>
      </c>
      <c r="E1347">
        <f t="shared" ref="E1347:E1410" si="107">D1347/10000</f>
        <v>2.8348</v>
      </c>
      <c r="F1347">
        <f t="shared" ref="F1347:F1410" si="108">E1347-$J$2</f>
        <v>-0.54505598335067251</v>
      </c>
      <c r="G1347">
        <f t="shared" ref="G1347:G1410" si="109">F1347^2</f>
        <v>0.2970860249863686</v>
      </c>
    </row>
    <row r="1348" spans="1:7" x14ac:dyDescent="0.35">
      <c r="A1348">
        <v>216</v>
      </c>
      <c r="B1348">
        <f t="shared" si="105"/>
        <v>-1122.3520638224072</v>
      </c>
      <c r="C1348">
        <f t="shared" si="106"/>
        <v>1259674.1551664169</v>
      </c>
      <c r="D1348">
        <v>28127</v>
      </c>
      <c r="E1348">
        <f t="shared" si="107"/>
        <v>2.8127</v>
      </c>
      <c r="F1348">
        <f t="shared" si="108"/>
        <v>-0.56715598335067252</v>
      </c>
      <c r="G1348">
        <f t="shared" si="109"/>
        <v>0.3216659094504683</v>
      </c>
    </row>
    <row r="1349" spans="1:7" x14ac:dyDescent="0.35">
      <c r="A1349">
        <v>216</v>
      </c>
      <c r="B1349">
        <f t="shared" si="105"/>
        <v>-1122.3520638224072</v>
      </c>
      <c r="C1349">
        <f t="shared" si="106"/>
        <v>1259674.1551664169</v>
      </c>
      <c r="D1349">
        <v>27986</v>
      </c>
      <c r="E1349">
        <f t="shared" si="107"/>
        <v>2.7986</v>
      </c>
      <c r="F1349">
        <f t="shared" si="108"/>
        <v>-0.58125598335067252</v>
      </c>
      <c r="G1349">
        <f t="shared" si="109"/>
        <v>0.3378585181809573</v>
      </c>
    </row>
    <row r="1350" spans="1:7" x14ac:dyDescent="0.35">
      <c r="A1350">
        <v>216</v>
      </c>
      <c r="B1350">
        <f t="shared" si="105"/>
        <v>-1122.3520638224072</v>
      </c>
      <c r="C1350">
        <f t="shared" si="106"/>
        <v>1259674.1551664169</v>
      </c>
      <c r="D1350">
        <v>31863</v>
      </c>
      <c r="E1350">
        <f t="shared" si="107"/>
        <v>3.1863000000000001</v>
      </c>
      <c r="F1350">
        <f t="shared" si="108"/>
        <v>-0.19355598335067237</v>
      </c>
      <c r="G1350">
        <f t="shared" si="109"/>
        <v>3.7463918690845761E-2</v>
      </c>
    </row>
    <row r="1351" spans="1:7" x14ac:dyDescent="0.35">
      <c r="A1351">
        <v>216</v>
      </c>
      <c r="B1351">
        <f t="shared" si="105"/>
        <v>-1122.3520638224072</v>
      </c>
      <c r="C1351">
        <f t="shared" si="106"/>
        <v>1259674.1551664169</v>
      </c>
      <c r="D1351">
        <v>28889</v>
      </c>
      <c r="E1351">
        <f t="shared" si="107"/>
        <v>2.8889</v>
      </c>
      <c r="F1351">
        <f t="shared" si="108"/>
        <v>-0.49095598335067248</v>
      </c>
      <c r="G1351">
        <f t="shared" si="109"/>
        <v>0.2410377775878258</v>
      </c>
    </row>
    <row r="1352" spans="1:7" x14ac:dyDescent="0.35">
      <c r="A1352">
        <v>216</v>
      </c>
      <c r="B1352">
        <f t="shared" si="105"/>
        <v>-1122.3520638224072</v>
      </c>
      <c r="C1352">
        <f t="shared" si="106"/>
        <v>1259674.1551664169</v>
      </c>
      <c r="D1352">
        <v>22008</v>
      </c>
      <c r="E1352">
        <f t="shared" si="107"/>
        <v>2.2008000000000001</v>
      </c>
      <c r="F1352">
        <f t="shared" si="108"/>
        <v>-1.1790559833506724</v>
      </c>
      <c r="G1352">
        <f t="shared" si="109"/>
        <v>1.3901730118750211</v>
      </c>
    </row>
    <row r="1353" spans="1:7" x14ac:dyDescent="0.35">
      <c r="A1353">
        <v>216</v>
      </c>
      <c r="B1353">
        <f t="shared" si="105"/>
        <v>-1122.3520638224072</v>
      </c>
      <c r="C1353">
        <f t="shared" si="106"/>
        <v>1259674.1551664169</v>
      </c>
      <c r="D1353">
        <v>18947</v>
      </c>
      <c r="E1353">
        <f t="shared" si="107"/>
        <v>1.8947000000000001</v>
      </c>
      <c r="F1353">
        <f t="shared" si="108"/>
        <v>-1.4851559833506724</v>
      </c>
      <c r="G1353">
        <f t="shared" si="109"/>
        <v>2.2056882948823029</v>
      </c>
    </row>
    <row r="1354" spans="1:7" x14ac:dyDescent="0.35">
      <c r="A1354">
        <v>216</v>
      </c>
      <c r="B1354">
        <f t="shared" si="105"/>
        <v>-1122.3520638224072</v>
      </c>
      <c r="C1354">
        <f t="shared" si="106"/>
        <v>1259674.1551664169</v>
      </c>
      <c r="D1354">
        <v>18727</v>
      </c>
      <c r="E1354">
        <f t="shared" si="107"/>
        <v>1.8727</v>
      </c>
      <c r="F1354">
        <f t="shared" si="108"/>
        <v>-1.5071559833506725</v>
      </c>
      <c r="G1354">
        <f t="shared" si="109"/>
        <v>2.2715191581497325</v>
      </c>
    </row>
    <row r="1355" spans="1:7" x14ac:dyDescent="0.35">
      <c r="A1355">
        <v>216</v>
      </c>
      <c r="B1355">
        <f t="shared" si="105"/>
        <v>-1122.3520638224072</v>
      </c>
      <c r="C1355">
        <f t="shared" si="106"/>
        <v>1259674.1551664169</v>
      </c>
      <c r="D1355">
        <v>23497</v>
      </c>
      <c r="E1355">
        <f t="shared" si="107"/>
        <v>2.3496999999999999</v>
      </c>
      <c r="F1355">
        <f t="shared" si="108"/>
        <v>-1.0301559833506726</v>
      </c>
      <c r="G1355">
        <f t="shared" si="109"/>
        <v>1.0612213500331913</v>
      </c>
    </row>
    <row r="1356" spans="1:7" x14ac:dyDescent="0.35">
      <c r="A1356">
        <v>216</v>
      </c>
      <c r="B1356">
        <f t="shared" si="105"/>
        <v>-1122.3520638224072</v>
      </c>
      <c r="C1356">
        <f t="shared" si="106"/>
        <v>1259674.1551664169</v>
      </c>
      <c r="D1356">
        <v>18000</v>
      </c>
      <c r="E1356">
        <f t="shared" si="107"/>
        <v>1.8</v>
      </c>
      <c r="F1356">
        <f t="shared" si="108"/>
        <v>-1.5798559833506725</v>
      </c>
      <c r="G1356">
        <f t="shared" si="109"/>
        <v>2.4959449281289201</v>
      </c>
    </row>
    <row r="1357" spans="1:7" x14ac:dyDescent="0.35">
      <c r="A1357">
        <v>216</v>
      </c>
      <c r="B1357">
        <f t="shared" si="105"/>
        <v>-1122.3520638224072</v>
      </c>
      <c r="C1357">
        <f t="shared" si="106"/>
        <v>1259674.1551664169</v>
      </c>
      <c r="D1357">
        <v>22500</v>
      </c>
      <c r="E1357">
        <f t="shared" si="107"/>
        <v>2.25</v>
      </c>
      <c r="F1357">
        <f t="shared" si="108"/>
        <v>-1.1298559833506725</v>
      </c>
      <c r="G1357">
        <f t="shared" si="109"/>
        <v>1.2765745431133151</v>
      </c>
    </row>
    <row r="1358" spans="1:7" x14ac:dyDescent="0.35">
      <c r="A1358">
        <v>216</v>
      </c>
      <c r="B1358">
        <f t="shared" si="105"/>
        <v>-1122.3520638224072</v>
      </c>
      <c r="C1358">
        <f t="shared" si="106"/>
        <v>1259674.1551664169</v>
      </c>
      <c r="D1358">
        <v>20165</v>
      </c>
      <c r="E1358">
        <f t="shared" si="107"/>
        <v>2.0165000000000002</v>
      </c>
      <c r="F1358">
        <f t="shared" si="108"/>
        <v>-1.3633559833506723</v>
      </c>
      <c r="G1358">
        <f t="shared" si="109"/>
        <v>1.8587395373380786</v>
      </c>
    </row>
    <row r="1359" spans="1:7" x14ac:dyDescent="0.35">
      <c r="A1359">
        <v>216</v>
      </c>
      <c r="B1359">
        <f t="shared" si="105"/>
        <v>-1122.3520638224072</v>
      </c>
      <c r="C1359">
        <f t="shared" si="106"/>
        <v>1259674.1551664169</v>
      </c>
      <c r="D1359">
        <v>23438</v>
      </c>
      <c r="E1359">
        <f t="shared" si="107"/>
        <v>2.3437999999999999</v>
      </c>
      <c r="F1359">
        <f t="shared" si="108"/>
        <v>-1.0360559833506726</v>
      </c>
      <c r="G1359">
        <f t="shared" si="109"/>
        <v>1.0734120006367291</v>
      </c>
    </row>
    <row r="1360" spans="1:7" x14ac:dyDescent="0.35">
      <c r="A1360">
        <v>216</v>
      </c>
      <c r="B1360">
        <f t="shared" si="105"/>
        <v>-1122.3520638224072</v>
      </c>
      <c r="C1360">
        <f t="shared" si="106"/>
        <v>1259674.1551664169</v>
      </c>
      <c r="D1360">
        <v>13846</v>
      </c>
      <c r="E1360">
        <f t="shared" si="107"/>
        <v>1.3846000000000001</v>
      </c>
      <c r="F1360">
        <f t="shared" si="108"/>
        <v>-1.9952559833506724</v>
      </c>
      <c r="G1360">
        <f t="shared" si="109"/>
        <v>3.9810464390966587</v>
      </c>
    </row>
    <row r="1361" spans="1:7" x14ac:dyDescent="0.35">
      <c r="A1361">
        <v>216</v>
      </c>
      <c r="B1361">
        <f t="shared" si="105"/>
        <v>-1122.3520638224072</v>
      </c>
      <c r="C1361">
        <f t="shared" si="106"/>
        <v>1259674.1551664169</v>
      </c>
      <c r="D1361">
        <v>6000</v>
      </c>
      <c r="E1361">
        <f t="shared" si="107"/>
        <v>0.6</v>
      </c>
      <c r="F1361">
        <f t="shared" si="108"/>
        <v>-2.7798559833506724</v>
      </c>
      <c r="G1361">
        <f t="shared" si="109"/>
        <v>7.7275992881705342</v>
      </c>
    </row>
    <row r="1362" spans="1:7" x14ac:dyDescent="0.35">
      <c r="A1362">
        <v>216</v>
      </c>
      <c r="B1362">
        <f t="shared" si="105"/>
        <v>-1122.3520638224072</v>
      </c>
      <c r="C1362">
        <f t="shared" si="106"/>
        <v>1259674.1551664169</v>
      </c>
      <c r="D1362">
        <v>12800</v>
      </c>
      <c r="E1362">
        <f t="shared" si="107"/>
        <v>1.28</v>
      </c>
      <c r="F1362">
        <f t="shared" si="108"/>
        <v>-2.0998559833506727</v>
      </c>
      <c r="G1362">
        <f t="shared" si="109"/>
        <v>4.4093951508136202</v>
      </c>
    </row>
    <row r="1363" spans="1:7" x14ac:dyDescent="0.35">
      <c r="A1363">
        <v>216</v>
      </c>
      <c r="B1363">
        <f t="shared" si="105"/>
        <v>-1122.3520638224072</v>
      </c>
      <c r="C1363">
        <f t="shared" si="106"/>
        <v>1259674.1551664169</v>
      </c>
      <c r="D1363">
        <v>25000</v>
      </c>
      <c r="E1363">
        <f t="shared" si="107"/>
        <v>2.5</v>
      </c>
      <c r="F1363">
        <f t="shared" si="108"/>
        <v>-0.8798559833506725</v>
      </c>
      <c r="G1363">
        <f t="shared" si="109"/>
        <v>0.77414655143797884</v>
      </c>
    </row>
    <row r="1364" spans="1:7" x14ac:dyDescent="0.35">
      <c r="A1364">
        <v>216</v>
      </c>
      <c r="B1364">
        <f t="shared" si="105"/>
        <v>-1122.3520638224072</v>
      </c>
      <c r="C1364">
        <f t="shared" si="106"/>
        <v>1259674.1551664169</v>
      </c>
      <c r="D1364">
        <v>28409</v>
      </c>
      <c r="E1364">
        <f t="shared" si="107"/>
        <v>2.8409</v>
      </c>
      <c r="F1364">
        <f t="shared" si="108"/>
        <v>-0.53895598335067252</v>
      </c>
      <c r="G1364">
        <f t="shared" si="109"/>
        <v>0.29047355198949038</v>
      </c>
    </row>
    <row r="1365" spans="1:7" x14ac:dyDescent="0.35">
      <c r="A1365">
        <v>216</v>
      </c>
      <c r="B1365">
        <f t="shared" si="105"/>
        <v>-1122.3520638224072</v>
      </c>
      <c r="C1365">
        <f t="shared" si="106"/>
        <v>1259674.1551664169</v>
      </c>
      <c r="D1365">
        <v>28879</v>
      </c>
      <c r="E1365">
        <f t="shared" si="107"/>
        <v>2.8879000000000001</v>
      </c>
      <c r="F1365">
        <f t="shared" si="108"/>
        <v>-0.49195598335067237</v>
      </c>
      <c r="G1365">
        <f t="shared" si="109"/>
        <v>0.24202068955452702</v>
      </c>
    </row>
    <row r="1366" spans="1:7" x14ac:dyDescent="0.35">
      <c r="A1366">
        <v>216</v>
      </c>
      <c r="B1366">
        <f t="shared" si="105"/>
        <v>-1122.3520638224072</v>
      </c>
      <c r="C1366">
        <f t="shared" si="106"/>
        <v>1259674.1551664169</v>
      </c>
      <c r="D1366">
        <v>28867</v>
      </c>
      <c r="E1366">
        <f t="shared" si="107"/>
        <v>2.8866999999999998</v>
      </c>
      <c r="F1366">
        <f t="shared" si="108"/>
        <v>-0.49315598335067268</v>
      </c>
      <c r="G1366">
        <f t="shared" si="109"/>
        <v>0.24320282391456896</v>
      </c>
    </row>
    <row r="1367" spans="1:7" x14ac:dyDescent="0.35">
      <c r="A1367">
        <v>216</v>
      </c>
      <c r="B1367">
        <f t="shared" si="105"/>
        <v>-1122.3520638224072</v>
      </c>
      <c r="C1367">
        <f t="shared" si="106"/>
        <v>1259674.1551664169</v>
      </c>
      <c r="D1367">
        <v>31630</v>
      </c>
      <c r="E1367">
        <f t="shared" si="107"/>
        <v>3.1629999999999998</v>
      </c>
      <c r="F1367">
        <f t="shared" si="108"/>
        <v>-0.21685598335067269</v>
      </c>
      <c r="G1367">
        <f t="shared" si="109"/>
        <v>4.702651751498723E-2</v>
      </c>
    </row>
    <row r="1368" spans="1:7" x14ac:dyDescent="0.35">
      <c r="A1368">
        <v>216</v>
      </c>
      <c r="B1368">
        <f t="shared" si="105"/>
        <v>-1122.3520638224072</v>
      </c>
      <c r="C1368">
        <f t="shared" si="106"/>
        <v>1259674.1551664169</v>
      </c>
      <c r="D1368">
        <v>29281</v>
      </c>
      <c r="E1368">
        <f t="shared" si="107"/>
        <v>2.9281000000000001</v>
      </c>
      <c r="F1368">
        <f t="shared" si="108"/>
        <v>-0.45175598335067235</v>
      </c>
      <c r="G1368">
        <f t="shared" si="109"/>
        <v>0.20408346849313297</v>
      </c>
    </row>
    <row r="1369" spans="1:7" x14ac:dyDescent="0.35">
      <c r="A1369">
        <v>216</v>
      </c>
      <c r="B1369">
        <f t="shared" si="105"/>
        <v>-1122.3520638224072</v>
      </c>
      <c r="C1369">
        <f t="shared" si="106"/>
        <v>1259674.1551664169</v>
      </c>
      <c r="D1369">
        <v>31511</v>
      </c>
      <c r="E1369">
        <f t="shared" si="107"/>
        <v>3.1511</v>
      </c>
      <c r="F1369">
        <f t="shared" si="108"/>
        <v>-0.22875598335067249</v>
      </c>
      <c r="G1369">
        <f t="shared" si="109"/>
        <v>5.2329299918733148E-2</v>
      </c>
    </row>
    <row r="1370" spans="1:7" x14ac:dyDescent="0.35">
      <c r="A1370">
        <v>216</v>
      </c>
      <c r="B1370">
        <f t="shared" si="105"/>
        <v>-1122.3520638224072</v>
      </c>
      <c r="C1370">
        <f t="shared" si="106"/>
        <v>1259674.1551664169</v>
      </c>
      <c r="D1370">
        <v>32482</v>
      </c>
      <c r="E1370">
        <f t="shared" si="107"/>
        <v>3.2482000000000002</v>
      </c>
      <c r="F1370">
        <f t="shared" si="108"/>
        <v>-0.1316559833506723</v>
      </c>
      <c r="G1370">
        <f t="shared" si="109"/>
        <v>1.7333297952032502E-2</v>
      </c>
    </row>
    <row r="1371" spans="1:7" x14ac:dyDescent="0.35">
      <c r="A1371">
        <v>216</v>
      </c>
      <c r="B1371">
        <f t="shared" si="105"/>
        <v>-1122.3520638224072</v>
      </c>
      <c r="C1371">
        <f t="shared" si="106"/>
        <v>1259674.1551664169</v>
      </c>
      <c r="D1371">
        <v>35762</v>
      </c>
      <c r="E1371">
        <f t="shared" si="107"/>
        <v>3.5762</v>
      </c>
      <c r="F1371">
        <f t="shared" si="108"/>
        <v>0.19634401664932755</v>
      </c>
      <c r="G1371">
        <f t="shared" si="109"/>
        <v>3.855097287399141E-2</v>
      </c>
    </row>
    <row r="1372" spans="1:7" x14ac:dyDescent="0.35">
      <c r="A1372">
        <v>216</v>
      </c>
      <c r="B1372">
        <f t="shared" si="105"/>
        <v>-1122.3520638224072</v>
      </c>
      <c r="C1372">
        <f t="shared" si="106"/>
        <v>1259674.1551664169</v>
      </c>
      <c r="D1372">
        <v>45468</v>
      </c>
      <c r="E1372">
        <f t="shared" si="107"/>
        <v>4.5468000000000002</v>
      </c>
      <c r="F1372">
        <f t="shared" si="108"/>
        <v>1.1669440166493277</v>
      </c>
      <c r="G1372">
        <f t="shared" si="109"/>
        <v>1.3617583379936664</v>
      </c>
    </row>
    <row r="1373" spans="1:7" x14ac:dyDescent="0.35">
      <c r="A1373">
        <v>216</v>
      </c>
      <c r="B1373">
        <f t="shared" si="105"/>
        <v>-1122.3520638224072</v>
      </c>
      <c r="C1373">
        <f t="shared" si="106"/>
        <v>1259674.1551664169</v>
      </c>
      <c r="D1373">
        <v>47162</v>
      </c>
      <c r="E1373">
        <f t="shared" si="107"/>
        <v>4.7161999999999997</v>
      </c>
      <c r="F1373">
        <f t="shared" si="108"/>
        <v>1.3363440166493272</v>
      </c>
      <c r="G1373">
        <f t="shared" si="109"/>
        <v>1.7858153308344573</v>
      </c>
    </row>
    <row r="1374" spans="1:7" x14ac:dyDescent="0.35">
      <c r="A1374">
        <v>216</v>
      </c>
      <c r="B1374">
        <f t="shared" si="105"/>
        <v>-1122.3520638224072</v>
      </c>
      <c r="C1374">
        <f t="shared" si="106"/>
        <v>1259674.1551664169</v>
      </c>
      <c r="D1374">
        <v>51049</v>
      </c>
      <c r="E1374">
        <f t="shared" si="107"/>
        <v>5.1048999999999998</v>
      </c>
      <c r="F1374">
        <f t="shared" si="108"/>
        <v>1.7250440166493273</v>
      </c>
      <c r="G1374">
        <f t="shared" si="109"/>
        <v>2.9757768593776444</v>
      </c>
    </row>
    <row r="1375" spans="1:7" x14ac:dyDescent="0.35">
      <c r="A1375">
        <v>216</v>
      </c>
      <c r="B1375">
        <f t="shared" si="105"/>
        <v>-1122.3520638224072</v>
      </c>
      <c r="C1375">
        <f t="shared" si="106"/>
        <v>1259674.1551664169</v>
      </c>
      <c r="D1375">
        <v>44776</v>
      </c>
      <c r="E1375">
        <f t="shared" si="107"/>
        <v>4.4775999999999998</v>
      </c>
      <c r="F1375">
        <f t="shared" si="108"/>
        <v>1.0977440166493273</v>
      </c>
      <c r="G1375">
        <f t="shared" si="109"/>
        <v>1.2050419260893985</v>
      </c>
    </row>
    <row r="1376" spans="1:7" x14ac:dyDescent="0.35">
      <c r="A1376">
        <v>216</v>
      </c>
      <c r="B1376">
        <f t="shared" si="105"/>
        <v>-1122.3520638224072</v>
      </c>
      <c r="C1376">
        <f t="shared" si="106"/>
        <v>1259674.1551664169</v>
      </c>
      <c r="D1376">
        <v>48056</v>
      </c>
      <c r="E1376">
        <f t="shared" si="107"/>
        <v>4.8056000000000001</v>
      </c>
      <c r="F1376">
        <f t="shared" si="108"/>
        <v>1.4257440166493276</v>
      </c>
      <c r="G1376">
        <f t="shared" si="109"/>
        <v>2.0327460010113581</v>
      </c>
    </row>
    <row r="1377" spans="1:7" x14ac:dyDescent="0.35">
      <c r="A1377">
        <v>832</v>
      </c>
      <c r="B1377">
        <f t="shared" si="105"/>
        <v>-506.35206382240722</v>
      </c>
      <c r="C1377">
        <f t="shared" si="106"/>
        <v>256392.41253721114</v>
      </c>
      <c r="D1377">
        <v>60520</v>
      </c>
      <c r="E1377">
        <f t="shared" si="107"/>
        <v>6.0519999999999996</v>
      </c>
      <c r="F1377">
        <f t="shared" si="108"/>
        <v>2.6721440166493271</v>
      </c>
      <c r="G1377">
        <f t="shared" si="109"/>
        <v>7.1403536457147991</v>
      </c>
    </row>
    <row r="1378" spans="1:7" x14ac:dyDescent="0.35">
      <c r="A1378">
        <v>832</v>
      </c>
      <c r="B1378">
        <f t="shared" si="105"/>
        <v>-506.35206382240722</v>
      </c>
      <c r="C1378">
        <f t="shared" si="106"/>
        <v>256392.41253721114</v>
      </c>
      <c r="D1378">
        <v>59344</v>
      </c>
      <c r="E1378">
        <f t="shared" si="107"/>
        <v>5.9344000000000001</v>
      </c>
      <c r="F1378">
        <f t="shared" si="108"/>
        <v>2.5545440166493276</v>
      </c>
      <c r="G1378">
        <f t="shared" si="109"/>
        <v>6.5256951329988802</v>
      </c>
    </row>
    <row r="1379" spans="1:7" x14ac:dyDescent="0.35">
      <c r="A1379">
        <v>832</v>
      </c>
      <c r="B1379">
        <f t="shared" si="105"/>
        <v>-506.35206382240722</v>
      </c>
      <c r="C1379">
        <f t="shared" si="106"/>
        <v>256392.41253721114</v>
      </c>
      <c r="D1379">
        <v>56128</v>
      </c>
      <c r="E1379">
        <f t="shared" si="107"/>
        <v>5.6128</v>
      </c>
      <c r="F1379">
        <f t="shared" si="108"/>
        <v>2.2329440166493275</v>
      </c>
      <c r="G1379">
        <f t="shared" si="109"/>
        <v>4.9860389814900321</v>
      </c>
    </row>
    <row r="1380" spans="1:7" x14ac:dyDescent="0.35">
      <c r="A1380">
        <v>832</v>
      </c>
      <c r="B1380">
        <f t="shared" si="105"/>
        <v>-506.35206382240722</v>
      </c>
      <c r="C1380">
        <f t="shared" si="106"/>
        <v>256392.41253721114</v>
      </c>
      <c r="D1380">
        <v>60461</v>
      </c>
      <c r="E1380">
        <f t="shared" si="107"/>
        <v>6.0461</v>
      </c>
      <c r="F1380">
        <f t="shared" si="108"/>
        <v>2.6662440166493275</v>
      </c>
      <c r="G1380">
        <f t="shared" si="109"/>
        <v>7.1088571563183391</v>
      </c>
    </row>
    <row r="1381" spans="1:7" x14ac:dyDescent="0.35">
      <c r="A1381">
        <v>832</v>
      </c>
      <c r="B1381">
        <f t="shared" si="105"/>
        <v>-506.35206382240722</v>
      </c>
      <c r="C1381">
        <f t="shared" si="106"/>
        <v>256392.41253721114</v>
      </c>
      <c r="D1381">
        <v>60278</v>
      </c>
      <c r="E1381">
        <f t="shared" si="107"/>
        <v>6.0278</v>
      </c>
      <c r="F1381">
        <f t="shared" si="108"/>
        <v>2.6479440166493275</v>
      </c>
      <c r="G1381">
        <f t="shared" si="109"/>
        <v>7.0116075153089739</v>
      </c>
    </row>
    <row r="1382" spans="1:7" x14ac:dyDescent="0.35">
      <c r="A1382">
        <v>832</v>
      </c>
      <c r="B1382">
        <f t="shared" si="105"/>
        <v>-506.35206382240722</v>
      </c>
      <c r="C1382">
        <f t="shared" si="106"/>
        <v>256392.41253721114</v>
      </c>
      <c r="D1382">
        <v>60274</v>
      </c>
      <c r="E1382">
        <f t="shared" si="107"/>
        <v>6.0274000000000001</v>
      </c>
      <c r="F1382">
        <f t="shared" si="108"/>
        <v>2.6475440166493276</v>
      </c>
      <c r="G1382">
        <f t="shared" si="109"/>
        <v>7.0094893200956552</v>
      </c>
    </row>
    <row r="1383" spans="1:7" x14ac:dyDescent="0.35">
      <c r="A1383">
        <v>832</v>
      </c>
      <c r="B1383">
        <f t="shared" si="105"/>
        <v>-506.35206382240722</v>
      </c>
      <c r="C1383">
        <f t="shared" si="106"/>
        <v>256392.41253721114</v>
      </c>
      <c r="D1383">
        <v>58758</v>
      </c>
      <c r="E1383">
        <f t="shared" si="107"/>
        <v>5.8757999999999999</v>
      </c>
      <c r="F1383">
        <f t="shared" si="108"/>
        <v>2.4959440166493274</v>
      </c>
      <c r="G1383">
        <f t="shared" si="109"/>
        <v>6.2297365342475777</v>
      </c>
    </row>
    <row r="1384" spans="1:7" x14ac:dyDescent="0.35">
      <c r="A1384">
        <v>832</v>
      </c>
      <c r="B1384">
        <f t="shared" si="105"/>
        <v>-506.35206382240722</v>
      </c>
      <c r="C1384">
        <f t="shared" si="106"/>
        <v>256392.41253721114</v>
      </c>
      <c r="D1384">
        <v>56317</v>
      </c>
      <c r="E1384">
        <f t="shared" si="107"/>
        <v>5.6317000000000004</v>
      </c>
      <c r="F1384">
        <f t="shared" si="108"/>
        <v>2.2518440166493279</v>
      </c>
      <c r="G1384">
        <f t="shared" si="109"/>
        <v>5.0708014753193789</v>
      </c>
    </row>
    <row r="1385" spans="1:7" x14ac:dyDescent="0.35">
      <c r="A1385">
        <v>832</v>
      </c>
      <c r="B1385">
        <f t="shared" si="105"/>
        <v>-506.35206382240722</v>
      </c>
      <c r="C1385">
        <f t="shared" si="106"/>
        <v>256392.41253721114</v>
      </c>
      <c r="D1385">
        <v>57661</v>
      </c>
      <c r="E1385">
        <f t="shared" si="107"/>
        <v>5.7660999999999998</v>
      </c>
      <c r="F1385">
        <f t="shared" si="108"/>
        <v>2.3862440166493273</v>
      </c>
      <c r="G1385">
        <f t="shared" si="109"/>
        <v>5.6941605069947148</v>
      </c>
    </row>
    <row r="1386" spans="1:7" x14ac:dyDescent="0.35">
      <c r="A1386">
        <v>832</v>
      </c>
      <c r="B1386">
        <f t="shared" si="105"/>
        <v>-506.35206382240722</v>
      </c>
      <c r="C1386">
        <f t="shared" si="106"/>
        <v>256392.41253721114</v>
      </c>
      <c r="D1386">
        <v>55206</v>
      </c>
      <c r="E1386">
        <f t="shared" si="107"/>
        <v>5.5206</v>
      </c>
      <c r="F1386">
        <f t="shared" si="108"/>
        <v>2.1407440166493275</v>
      </c>
      <c r="G1386">
        <f t="shared" si="109"/>
        <v>4.5827849448198963</v>
      </c>
    </row>
    <row r="1387" spans="1:7" x14ac:dyDescent="0.35">
      <c r="A1387">
        <v>832</v>
      </c>
      <c r="B1387">
        <f t="shared" si="105"/>
        <v>-506.35206382240722</v>
      </c>
      <c r="C1387">
        <f t="shared" si="106"/>
        <v>256392.41253721114</v>
      </c>
      <c r="D1387">
        <v>58122</v>
      </c>
      <c r="E1387">
        <f t="shared" si="107"/>
        <v>5.8121999999999998</v>
      </c>
      <c r="F1387">
        <f t="shared" si="108"/>
        <v>2.4323440166493273</v>
      </c>
      <c r="G1387">
        <f t="shared" si="109"/>
        <v>5.9162974153297831</v>
      </c>
    </row>
    <row r="1388" spans="1:7" x14ac:dyDescent="0.35">
      <c r="A1388">
        <v>832</v>
      </c>
      <c r="B1388">
        <f t="shared" si="105"/>
        <v>-506.35206382240722</v>
      </c>
      <c r="C1388">
        <f t="shared" si="106"/>
        <v>256392.41253721114</v>
      </c>
      <c r="D1388">
        <v>61950</v>
      </c>
      <c r="E1388">
        <f t="shared" si="107"/>
        <v>6.1950000000000003</v>
      </c>
      <c r="F1388">
        <f t="shared" si="108"/>
        <v>2.8151440166493278</v>
      </c>
      <c r="G1388">
        <f t="shared" si="109"/>
        <v>7.9250358344765104</v>
      </c>
    </row>
    <row r="1389" spans="1:7" x14ac:dyDescent="0.35">
      <c r="A1389">
        <v>832</v>
      </c>
      <c r="B1389">
        <f t="shared" si="105"/>
        <v>-506.35206382240722</v>
      </c>
      <c r="C1389">
        <f t="shared" si="106"/>
        <v>256392.41253721114</v>
      </c>
      <c r="D1389">
        <v>62573</v>
      </c>
      <c r="E1389">
        <f t="shared" si="107"/>
        <v>6.2572999999999999</v>
      </c>
      <c r="F1389">
        <f t="shared" si="108"/>
        <v>2.8774440166493274</v>
      </c>
      <c r="G1389">
        <f t="shared" si="109"/>
        <v>8.2796840689510152</v>
      </c>
    </row>
    <row r="1390" spans="1:7" x14ac:dyDescent="0.35">
      <c r="A1390">
        <v>832</v>
      </c>
      <c r="B1390">
        <f t="shared" si="105"/>
        <v>-506.35206382240722</v>
      </c>
      <c r="C1390">
        <f t="shared" si="106"/>
        <v>256392.41253721114</v>
      </c>
      <c r="D1390">
        <v>64635</v>
      </c>
      <c r="E1390">
        <f t="shared" si="107"/>
        <v>6.4634999999999998</v>
      </c>
      <c r="F1390">
        <f t="shared" si="108"/>
        <v>3.0836440166493273</v>
      </c>
      <c r="G1390">
        <f t="shared" si="109"/>
        <v>9.5088604214171966</v>
      </c>
    </row>
    <row r="1391" spans="1:7" x14ac:dyDescent="0.35">
      <c r="A1391">
        <v>832</v>
      </c>
      <c r="B1391">
        <f t="shared" si="105"/>
        <v>-506.35206382240722</v>
      </c>
      <c r="C1391">
        <f t="shared" si="106"/>
        <v>256392.41253721114</v>
      </c>
      <c r="D1391">
        <v>55810</v>
      </c>
      <c r="E1391">
        <f t="shared" si="107"/>
        <v>5.5810000000000004</v>
      </c>
      <c r="F1391">
        <f t="shared" si="108"/>
        <v>2.2011440166493279</v>
      </c>
      <c r="G1391">
        <f t="shared" si="109"/>
        <v>4.8450349820311365</v>
      </c>
    </row>
    <row r="1392" spans="1:7" x14ac:dyDescent="0.35">
      <c r="A1392">
        <v>832</v>
      </c>
      <c r="B1392">
        <f t="shared" si="105"/>
        <v>-506.35206382240722</v>
      </c>
      <c r="C1392">
        <f t="shared" si="106"/>
        <v>256392.41253721114</v>
      </c>
      <c r="D1392">
        <v>58494</v>
      </c>
      <c r="E1392">
        <f t="shared" si="107"/>
        <v>5.8494000000000002</v>
      </c>
      <c r="F1392">
        <f t="shared" si="108"/>
        <v>2.4695440166493277</v>
      </c>
      <c r="G1392">
        <f t="shared" si="109"/>
        <v>6.0986476501684947</v>
      </c>
    </row>
    <row r="1393" spans="1:7" x14ac:dyDescent="0.35">
      <c r="A1393">
        <v>832</v>
      </c>
      <c r="B1393">
        <f t="shared" si="105"/>
        <v>-506.35206382240722</v>
      </c>
      <c r="C1393">
        <f t="shared" si="106"/>
        <v>256392.41253721114</v>
      </c>
      <c r="D1393">
        <v>62700</v>
      </c>
      <c r="E1393">
        <f t="shared" si="107"/>
        <v>6.27</v>
      </c>
      <c r="F1393">
        <f t="shared" si="108"/>
        <v>2.8901440166493271</v>
      </c>
      <c r="G1393">
        <f t="shared" si="109"/>
        <v>8.3529324369739051</v>
      </c>
    </row>
    <row r="1394" spans="1:7" x14ac:dyDescent="0.35">
      <c r="A1394">
        <v>832</v>
      </c>
      <c r="B1394">
        <f t="shared" si="105"/>
        <v>-506.35206382240722</v>
      </c>
      <c r="C1394">
        <f t="shared" si="106"/>
        <v>256392.41253721114</v>
      </c>
      <c r="D1394">
        <v>66317</v>
      </c>
      <c r="E1394">
        <f t="shared" si="107"/>
        <v>6.6317000000000004</v>
      </c>
      <c r="F1394">
        <f t="shared" si="108"/>
        <v>3.2518440166493279</v>
      </c>
      <c r="G1394">
        <f t="shared" si="109"/>
        <v>10.574489508618035</v>
      </c>
    </row>
    <row r="1395" spans="1:7" x14ac:dyDescent="0.35">
      <c r="A1395">
        <v>832</v>
      </c>
      <c r="B1395">
        <f t="shared" si="105"/>
        <v>-506.35206382240722</v>
      </c>
      <c r="C1395">
        <f t="shared" si="106"/>
        <v>256392.41253721114</v>
      </c>
      <c r="D1395">
        <v>63074</v>
      </c>
      <c r="E1395">
        <f t="shared" si="107"/>
        <v>6.3074000000000003</v>
      </c>
      <c r="F1395">
        <f t="shared" si="108"/>
        <v>2.9275440166493278</v>
      </c>
      <c r="G1395">
        <f t="shared" si="109"/>
        <v>8.5705139694192791</v>
      </c>
    </row>
    <row r="1396" spans="1:7" x14ac:dyDescent="0.35">
      <c r="A1396">
        <v>832</v>
      </c>
      <c r="B1396">
        <f t="shared" si="105"/>
        <v>-506.35206382240722</v>
      </c>
      <c r="C1396">
        <f t="shared" si="106"/>
        <v>256392.41253721114</v>
      </c>
      <c r="D1396">
        <v>62772</v>
      </c>
      <c r="E1396">
        <f t="shared" si="107"/>
        <v>6.2771999999999997</v>
      </c>
      <c r="F1396">
        <f t="shared" si="108"/>
        <v>2.8973440166493272</v>
      </c>
      <c r="G1396">
        <f t="shared" si="109"/>
        <v>8.3946023508136562</v>
      </c>
    </row>
    <row r="1397" spans="1:7" x14ac:dyDescent="0.35">
      <c r="A1397">
        <v>832</v>
      </c>
      <c r="B1397">
        <f t="shared" si="105"/>
        <v>-506.35206382240722</v>
      </c>
      <c r="C1397">
        <f t="shared" si="106"/>
        <v>256392.41253721114</v>
      </c>
      <c r="D1397">
        <v>66240</v>
      </c>
      <c r="E1397">
        <f t="shared" si="107"/>
        <v>6.6239999999999997</v>
      </c>
      <c r="F1397">
        <f t="shared" si="108"/>
        <v>3.2441440166493272</v>
      </c>
      <c r="G1397">
        <f t="shared" si="109"/>
        <v>10.524470400761629</v>
      </c>
    </row>
    <row r="1398" spans="1:7" x14ac:dyDescent="0.35">
      <c r="A1398">
        <v>832</v>
      </c>
      <c r="B1398">
        <f t="shared" si="105"/>
        <v>-506.35206382240722</v>
      </c>
      <c r="C1398">
        <f t="shared" si="106"/>
        <v>256392.41253721114</v>
      </c>
      <c r="D1398">
        <v>61949</v>
      </c>
      <c r="E1398">
        <f t="shared" si="107"/>
        <v>6.1948999999999996</v>
      </c>
      <c r="F1398">
        <f t="shared" si="108"/>
        <v>2.8150440166493271</v>
      </c>
      <c r="G1398">
        <f t="shared" si="109"/>
        <v>7.9244728156731767</v>
      </c>
    </row>
    <row r="1399" spans="1:7" x14ac:dyDescent="0.35">
      <c r="A1399">
        <v>832</v>
      </c>
      <c r="B1399">
        <f t="shared" si="105"/>
        <v>-506.35206382240722</v>
      </c>
      <c r="C1399">
        <f t="shared" si="106"/>
        <v>256392.41253721114</v>
      </c>
      <c r="D1399">
        <v>67941</v>
      </c>
      <c r="E1399">
        <f t="shared" si="107"/>
        <v>6.7941000000000003</v>
      </c>
      <c r="F1399">
        <f t="shared" si="108"/>
        <v>3.4142440166493278</v>
      </c>
      <c r="G1399">
        <f t="shared" si="109"/>
        <v>11.657062205225735</v>
      </c>
    </row>
    <row r="1400" spans="1:7" x14ac:dyDescent="0.35">
      <c r="A1400">
        <v>832</v>
      </c>
      <c r="B1400">
        <f t="shared" si="105"/>
        <v>-506.35206382240722</v>
      </c>
      <c r="C1400">
        <f t="shared" si="106"/>
        <v>256392.41253721114</v>
      </c>
      <c r="D1400">
        <v>61219</v>
      </c>
      <c r="E1400">
        <f t="shared" si="107"/>
        <v>6.1219000000000001</v>
      </c>
      <c r="F1400">
        <f t="shared" si="108"/>
        <v>2.7420440166493276</v>
      </c>
      <c r="G1400">
        <f t="shared" si="109"/>
        <v>7.5188053892423783</v>
      </c>
    </row>
    <row r="1401" spans="1:7" x14ac:dyDescent="0.35">
      <c r="A1401">
        <v>832</v>
      </c>
      <c r="B1401">
        <f t="shared" si="105"/>
        <v>-506.35206382240722</v>
      </c>
      <c r="C1401">
        <f t="shared" si="106"/>
        <v>256392.41253721114</v>
      </c>
      <c r="D1401">
        <v>60452</v>
      </c>
      <c r="E1401">
        <f t="shared" si="107"/>
        <v>6.0452000000000004</v>
      </c>
      <c r="F1401">
        <f t="shared" si="108"/>
        <v>2.6653440166493279</v>
      </c>
      <c r="G1401">
        <f t="shared" si="109"/>
        <v>7.1040587270883728</v>
      </c>
    </row>
    <row r="1402" spans="1:7" x14ac:dyDescent="0.35">
      <c r="A1402">
        <v>832</v>
      </c>
      <c r="B1402">
        <f t="shared" si="105"/>
        <v>-506.35206382240722</v>
      </c>
      <c r="C1402">
        <f t="shared" si="106"/>
        <v>256392.41253721114</v>
      </c>
      <c r="D1402">
        <v>68133</v>
      </c>
      <c r="E1402">
        <f t="shared" si="107"/>
        <v>6.8132999999999999</v>
      </c>
      <c r="F1402">
        <f t="shared" si="108"/>
        <v>3.4334440166493274</v>
      </c>
      <c r="G1402">
        <f t="shared" si="109"/>
        <v>11.788537815465068</v>
      </c>
    </row>
    <row r="1403" spans="1:7" x14ac:dyDescent="0.35">
      <c r="A1403">
        <v>832</v>
      </c>
      <c r="B1403">
        <f t="shared" si="105"/>
        <v>-506.35206382240722</v>
      </c>
      <c r="C1403">
        <f t="shared" si="106"/>
        <v>256392.41253721114</v>
      </c>
      <c r="D1403">
        <v>66342</v>
      </c>
      <c r="E1403">
        <f t="shared" si="107"/>
        <v>6.6341999999999999</v>
      </c>
      <c r="F1403">
        <f t="shared" si="108"/>
        <v>3.2543440166493274</v>
      </c>
      <c r="G1403">
        <f t="shared" si="109"/>
        <v>10.590754978701277</v>
      </c>
    </row>
    <row r="1404" spans="1:7" x14ac:dyDescent="0.35">
      <c r="A1404">
        <v>832</v>
      </c>
      <c r="B1404">
        <f t="shared" si="105"/>
        <v>-506.35206382240722</v>
      </c>
      <c r="C1404">
        <f t="shared" si="106"/>
        <v>256392.41253721114</v>
      </c>
      <c r="D1404">
        <v>63148</v>
      </c>
      <c r="E1404">
        <f t="shared" si="107"/>
        <v>6.3148</v>
      </c>
      <c r="F1404">
        <f t="shared" si="108"/>
        <v>2.9349440166493275</v>
      </c>
      <c r="G1404">
        <f t="shared" si="109"/>
        <v>8.6138963808656879</v>
      </c>
    </row>
    <row r="1405" spans="1:7" x14ac:dyDescent="0.35">
      <c r="A1405">
        <v>832</v>
      </c>
      <c r="B1405">
        <f t="shared" si="105"/>
        <v>-506.35206382240722</v>
      </c>
      <c r="C1405">
        <f t="shared" si="106"/>
        <v>256392.41253721114</v>
      </c>
      <c r="D1405">
        <v>66785</v>
      </c>
      <c r="E1405">
        <f t="shared" si="107"/>
        <v>6.6784999999999997</v>
      </c>
      <c r="F1405">
        <f t="shared" si="108"/>
        <v>3.2986440166493272</v>
      </c>
      <c r="G1405">
        <f t="shared" si="109"/>
        <v>10.881052348576407</v>
      </c>
    </row>
    <row r="1406" spans="1:7" x14ac:dyDescent="0.35">
      <c r="A1406">
        <v>832</v>
      </c>
      <c r="B1406">
        <f t="shared" si="105"/>
        <v>-506.35206382240722</v>
      </c>
      <c r="C1406">
        <f t="shared" si="106"/>
        <v>256392.41253721114</v>
      </c>
      <c r="D1406">
        <v>67797</v>
      </c>
      <c r="E1406">
        <f t="shared" si="107"/>
        <v>6.7797000000000001</v>
      </c>
      <c r="F1406">
        <f t="shared" si="108"/>
        <v>3.3998440166493276</v>
      </c>
      <c r="G1406">
        <f t="shared" si="109"/>
        <v>11.558939337546233</v>
      </c>
    </row>
    <row r="1407" spans="1:7" x14ac:dyDescent="0.35">
      <c r="A1407">
        <v>2051</v>
      </c>
      <c r="B1407">
        <f t="shared" si="105"/>
        <v>712.64793617759278</v>
      </c>
      <c r="C1407">
        <f t="shared" si="106"/>
        <v>507867.08093818236</v>
      </c>
      <c r="D1407">
        <v>30364</v>
      </c>
      <c r="E1407">
        <f t="shared" si="107"/>
        <v>3.0364</v>
      </c>
      <c r="F1407">
        <f t="shared" si="108"/>
        <v>-0.34345598335067251</v>
      </c>
      <c r="G1407">
        <f t="shared" si="109"/>
        <v>0.11796201249937743</v>
      </c>
    </row>
    <row r="1408" spans="1:7" x14ac:dyDescent="0.35">
      <c r="A1408">
        <v>2051</v>
      </c>
      <c r="B1408">
        <f t="shared" si="105"/>
        <v>712.64793617759278</v>
      </c>
      <c r="C1408">
        <f t="shared" si="106"/>
        <v>507867.08093818236</v>
      </c>
      <c r="D1408">
        <v>31802</v>
      </c>
      <c r="E1408">
        <f t="shared" si="107"/>
        <v>3.1802000000000001</v>
      </c>
      <c r="F1408">
        <f t="shared" si="108"/>
        <v>-0.19965598335067236</v>
      </c>
      <c r="G1408">
        <f t="shared" si="109"/>
        <v>3.9862511687723957E-2</v>
      </c>
    </row>
    <row r="1409" spans="1:7" x14ac:dyDescent="0.35">
      <c r="A1409">
        <v>2051</v>
      </c>
      <c r="B1409">
        <f t="shared" si="105"/>
        <v>712.64793617759278</v>
      </c>
      <c r="C1409">
        <f t="shared" si="106"/>
        <v>507867.08093818236</v>
      </c>
      <c r="D1409">
        <v>20668</v>
      </c>
      <c r="E1409">
        <f t="shared" si="107"/>
        <v>2.0668000000000002</v>
      </c>
      <c r="F1409">
        <f t="shared" si="108"/>
        <v>-1.3130559833506723</v>
      </c>
      <c r="G1409">
        <f t="shared" si="109"/>
        <v>1.7241160154130011</v>
      </c>
    </row>
    <row r="1410" spans="1:7" x14ac:dyDescent="0.35">
      <c r="A1410">
        <v>2051</v>
      </c>
      <c r="B1410">
        <f t="shared" si="105"/>
        <v>712.64793617759278</v>
      </c>
      <c r="C1410">
        <f t="shared" si="106"/>
        <v>507867.08093818236</v>
      </c>
      <c r="D1410">
        <v>33506</v>
      </c>
      <c r="E1410">
        <f t="shared" si="107"/>
        <v>3.3506</v>
      </c>
      <c r="F1410">
        <f t="shared" si="108"/>
        <v>-2.9255983350672476E-2</v>
      </c>
      <c r="G1410">
        <f t="shared" si="109"/>
        <v>8.5591256181482514E-4</v>
      </c>
    </row>
    <row r="1411" spans="1:7" x14ac:dyDescent="0.35">
      <c r="A1411">
        <v>2051</v>
      </c>
      <c r="B1411">
        <f t="shared" ref="B1411:B1474" si="110">A1411-$J$1</f>
        <v>712.64793617759278</v>
      </c>
      <c r="C1411">
        <f t="shared" ref="C1411:C1474" si="111">B1411^2</f>
        <v>507867.08093818236</v>
      </c>
      <c r="D1411">
        <v>23656</v>
      </c>
      <c r="E1411">
        <f t="shared" ref="E1411:E1474" si="112">D1411/10000</f>
        <v>2.3656000000000001</v>
      </c>
      <c r="F1411">
        <f t="shared" ref="F1411:F1474" si="113">E1411-$J$2</f>
        <v>-1.0142559833506724</v>
      </c>
      <c r="G1411">
        <f t="shared" ref="G1411:G1474" si="114">F1411^2</f>
        <v>1.0287151997626394</v>
      </c>
    </row>
    <row r="1412" spans="1:7" x14ac:dyDescent="0.35">
      <c r="A1412">
        <v>2051</v>
      </c>
      <c r="B1412">
        <f t="shared" si="110"/>
        <v>712.64793617759278</v>
      </c>
      <c r="C1412">
        <f t="shared" si="111"/>
        <v>507867.08093818236</v>
      </c>
      <c r="D1412">
        <v>27019</v>
      </c>
      <c r="E1412">
        <f t="shared" si="112"/>
        <v>2.7019000000000002</v>
      </c>
      <c r="F1412">
        <f t="shared" si="113"/>
        <v>-0.67795598335067231</v>
      </c>
      <c r="G1412">
        <f t="shared" si="114"/>
        <v>0.45962431536097709</v>
      </c>
    </row>
    <row r="1413" spans="1:7" x14ac:dyDescent="0.35">
      <c r="A1413">
        <v>2051</v>
      </c>
      <c r="B1413">
        <f t="shared" si="110"/>
        <v>712.64793617759278</v>
      </c>
      <c r="C1413">
        <f t="shared" si="111"/>
        <v>507867.08093818236</v>
      </c>
      <c r="D1413">
        <v>23981</v>
      </c>
      <c r="E1413">
        <f t="shared" si="112"/>
        <v>2.3980999999999999</v>
      </c>
      <c r="F1413">
        <f t="shared" si="113"/>
        <v>-0.9817559833506726</v>
      </c>
      <c r="G1413">
        <f t="shared" si="114"/>
        <v>0.96384481084484619</v>
      </c>
    </row>
    <row r="1414" spans="1:7" x14ac:dyDescent="0.35">
      <c r="A1414">
        <v>2051</v>
      </c>
      <c r="B1414">
        <f t="shared" si="110"/>
        <v>712.64793617759278</v>
      </c>
      <c r="C1414">
        <f t="shared" si="111"/>
        <v>507867.08093818236</v>
      </c>
      <c r="D1414">
        <v>31279</v>
      </c>
      <c r="E1414">
        <f t="shared" si="112"/>
        <v>3.1278999999999999</v>
      </c>
      <c r="F1414">
        <f t="shared" si="113"/>
        <v>-0.2519559833506726</v>
      </c>
      <c r="G1414">
        <f t="shared" si="114"/>
        <v>6.3481817546204411E-2</v>
      </c>
    </row>
    <row r="1415" spans="1:7" x14ac:dyDescent="0.35">
      <c r="A1415">
        <v>2051</v>
      </c>
      <c r="B1415">
        <f t="shared" si="110"/>
        <v>712.64793617759278</v>
      </c>
      <c r="C1415">
        <f t="shared" si="111"/>
        <v>507867.08093818236</v>
      </c>
      <c r="D1415">
        <v>29080</v>
      </c>
      <c r="E1415">
        <f t="shared" si="112"/>
        <v>2.9079999999999999</v>
      </c>
      <c r="F1415">
        <f t="shared" si="113"/>
        <v>-0.47185598335067258</v>
      </c>
      <c r="G1415">
        <f t="shared" si="114"/>
        <v>0.22264806902383019</v>
      </c>
    </row>
    <row r="1416" spans="1:7" x14ac:dyDescent="0.35">
      <c r="A1416">
        <v>2051</v>
      </c>
      <c r="B1416">
        <f t="shared" si="110"/>
        <v>712.64793617759278</v>
      </c>
      <c r="C1416">
        <f t="shared" si="111"/>
        <v>507867.08093818236</v>
      </c>
      <c r="D1416">
        <v>24308</v>
      </c>
      <c r="E1416">
        <f t="shared" si="112"/>
        <v>2.4308000000000001</v>
      </c>
      <c r="F1416">
        <f t="shared" si="113"/>
        <v>-0.94905598335067243</v>
      </c>
      <c r="G1416">
        <f t="shared" si="114"/>
        <v>0.90070725953371178</v>
      </c>
    </row>
    <row r="1417" spans="1:7" x14ac:dyDescent="0.35">
      <c r="A1417">
        <v>2051</v>
      </c>
      <c r="B1417">
        <f t="shared" si="110"/>
        <v>712.64793617759278</v>
      </c>
      <c r="C1417">
        <f t="shared" si="111"/>
        <v>507867.08093818236</v>
      </c>
      <c r="D1417">
        <v>14286</v>
      </c>
      <c r="E1417">
        <f t="shared" si="112"/>
        <v>1.4286000000000001</v>
      </c>
      <c r="F1417">
        <f t="shared" si="113"/>
        <v>-1.9512559833506724</v>
      </c>
      <c r="G1417">
        <f t="shared" si="114"/>
        <v>3.8073999125617997</v>
      </c>
    </row>
    <row r="1418" spans="1:7" x14ac:dyDescent="0.35">
      <c r="A1418">
        <v>2051</v>
      </c>
      <c r="B1418">
        <f t="shared" si="110"/>
        <v>712.64793617759278</v>
      </c>
      <c r="C1418">
        <f t="shared" si="111"/>
        <v>507867.08093818236</v>
      </c>
      <c r="D1418">
        <v>16111</v>
      </c>
      <c r="E1418">
        <f t="shared" si="112"/>
        <v>1.6111</v>
      </c>
      <c r="F1418">
        <f t="shared" si="113"/>
        <v>-1.7687559833506725</v>
      </c>
      <c r="G1418">
        <f t="shared" si="114"/>
        <v>3.1284977286388047</v>
      </c>
    </row>
    <row r="1419" spans="1:7" x14ac:dyDescent="0.35">
      <c r="A1419">
        <v>2051</v>
      </c>
      <c r="B1419">
        <f t="shared" si="110"/>
        <v>712.64793617759278</v>
      </c>
      <c r="C1419">
        <f t="shared" si="111"/>
        <v>507867.08093818236</v>
      </c>
      <c r="D1419">
        <v>18750</v>
      </c>
      <c r="E1419">
        <f t="shared" si="112"/>
        <v>1.875</v>
      </c>
      <c r="F1419">
        <f t="shared" si="113"/>
        <v>-1.5048559833506725</v>
      </c>
      <c r="G1419">
        <f t="shared" si="114"/>
        <v>2.2645915306263196</v>
      </c>
    </row>
    <row r="1420" spans="1:7" x14ac:dyDescent="0.35">
      <c r="A1420">
        <v>2051</v>
      </c>
      <c r="B1420">
        <f t="shared" si="110"/>
        <v>712.64793617759278</v>
      </c>
      <c r="C1420">
        <f t="shared" si="111"/>
        <v>507867.08093818236</v>
      </c>
      <c r="D1420">
        <v>10690</v>
      </c>
      <c r="E1420">
        <f t="shared" si="112"/>
        <v>1.069</v>
      </c>
      <c r="F1420">
        <f t="shared" si="113"/>
        <v>-2.3108559833506725</v>
      </c>
      <c r="G1420">
        <f t="shared" si="114"/>
        <v>5.3400553757876041</v>
      </c>
    </row>
    <row r="1421" spans="1:7" x14ac:dyDescent="0.35">
      <c r="A1421">
        <v>2051</v>
      </c>
      <c r="B1421">
        <f t="shared" si="110"/>
        <v>712.64793617759278</v>
      </c>
      <c r="C1421">
        <f t="shared" si="111"/>
        <v>507867.08093818236</v>
      </c>
      <c r="D1421">
        <v>9231</v>
      </c>
      <c r="E1421">
        <f t="shared" si="112"/>
        <v>0.92310000000000003</v>
      </c>
      <c r="F1421">
        <f t="shared" si="113"/>
        <v>-2.4567559833506722</v>
      </c>
      <c r="G1421">
        <f t="shared" si="114"/>
        <v>6.0356499617293284</v>
      </c>
    </row>
    <row r="1422" spans="1:7" x14ac:dyDescent="0.35">
      <c r="A1422">
        <v>2051</v>
      </c>
      <c r="B1422">
        <f t="shared" si="110"/>
        <v>712.64793617759278</v>
      </c>
      <c r="C1422">
        <f t="shared" si="111"/>
        <v>507867.08093818236</v>
      </c>
      <c r="D1422">
        <v>13750</v>
      </c>
      <c r="E1422">
        <f t="shared" si="112"/>
        <v>1.375</v>
      </c>
      <c r="F1422">
        <f t="shared" si="113"/>
        <v>-2.0048559833506725</v>
      </c>
      <c r="G1422">
        <f t="shared" si="114"/>
        <v>4.0194475139769921</v>
      </c>
    </row>
    <row r="1423" spans="1:7" x14ac:dyDescent="0.35">
      <c r="A1423">
        <v>2051</v>
      </c>
      <c r="B1423">
        <f t="shared" si="110"/>
        <v>712.64793617759278</v>
      </c>
      <c r="C1423">
        <f t="shared" si="111"/>
        <v>507867.08093818236</v>
      </c>
      <c r="D1423">
        <v>9091</v>
      </c>
      <c r="E1423">
        <f t="shared" si="112"/>
        <v>0.90910000000000002</v>
      </c>
      <c r="F1423">
        <f t="shared" si="113"/>
        <v>-2.4707559833506725</v>
      </c>
      <c r="G1423">
        <f t="shared" si="114"/>
        <v>6.1046351292631487</v>
      </c>
    </row>
    <row r="1424" spans="1:7" x14ac:dyDescent="0.35">
      <c r="A1424">
        <v>2051</v>
      </c>
      <c r="B1424">
        <f t="shared" si="110"/>
        <v>712.64793617759278</v>
      </c>
      <c r="C1424">
        <f t="shared" si="111"/>
        <v>507867.08093818236</v>
      </c>
      <c r="D1424">
        <v>14286</v>
      </c>
      <c r="E1424">
        <f t="shared" si="112"/>
        <v>1.4286000000000001</v>
      </c>
      <c r="F1424">
        <f t="shared" si="113"/>
        <v>-1.9512559833506724</v>
      </c>
      <c r="G1424">
        <f t="shared" si="114"/>
        <v>3.8073999125617997</v>
      </c>
    </row>
    <row r="1425" spans="1:7" x14ac:dyDescent="0.35">
      <c r="A1425">
        <v>2051</v>
      </c>
      <c r="B1425">
        <f t="shared" si="110"/>
        <v>712.64793617759278</v>
      </c>
      <c r="C1425">
        <f t="shared" si="111"/>
        <v>507867.08093818236</v>
      </c>
      <c r="D1425">
        <v>30000</v>
      </c>
      <c r="E1425">
        <f t="shared" si="112"/>
        <v>3</v>
      </c>
      <c r="F1425">
        <f t="shared" si="113"/>
        <v>-0.3798559833506725</v>
      </c>
      <c r="G1425">
        <f t="shared" si="114"/>
        <v>0.14429056808730639</v>
      </c>
    </row>
    <row r="1426" spans="1:7" x14ac:dyDescent="0.35">
      <c r="A1426">
        <v>2051</v>
      </c>
      <c r="B1426">
        <f t="shared" si="110"/>
        <v>712.64793617759278</v>
      </c>
      <c r="C1426">
        <f t="shared" si="111"/>
        <v>507867.08093818236</v>
      </c>
      <c r="D1426">
        <v>20000</v>
      </c>
      <c r="E1426">
        <f t="shared" si="112"/>
        <v>2</v>
      </c>
      <c r="F1426">
        <f t="shared" si="113"/>
        <v>-1.3798559833506725</v>
      </c>
      <c r="G1426">
        <f t="shared" si="114"/>
        <v>1.9040025347886513</v>
      </c>
    </row>
    <row r="1427" spans="1:7" x14ac:dyDescent="0.35">
      <c r="A1427">
        <v>2051</v>
      </c>
      <c r="B1427">
        <f t="shared" si="110"/>
        <v>712.64793617759278</v>
      </c>
      <c r="C1427">
        <f t="shared" si="111"/>
        <v>507867.08093818236</v>
      </c>
      <c r="D1427">
        <v>29545</v>
      </c>
      <c r="E1427">
        <f t="shared" si="112"/>
        <v>2.9544999999999999</v>
      </c>
      <c r="F1427">
        <f t="shared" si="113"/>
        <v>-0.4253559833506726</v>
      </c>
      <c r="G1427">
        <f t="shared" si="114"/>
        <v>0.18092771257221765</v>
      </c>
    </row>
    <row r="1428" spans="1:7" x14ac:dyDescent="0.35">
      <c r="A1428">
        <v>2051</v>
      </c>
      <c r="B1428">
        <f t="shared" si="110"/>
        <v>712.64793617759278</v>
      </c>
      <c r="C1428">
        <f t="shared" si="111"/>
        <v>507867.08093818236</v>
      </c>
      <c r="D1428">
        <v>33333</v>
      </c>
      <c r="E1428">
        <f t="shared" si="112"/>
        <v>3.3332999999999999</v>
      </c>
      <c r="F1428">
        <f t="shared" si="113"/>
        <v>-4.655598335067257E-2</v>
      </c>
      <c r="G1428">
        <f t="shared" si="114"/>
        <v>2.1674595857481016E-3</v>
      </c>
    </row>
    <row r="1429" spans="1:7" x14ac:dyDescent="0.35">
      <c r="A1429">
        <v>2051</v>
      </c>
      <c r="B1429">
        <f t="shared" si="110"/>
        <v>712.64793617759278</v>
      </c>
      <c r="C1429">
        <f t="shared" si="111"/>
        <v>507867.08093818236</v>
      </c>
      <c r="D1429">
        <v>40541</v>
      </c>
      <c r="E1429">
        <f t="shared" si="112"/>
        <v>4.0541</v>
      </c>
      <c r="F1429">
        <f t="shared" si="113"/>
        <v>0.67424401664932754</v>
      </c>
      <c r="G1429">
        <f t="shared" si="114"/>
        <v>0.45460499398741866</v>
      </c>
    </row>
    <row r="1430" spans="1:7" x14ac:dyDescent="0.35">
      <c r="A1430">
        <v>2051</v>
      </c>
      <c r="B1430">
        <f t="shared" si="110"/>
        <v>712.64793617759278</v>
      </c>
      <c r="C1430">
        <f t="shared" si="111"/>
        <v>507867.08093818236</v>
      </c>
      <c r="D1430">
        <v>47397</v>
      </c>
      <c r="E1430">
        <f t="shared" si="112"/>
        <v>4.7397</v>
      </c>
      <c r="F1430">
        <f t="shared" si="113"/>
        <v>1.3598440166493275</v>
      </c>
      <c r="G1430">
        <f t="shared" si="114"/>
        <v>1.8491757496169765</v>
      </c>
    </row>
    <row r="1431" spans="1:7" x14ac:dyDescent="0.35">
      <c r="A1431">
        <v>2051</v>
      </c>
      <c r="B1431">
        <f t="shared" si="110"/>
        <v>712.64793617759278</v>
      </c>
      <c r="C1431">
        <f t="shared" si="111"/>
        <v>507867.08093818236</v>
      </c>
      <c r="D1431">
        <v>53341</v>
      </c>
      <c r="E1431">
        <f t="shared" si="112"/>
        <v>5.3341000000000003</v>
      </c>
      <c r="F1431">
        <f t="shared" si="113"/>
        <v>1.9542440166493278</v>
      </c>
      <c r="G1431">
        <f t="shared" si="114"/>
        <v>3.8190696766096983</v>
      </c>
    </row>
    <row r="1432" spans="1:7" x14ac:dyDescent="0.35">
      <c r="A1432">
        <v>2051</v>
      </c>
      <c r="B1432">
        <f t="shared" si="110"/>
        <v>712.64793617759278</v>
      </c>
      <c r="C1432">
        <f t="shared" si="111"/>
        <v>507867.08093818236</v>
      </c>
      <c r="D1432">
        <v>49023</v>
      </c>
      <c r="E1432">
        <f t="shared" si="112"/>
        <v>4.9023000000000003</v>
      </c>
      <c r="F1432">
        <f t="shared" si="113"/>
        <v>1.5224440166493278</v>
      </c>
      <c r="G1432">
        <f t="shared" si="114"/>
        <v>2.3178357838313386</v>
      </c>
    </row>
    <row r="1433" spans="1:7" x14ac:dyDescent="0.35">
      <c r="A1433">
        <v>2051</v>
      </c>
      <c r="B1433">
        <f t="shared" si="110"/>
        <v>712.64793617759278</v>
      </c>
      <c r="C1433">
        <f t="shared" si="111"/>
        <v>507867.08093818236</v>
      </c>
      <c r="D1433">
        <v>42000</v>
      </c>
      <c r="E1433">
        <f t="shared" si="112"/>
        <v>4.2</v>
      </c>
      <c r="F1433">
        <f t="shared" si="113"/>
        <v>0.82014401664932768</v>
      </c>
      <c r="G1433">
        <f t="shared" si="114"/>
        <v>0.67263620804569269</v>
      </c>
    </row>
    <row r="1434" spans="1:7" x14ac:dyDescent="0.35">
      <c r="A1434">
        <v>2051</v>
      </c>
      <c r="B1434">
        <f t="shared" si="110"/>
        <v>712.64793617759278</v>
      </c>
      <c r="C1434">
        <f t="shared" si="111"/>
        <v>507867.08093818236</v>
      </c>
      <c r="D1434">
        <v>36667</v>
      </c>
      <c r="E1434">
        <f t="shared" si="112"/>
        <v>3.6667000000000001</v>
      </c>
      <c r="F1434">
        <f t="shared" si="113"/>
        <v>0.28684401664932757</v>
      </c>
      <c r="G1434">
        <f t="shared" si="114"/>
        <v>8.2279489887519708E-2</v>
      </c>
    </row>
    <row r="1435" spans="1:7" x14ac:dyDescent="0.35">
      <c r="A1435">
        <v>2051</v>
      </c>
      <c r="B1435">
        <f t="shared" si="110"/>
        <v>712.64793617759278</v>
      </c>
      <c r="C1435">
        <f t="shared" si="111"/>
        <v>507867.08093818236</v>
      </c>
      <c r="D1435">
        <v>45000</v>
      </c>
      <c r="E1435">
        <f t="shared" si="112"/>
        <v>4.5</v>
      </c>
      <c r="F1435">
        <f t="shared" si="113"/>
        <v>1.1201440166493275</v>
      </c>
      <c r="G1435">
        <f t="shared" si="114"/>
        <v>1.2547226180352888</v>
      </c>
    </row>
    <row r="1436" spans="1:7" x14ac:dyDescent="0.35">
      <c r="A1436">
        <v>2051</v>
      </c>
      <c r="B1436">
        <f t="shared" si="110"/>
        <v>712.64793617759278</v>
      </c>
      <c r="C1436">
        <f t="shared" si="111"/>
        <v>507867.08093818236</v>
      </c>
      <c r="D1436">
        <v>45333</v>
      </c>
      <c r="E1436">
        <f t="shared" si="112"/>
        <v>4.5332999999999997</v>
      </c>
      <c r="F1436">
        <f t="shared" si="113"/>
        <v>1.1534440166493272</v>
      </c>
      <c r="G1436">
        <f t="shared" si="114"/>
        <v>1.3304330995441334</v>
      </c>
    </row>
    <row r="1437" spans="1:7" x14ac:dyDescent="0.35">
      <c r="A1437">
        <v>1668</v>
      </c>
      <c r="B1437">
        <f t="shared" si="110"/>
        <v>329.64793617759278</v>
      </c>
      <c r="C1437">
        <f t="shared" si="111"/>
        <v>108667.76182614628</v>
      </c>
      <c r="D1437">
        <v>62246</v>
      </c>
      <c r="E1437">
        <f t="shared" si="112"/>
        <v>6.2245999999999997</v>
      </c>
      <c r="F1437">
        <f t="shared" si="113"/>
        <v>2.8447440166493272</v>
      </c>
      <c r="G1437">
        <f t="shared" si="114"/>
        <v>8.092568520262148</v>
      </c>
    </row>
    <row r="1438" spans="1:7" x14ac:dyDescent="0.35">
      <c r="A1438">
        <v>1668</v>
      </c>
      <c r="B1438">
        <f t="shared" si="110"/>
        <v>329.64793617759278</v>
      </c>
      <c r="C1438">
        <f t="shared" si="111"/>
        <v>108667.76182614628</v>
      </c>
      <c r="D1438">
        <v>63218</v>
      </c>
      <c r="E1438">
        <f t="shared" si="112"/>
        <v>6.3217999999999996</v>
      </c>
      <c r="F1438">
        <f t="shared" si="113"/>
        <v>2.9419440166493271</v>
      </c>
      <c r="G1438">
        <f t="shared" si="114"/>
        <v>8.6550345970987763</v>
      </c>
    </row>
    <row r="1439" spans="1:7" x14ac:dyDescent="0.35">
      <c r="A1439">
        <v>1668</v>
      </c>
      <c r="B1439">
        <f t="shared" si="110"/>
        <v>329.64793617759278</v>
      </c>
      <c r="C1439">
        <f t="shared" si="111"/>
        <v>108667.76182614628</v>
      </c>
      <c r="D1439">
        <v>61901</v>
      </c>
      <c r="E1439">
        <f t="shared" si="112"/>
        <v>6.1901000000000002</v>
      </c>
      <c r="F1439">
        <f t="shared" si="113"/>
        <v>2.8102440166493277</v>
      </c>
      <c r="G1439">
        <f t="shared" si="114"/>
        <v>7.8974714331133464</v>
      </c>
    </row>
    <row r="1440" spans="1:7" x14ac:dyDescent="0.35">
      <c r="A1440">
        <v>1668</v>
      </c>
      <c r="B1440">
        <f t="shared" si="110"/>
        <v>329.64793617759278</v>
      </c>
      <c r="C1440">
        <f t="shared" si="111"/>
        <v>108667.76182614628</v>
      </c>
      <c r="D1440">
        <v>61679</v>
      </c>
      <c r="E1440">
        <f t="shared" si="112"/>
        <v>6.1679000000000004</v>
      </c>
      <c r="F1440">
        <f t="shared" si="113"/>
        <v>2.7880440166493279</v>
      </c>
      <c r="G1440">
        <f t="shared" si="114"/>
        <v>7.7731894387741178</v>
      </c>
    </row>
    <row r="1441" spans="1:7" x14ac:dyDescent="0.35">
      <c r="A1441">
        <v>1668</v>
      </c>
      <c r="B1441">
        <f t="shared" si="110"/>
        <v>329.64793617759278</v>
      </c>
      <c r="C1441">
        <f t="shared" si="111"/>
        <v>108667.76182614628</v>
      </c>
      <c r="D1441">
        <v>63279</v>
      </c>
      <c r="E1441">
        <f t="shared" si="112"/>
        <v>6.3278999999999996</v>
      </c>
      <c r="F1441">
        <f t="shared" si="113"/>
        <v>2.9480440166493271</v>
      </c>
      <c r="G1441">
        <f t="shared" si="114"/>
        <v>8.6909635241018979</v>
      </c>
    </row>
    <row r="1442" spans="1:7" x14ac:dyDescent="0.35">
      <c r="A1442">
        <v>1668</v>
      </c>
      <c r="B1442">
        <f t="shared" si="110"/>
        <v>329.64793617759278</v>
      </c>
      <c r="C1442">
        <f t="shared" si="111"/>
        <v>108667.76182614628</v>
      </c>
      <c r="D1442">
        <v>58590</v>
      </c>
      <c r="E1442">
        <f t="shared" si="112"/>
        <v>5.859</v>
      </c>
      <c r="F1442">
        <f t="shared" si="113"/>
        <v>2.4791440166493275</v>
      </c>
      <c r="G1442">
        <f t="shared" si="114"/>
        <v>6.146155055288161</v>
      </c>
    </row>
    <row r="1443" spans="1:7" x14ac:dyDescent="0.35">
      <c r="A1443">
        <v>1668</v>
      </c>
      <c r="B1443">
        <f t="shared" si="110"/>
        <v>329.64793617759278</v>
      </c>
      <c r="C1443">
        <f t="shared" si="111"/>
        <v>108667.76182614628</v>
      </c>
      <c r="D1443">
        <v>62754</v>
      </c>
      <c r="E1443">
        <f t="shared" si="112"/>
        <v>6.2754000000000003</v>
      </c>
      <c r="F1443">
        <f t="shared" si="113"/>
        <v>2.8955440166493278</v>
      </c>
      <c r="G1443">
        <f t="shared" si="114"/>
        <v>8.3841751523537233</v>
      </c>
    </row>
    <row r="1444" spans="1:7" x14ac:dyDescent="0.35">
      <c r="A1444">
        <v>1668</v>
      </c>
      <c r="B1444">
        <f t="shared" si="110"/>
        <v>329.64793617759278</v>
      </c>
      <c r="C1444">
        <f t="shared" si="111"/>
        <v>108667.76182614628</v>
      </c>
      <c r="D1444">
        <v>45783</v>
      </c>
      <c r="E1444">
        <f t="shared" si="112"/>
        <v>4.5782999999999996</v>
      </c>
      <c r="F1444">
        <f t="shared" si="113"/>
        <v>1.1984440166493271</v>
      </c>
      <c r="G1444">
        <f t="shared" si="114"/>
        <v>1.4362680610425727</v>
      </c>
    </row>
    <row r="1445" spans="1:7" x14ac:dyDescent="0.35">
      <c r="A1445">
        <v>1668</v>
      </c>
      <c r="B1445">
        <f t="shared" si="110"/>
        <v>329.64793617759278</v>
      </c>
      <c r="C1445">
        <f t="shared" si="111"/>
        <v>108667.76182614628</v>
      </c>
      <c r="D1445">
        <v>67703</v>
      </c>
      <c r="E1445">
        <f t="shared" si="112"/>
        <v>6.7702999999999998</v>
      </c>
      <c r="F1445">
        <f t="shared" si="113"/>
        <v>3.3904440166493273</v>
      </c>
      <c r="G1445">
        <f t="shared" si="114"/>
        <v>11.495110630033224</v>
      </c>
    </row>
    <row r="1446" spans="1:7" x14ac:dyDescent="0.35">
      <c r="A1446">
        <v>1668</v>
      </c>
      <c r="B1446">
        <f t="shared" si="110"/>
        <v>329.64793617759278</v>
      </c>
      <c r="C1446">
        <f t="shared" si="111"/>
        <v>108667.76182614628</v>
      </c>
      <c r="D1446">
        <v>63432</v>
      </c>
      <c r="E1446">
        <f t="shared" si="112"/>
        <v>6.3432000000000004</v>
      </c>
      <c r="F1446">
        <f t="shared" si="113"/>
        <v>2.9633440166493279</v>
      </c>
      <c r="G1446">
        <f t="shared" si="114"/>
        <v>8.7814077610113728</v>
      </c>
    </row>
    <row r="1447" spans="1:7" x14ac:dyDescent="0.35">
      <c r="A1447">
        <v>1668</v>
      </c>
      <c r="B1447">
        <f t="shared" si="110"/>
        <v>329.64793617759278</v>
      </c>
      <c r="C1447">
        <f t="shared" si="111"/>
        <v>108667.76182614628</v>
      </c>
      <c r="D1447">
        <v>65402</v>
      </c>
      <c r="E1447">
        <f t="shared" si="112"/>
        <v>6.5401999999999996</v>
      </c>
      <c r="F1447">
        <f t="shared" si="113"/>
        <v>3.1603440166493271</v>
      </c>
      <c r="G1447">
        <f t="shared" si="114"/>
        <v>9.9877743035712019</v>
      </c>
    </row>
    <row r="1448" spans="1:7" x14ac:dyDescent="0.35">
      <c r="A1448">
        <v>1668</v>
      </c>
      <c r="B1448">
        <f t="shared" si="110"/>
        <v>329.64793617759278</v>
      </c>
      <c r="C1448">
        <f t="shared" si="111"/>
        <v>108667.76182614628</v>
      </c>
      <c r="D1448">
        <v>64163</v>
      </c>
      <c r="E1448">
        <f t="shared" si="112"/>
        <v>6.4162999999999997</v>
      </c>
      <c r="F1448">
        <f t="shared" si="113"/>
        <v>3.0364440166493272</v>
      </c>
      <c r="G1448">
        <f t="shared" si="114"/>
        <v>9.2199922662454998</v>
      </c>
    </row>
    <row r="1449" spans="1:7" x14ac:dyDescent="0.35">
      <c r="A1449">
        <v>1668</v>
      </c>
      <c r="B1449">
        <f t="shared" si="110"/>
        <v>329.64793617759278</v>
      </c>
      <c r="C1449">
        <f t="shared" si="111"/>
        <v>108667.76182614628</v>
      </c>
      <c r="D1449">
        <v>62188</v>
      </c>
      <c r="E1449">
        <f t="shared" si="112"/>
        <v>6.2187999999999999</v>
      </c>
      <c r="F1449">
        <f t="shared" si="113"/>
        <v>2.8389440166493274</v>
      </c>
      <c r="G1449">
        <f t="shared" si="114"/>
        <v>8.059603129669016</v>
      </c>
    </row>
    <row r="1450" spans="1:7" x14ac:dyDescent="0.35">
      <c r="A1450">
        <v>1668</v>
      </c>
      <c r="B1450">
        <f t="shared" si="110"/>
        <v>329.64793617759278</v>
      </c>
      <c r="C1450">
        <f t="shared" si="111"/>
        <v>108667.76182614628</v>
      </c>
      <c r="D1450">
        <v>64143</v>
      </c>
      <c r="E1450">
        <f t="shared" si="112"/>
        <v>6.4142999999999999</v>
      </c>
      <c r="F1450">
        <f t="shared" si="113"/>
        <v>3.0344440166493274</v>
      </c>
      <c r="G1450">
        <f t="shared" si="114"/>
        <v>9.2078504901789042</v>
      </c>
    </row>
    <row r="1451" spans="1:7" x14ac:dyDescent="0.35">
      <c r="A1451">
        <v>1668</v>
      </c>
      <c r="B1451">
        <f t="shared" si="110"/>
        <v>329.64793617759278</v>
      </c>
      <c r="C1451">
        <f t="shared" si="111"/>
        <v>108667.76182614628</v>
      </c>
      <c r="D1451">
        <v>67023</v>
      </c>
      <c r="E1451">
        <f t="shared" si="112"/>
        <v>6.7023000000000001</v>
      </c>
      <c r="F1451">
        <f t="shared" si="113"/>
        <v>3.3224440166493276</v>
      </c>
      <c r="G1451">
        <f t="shared" si="114"/>
        <v>11.038634243768918</v>
      </c>
    </row>
    <row r="1452" spans="1:7" x14ac:dyDescent="0.35">
      <c r="A1452">
        <v>1668</v>
      </c>
      <c r="B1452">
        <f t="shared" si="110"/>
        <v>329.64793617759278</v>
      </c>
      <c r="C1452">
        <f t="shared" si="111"/>
        <v>108667.76182614628</v>
      </c>
      <c r="D1452">
        <v>66354</v>
      </c>
      <c r="E1452">
        <f t="shared" si="112"/>
        <v>6.6353999999999997</v>
      </c>
      <c r="F1452">
        <f t="shared" si="113"/>
        <v>3.2555440166493272</v>
      </c>
      <c r="G1452">
        <f t="shared" si="114"/>
        <v>10.598566844341235</v>
      </c>
    </row>
    <row r="1453" spans="1:7" x14ac:dyDescent="0.35">
      <c r="A1453">
        <v>1668</v>
      </c>
      <c r="B1453">
        <f t="shared" si="110"/>
        <v>329.64793617759278</v>
      </c>
      <c r="C1453">
        <f t="shared" si="111"/>
        <v>108667.76182614628</v>
      </c>
      <c r="D1453">
        <v>65823</v>
      </c>
      <c r="E1453">
        <f t="shared" si="112"/>
        <v>6.5823</v>
      </c>
      <c r="F1453">
        <f t="shared" si="113"/>
        <v>3.2024440166493275</v>
      </c>
      <c r="G1453">
        <f t="shared" si="114"/>
        <v>10.255647679773078</v>
      </c>
    </row>
    <row r="1454" spans="1:7" x14ac:dyDescent="0.35">
      <c r="A1454">
        <v>1668</v>
      </c>
      <c r="B1454">
        <f t="shared" si="110"/>
        <v>329.64793617759278</v>
      </c>
      <c r="C1454">
        <f t="shared" si="111"/>
        <v>108667.76182614628</v>
      </c>
      <c r="D1454">
        <v>64150</v>
      </c>
      <c r="E1454">
        <f t="shared" si="112"/>
        <v>6.415</v>
      </c>
      <c r="F1454">
        <f t="shared" si="113"/>
        <v>3.0351440166493275</v>
      </c>
      <c r="G1454">
        <f t="shared" si="114"/>
        <v>9.2120992018022143</v>
      </c>
    </row>
    <row r="1455" spans="1:7" x14ac:dyDescent="0.35">
      <c r="A1455">
        <v>1668</v>
      </c>
      <c r="B1455">
        <f t="shared" si="110"/>
        <v>329.64793617759278</v>
      </c>
      <c r="C1455">
        <f t="shared" si="111"/>
        <v>108667.76182614628</v>
      </c>
      <c r="D1455">
        <v>66483</v>
      </c>
      <c r="E1455">
        <f t="shared" si="112"/>
        <v>6.6482999999999999</v>
      </c>
      <c r="F1455">
        <f t="shared" si="113"/>
        <v>3.2684440166493274</v>
      </c>
      <c r="G1455">
        <f t="shared" si="114"/>
        <v>10.682726289970789</v>
      </c>
    </row>
    <row r="1456" spans="1:7" x14ac:dyDescent="0.35">
      <c r="A1456">
        <v>1668</v>
      </c>
      <c r="B1456">
        <f t="shared" si="110"/>
        <v>329.64793617759278</v>
      </c>
      <c r="C1456">
        <f t="shared" si="111"/>
        <v>108667.76182614628</v>
      </c>
      <c r="D1456">
        <v>63359</v>
      </c>
      <c r="E1456">
        <f t="shared" si="112"/>
        <v>6.3358999999999996</v>
      </c>
      <c r="F1456">
        <f t="shared" si="113"/>
        <v>2.9560440166493271</v>
      </c>
      <c r="G1456">
        <f t="shared" si="114"/>
        <v>8.7381962283682881</v>
      </c>
    </row>
    <row r="1457" spans="1:7" x14ac:dyDescent="0.35">
      <c r="A1457">
        <v>1668</v>
      </c>
      <c r="B1457">
        <f t="shared" si="110"/>
        <v>329.64793617759278</v>
      </c>
      <c r="C1457">
        <f t="shared" si="111"/>
        <v>108667.76182614628</v>
      </c>
      <c r="D1457">
        <v>65111</v>
      </c>
      <c r="E1457">
        <f t="shared" si="112"/>
        <v>6.5110999999999999</v>
      </c>
      <c r="F1457">
        <f t="shared" si="113"/>
        <v>3.1312440166493274</v>
      </c>
      <c r="G1457">
        <f t="shared" si="114"/>
        <v>9.8046890918022136</v>
      </c>
    </row>
    <row r="1458" spans="1:7" x14ac:dyDescent="0.35">
      <c r="A1458">
        <v>1668</v>
      </c>
      <c r="B1458">
        <f t="shared" si="110"/>
        <v>329.64793617759278</v>
      </c>
      <c r="C1458">
        <f t="shared" si="111"/>
        <v>108667.76182614628</v>
      </c>
      <c r="D1458">
        <v>67786</v>
      </c>
      <c r="E1458">
        <f t="shared" si="112"/>
        <v>6.7786</v>
      </c>
      <c r="F1458">
        <f t="shared" si="113"/>
        <v>3.3987440166493275</v>
      </c>
      <c r="G1458">
        <f t="shared" si="114"/>
        <v>11.551460890709604</v>
      </c>
    </row>
    <row r="1459" spans="1:7" x14ac:dyDescent="0.35">
      <c r="A1459">
        <v>1668</v>
      </c>
      <c r="B1459">
        <f t="shared" si="110"/>
        <v>329.64793617759278</v>
      </c>
      <c r="C1459">
        <f t="shared" si="111"/>
        <v>108667.76182614628</v>
      </c>
      <c r="D1459">
        <v>65222</v>
      </c>
      <c r="E1459">
        <f t="shared" si="112"/>
        <v>6.5221999999999998</v>
      </c>
      <c r="F1459">
        <f t="shared" si="113"/>
        <v>3.1423440166493273</v>
      </c>
      <c r="G1459">
        <f t="shared" si="114"/>
        <v>9.8743259189718273</v>
      </c>
    </row>
    <row r="1460" spans="1:7" x14ac:dyDescent="0.35">
      <c r="A1460">
        <v>1668</v>
      </c>
      <c r="B1460">
        <f t="shared" si="110"/>
        <v>329.64793617759278</v>
      </c>
      <c r="C1460">
        <f t="shared" si="111"/>
        <v>108667.76182614628</v>
      </c>
      <c r="D1460">
        <v>65135</v>
      </c>
      <c r="E1460">
        <f t="shared" si="112"/>
        <v>6.5134999999999996</v>
      </c>
      <c r="F1460">
        <f t="shared" si="113"/>
        <v>3.1336440166493271</v>
      </c>
      <c r="G1460">
        <f t="shared" si="114"/>
        <v>9.8197248230821277</v>
      </c>
    </row>
    <row r="1461" spans="1:7" x14ac:dyDescent="0.35">
      <c r="A1461">
        <v>1668</v>
      </c>
      <c r="B1461">
        <f t="shared" si="110"/>
        <v>329.64793617759278</v>
      </c>
      <c r="C1461">
        <f t="shared" si="111"/>
        <v>108667.76182614628</v>
      </c>
      <c r="D1461">
        <v>66624</v>
      </c>
      <c r="E1461">
        <f t="shared" si="112"/>
        <v>6.6623999999999999</v>
      </c>
      <c r="F1461">
        <f t="shared" si="113"/>
        <v>3.2825440166493274</v>
      </c>
      <c r="G1461">
        <f t="shared" si="114"/>
        <v>10.775095221240299</v>
      </c>
    </row>
    <row r="1462" spans="1:7" x14ac:dyDescent="0.35">
      <c r="A1462">
        <v>1668</v>
      </c>
      <c r="B1462">
        <f t="shared" si="110"/>
        <v>329.64793617759278</v>
      </c>
      <c r="C1462">
        <f t="shared" si="111"/>
        <v>108667.76182614628</v>
      </c>
      <c r="D1462">
        <v>67388</v>
      </c>
      <c r="E1462">
        <f t="shared" si="112"/>
        <v>6.7388000000000003</v>
      </c>
      <c r="F1462">
        <f t="shared" si="113"/>
        <v>3.3589440166493278</v>
      </c>
      <c r="G1462">
        <f t="shared" si="114"/>
        <v>11.28250490698432</v>
      </c>
    </row>
    <row r="1463" spans="1:7" x14ac:dyDescent="0.35">
      <c r="A1463">
        <v>1668</v>
      </c>
      <c r="B1463">
        <f t="shared" si="110"/>
        <v>329.64793617759278</v>
      </c>
      <c r="C1463">
        <f t="shared" si="111"/>
        <v>108667.76182614628</v>
      </c>
      <c r="D1463">
        <v>67280</v>
      </c>
      <c r="E1463">
        <f t="shared" si="112"/>
        <v>6.7279999999999998</v>
      </c>
      <c r="F1463">
        <f t="shared" si="113"/>
        <v>3.3481440166493273</v>
      </c>
      <c r="G1463">
        <f t="shared" si="114"/>
        <v>11.21006835622469</v>
      </c>
    </row>
    <row r="1464" spans="1:7" x14ac:dyDescent="0.35">
      <c r="A1464">
        <v>1668</v>
      </c>
      <c r="B1464">
        <f t="shared" si="110"/>
        <v>329.64793617759278</v>
      </c>
      <c r="C1464">
        <f t="shared" si="111"/>
        <v>108667.76182614628</v>
      </c>
      <c r="D1464">
        <v>66978</v>
      </c>
      <c r="E1464">
        <f t="shared" si="112"/>
        <v>6.6978</v>
      </c>
      <c r="F1464">
        <f t="shared" si="113"/>
        <v>3.3179440166493275</v>
      </c>
      <c r="G1464">
        <f t="shared" si="114"/>
        <v>11.008752497619072</v>
      </c>
    </row>
    <row r="1465" spans="1:7" x14ac:dyDescent="0.35">
      <c r="A1465">
        <v>1668</v>
      </c>
      <c r="B1465">
        <f t="shared" si="110"/>
        <v>329.64793617759278</v>
      </c>
      <c r="C1465">
        <f t="shared" si="111"/>
        <v>108667.76182614628</v>
      </c>
      <c r="D1465">
        <v>66308</v>
      </c>
      <c r="E1465">
        <f t="shared" si="112"/>
        <v>6.6307999999999998</v>
      </c>
      <c r="F1465">
        <f t="shared" si="113"/>
        <v>3.2509440166493273</v>
      </c>
      <c r="G1465">
        <f t="shared" si="114"/>
        <v>10.568636999388062</v>
      </c>
    </row>
    <row r="1466" spans="1:7" x14ac:dyDescent="0.35">
      <c r="A1466">
        <v>1668</v>
      </c>
      <c r="B1466">
        <f t="shared" si="110"/>
        <v>329.64793617759278</v>
      </c>
      <c r="C1466">
        <f t="shared" si="111"/>
        <v>108667.76182614628</v>
      </c>
      <c r="D1466">
        <v>54388</v>
      </c>
      <c r="E1466">
        <f t="shared" si="112"/>
        <v>5.4387999999999996</v>
      </c>
      <c r="F1466">
        <f t="shared" si="113"/>
        <v>2.0589440166493271</v>
      </c>
      <c r="G1466">
        <f t="shared" si="114"/>
        <v>4.2392504636960648</v>
      </c>
    </row>
    <row r="1467" spans="1:7" x14ac:dyDescent="0.35">
      <c r="A1467">
        <v>250</v>
      </c>
      <c r="B1467">
        <f t="shared" si="110"/>
        <v>-1088.3520638224072</v>
      </c>
      <c r="C1467">
        <f t="shared" si="111"/>
        <v>1184510.2148264931</v>
      </c>
      <c r="D1467">
        <v>39915</v>
      </c>
      <c r="E1467">
        <f t="shared" si="112"/>
        <v>3.9914999999999998</v>
      </c>
      <c r="F1467">
        <f t="shared" si="113"/>
        <v>0.61164401664932733</v>
      </c>
      <c r="G1467">
        <f t="shared" si="114"/>
        <v>0.37410840310292259</v>
      </c>
    </row>
    <row r="1468" spans="1:7" x14ac:dyDescent="0.35">
      <c r="A1468">
        <v>250</v>
      </c>
      <c r="B1468">
        <f t="shared" si="110"/>
        <v>-1088.3520638224072</v>
      </c>
      <c r="C1468">
        <f t="shared" si="111"/>
        <v>1184510.2148264931</v>
      </c>
      <c r="D1468">
        <v>36871</v>
      </c>
      <c r="E1468">
        <f t="shared" si="112"/>
        <v>3.6871</v>
      </c>
      <c r="F1468">
        <f t="shared" si="113"/>
        <v>0.30724401664932754</v>
      </c>
      <c r="G1468">
        <f t="shared" si="114"/>
        <v>9.4398885766812268E-2</v>
      </c>
    </row>
    <row r="1469" spans="1:7" x14ac:dyDescent="0.35">
      <c r="A1469">
        <v>250</v>
      </c>
      <c r="B1469">
        <f t="shared" si="110"/>
        <v>-1088.3520638224072</v>
      </c>
      <c r="C1469">
        <f t="shared" si="111"/>
        <v>1184510.2148264931</v>
      </c>
      <c r="D1469">
        <v>27937</v>
      </c>
      <c r="E1469">
        <f t="shared" si="112"/>
        <v>2.7936999999999999</v>
      </c>
      <c r="F1469">
        <f t="shared" si="113"/>
        <v>-0.58615598335067265</v>
      </c>
      <c r="G1469">
        <f t="shared" si="114"/>
        <v>0.34357883681779405</v>
      </c>
    </row>
    <row r="1470" spans="1:7" x14ac:dyDescent="0.35">
      <c r="A1470">
        <v>250</v>
      </c>
      <c r="B1470">
        <f t="shared" si="110"/>
        <v>-1088.3520638224072</v>
      </c>
      <c r="C1470">
        <f t="shared" si="111"/>
        <v>1184510.2148264931</v>
      </c>
      <c r="D1470">
        <v>21932</v>
      </c>
      <c r="E1470">
        <f t="shared" si="112"/>
        <v>2.1932</v>
      </c>
      <c r="F1470">
        <f t="shared" si="113"/>
        <v>-1.1866559833506725</v>
      </c>
      <c r="G1470">
        <f t="shared" si="114"/>
        <v>1.4081524228219515</v>
      </c>
    </row>
    <row r="1471" spans="1:7" x14ac:dyDescent="0.35">
      <c r="A1471">
        <v>250</v>
      </c>
      <c r="B1471">
        <f t="shared" si="110"/>
        <v>-1088.3520638224072</v>
      </c>
      <c r="C1471">
        <f t="shared" si="111"/>
        <v>1184510.2148264931</v>
      </c>
      <c r="D1471">
        <v>26155</v>
      </c>
      <c r="E1471">
        <f t="shared" si="112"/>
        <v>2.6154999999999999</v>
      </c>
      <c r="F1471">
        <f t="shared" si="113"/>
        <v>-0.76435598335067256</v>
      </c>
      <c r="G1471">
        <f t="shared" si="114"/>
        <v>0.58424006928397365</v>
      </c>
    </row>
    <row r="1472" spans="1:7" x14ac:dyDescent="0.35">
      <c r="A1472">
        <v>250</v>
      </c>
      <c r="B1472">
        <f t="shared" si="110"/>
        <v>-1088.3520638224072</v>
      </c>
      <c r="C1472">
        <f t="shared" si="111"/>
        <v>1184510.2148264931</v>
      </c>
      <c r="D1472">
        <v>30765</v>
      </c>
      <c r="E1472">
        <f t="shared" si="112"/>
        <v>3.0764999999999998</v>
      </c>
      <c r="F1472">
        <f t="shared" si="113"/>
        <v>-0.30335598335067271</v>
      </c>
      <c r="G1472">
        <f t="shared" si="114"/>
        <v>9.2024852634653612E-2</v>
      </c>
    </row>
    <row r="1473" spans="1:7" x14ac:dyDescent="0.35">
      <c r="A1473">
        <v>250</v>
      </c>
      <c r="B1473">
        <f t="shared" si="110"/>
        <v>-1088.3520638224072</v>
      </c>
      <c r="C1473">
        <f t="shared" si="111"/>
        <v>1184510.2148264931</v>
      </c>
      <c r="D1473">
        <v>32162</v>
      </c>
      <c r="E1473">
        <f t="shared" si="112"/>
        <v>3.2162000000000002</v>
      </c>
      <c r="F1473">
        <f t="shared" si="113"/>
        <v>-0.16365598335067233</v>
      </c>
      <c r="G1473">
        <f t="shared" si="114"/>
        <v>2.6783280886475538E-2</v>
      </c>
    </row>
    <row r="1474" spans="1:7" x14ac:dyDescent="0.35">
      <c r="A1474">
        <v>250</v>
      </c>
      <c r="B1474">
        <f t="shared" si="110"/>
        <v>-1088.3520638224072</v>
      </c>
      <c r="C1474">
        <f t="shared" si="111"/>
        <v>1184510.2148264931</v>
      </c>
      <c r="D1474">
        <v>28070</v>
      </c>
      <c r="E1474">
        <f t="shared" si="112"/>
        <v>2.8069999999999999</v>
      </c>
      <c r="F1474">
        <f t="shared" si="113"/>
        <v>-0.57285598335067256</v>
      </c>
      <c r="G1474">
        <f t="shared" si="114"/>
        <v>0.32816397766066602</v>
      </c>
    </row>
    <row r="1475" spans="1:7" x14ac:dyDescent="0.35">
      <c r="A1475">
        <v>250</v>
      </c>
      <c r="B1475">
        <f t="shared" ref="B1475:B1538" si="115">A1475-$J$1</f>
        <v>-1088.3520638224072</v>
      </c>
      <c r="C1475">
        <f t="shared" ref="C1475:C1538" si="116">B1475^2</f>
        <v>1184510.2148264931</v>
      </c>
      <c r="D1475">
        <v>29723</v>
      </c>
      <c r="E1475">
        <f t="shared" ref="E1475:E1538" si="117">D1475/10000</f>
        <v>2.9723000000000002</v>
      </c>
      <c r="F1475">
        <f t="shared" ref="F1475:F1538" si="118">E1475-$J$2</f>
        <v>-0.40755598335067234</v>
      </c>
      <c r="G1475">
        <f t="shared" ref="G1475:G1538" si="119">F1475^2</f>
        <v>0.1661018795649335</v>
      </c>
    </row>
    <row r="1476" spans="1:7" x14ac:dyDescent="0.35">
      <c r="A1476">
        <v>250</v>
      </c>
      <c r="B1476">
        <f t="shared" si="115"/>
        <v>-1088.3520638224072</v>
      </c>
      <c r="C1476">
        <f t="shared" si="116"/>
        <v>1184510.2148264931</v>
      </c>
      <c r="D1476">
        <v>28714</v>
      </c>
      <c r="E1476">
        <f t="shared" si="117"/>
        <v>2.8714</v>
      </c>
      <c r="F1476">
        <f t="shared" si="118"/>
        <v>-0.50845598335067255</v>
      </c>
      <c r="G1476">
        <f t="shared" si="119"/>
        <v>0.25852748700509942</v>
      </c>
    </row>
    <row r="1477" spans="1:7" x14ac:dyDescent="0.35">
      <c r="A1477">
        <v>250</v>
      </c>
      <c r="B1477">
        <f t="shared" si="115"/>
        <v>-1088.3520638224072</v>
      </c>
      <c r="C1477">
        <f t="shared" si="116"/>
        <v>1184510.2148264931</v>
      </c>
      <c r="D1477">
        <v>30288</v>
      </c>
      <c r="E1477">
        <f t="shared" si="117"/>
        <v>3.0287999999999999</v>
      </c>
      <c r="F1477">
        <f t="shared" si="118"/>
        <v>-0.35105598335067256</v>
      </c>
      <c r="G1477">
        <f t="shared" si="119"/>
        <v>0.12324030344630769</v>
      </c>
    </row>
    <row r="1478" spans="1:7" x14ac:dyDescent="0.35">
      <c r="A1478">
        <v>250</v>
      </c>
      <c r="B1478">
        <f t="shared" si="115"/>
        <v>-1088.3520638224072</v>
      </c>
      <c r="C1478">
        <f t="shared" si="116"/>
        <v>1184510.2148264931</v>
      </c>
      <c r="D1478">
        <v>34182</v>
      </c>
      <c r="E1478">
        <f t="shared" si="117"/>
        <v>3.4182000000000001</v>
      </c>
      <c r="F1478">
        <f t="shared" si="118"/>
        <v>3.8344016649327628E-2</v>
      </c>
      <c r="G1478">
        <f t="shared" si="119"/>
        <v>1.4702636128039142E-3</v>
      </c>
    </row>
    <row r="1479" spans="1:7" x14ac:dyDescent="0.35">
      <c r="A1479">
        <v>250</v>
      </c>
      <c r="B1479">
        <f t="shared" si="115"/>
        <v>-1088.3520638224072</v>
      </c>
      <c r="C1479">
        <f t="shared" si="116"/>
        <v>1184510.2148264931</v>
      </c>
      <c r="D1479">
        <v>33518</v>
      </c>
      <c r="E1479">
        <f t="shared" si="117"/>
        <v>3.3517999999999999</v>
      </c>
      <c r="F1479">
        <f t="shared" si="118"/>
        <v>-2.8055983350672609E-2</v>
      </c>
      <c r="G1479">
        <f t="shared" si="119"/>
        <v>7.8713820177321863E-4</v>
      </c>
    </row>
    <row r="1480" spans="1:7" x14ac:dyDescent="0.35">
      <c r="A1480">
        <v>250</v>
      </c>
      <c r="B1480">
        <f t="shared" si="115"/>
        <v>-1088.3520638224072</v>
      </c>
      <c r="C1480">
        <f t="shared" si="116"/>
        <v>1184510.2148264931</v>
      </c>
      <c r="D1480">
        <v>32966</v>
      </c>
      <c r="E1480">
        <f t="shared" si="117"/>
        <v>3.2966000000000002</v>
      </c>
      <c r="F1480">
        <f t="shared" si="118"/>
        <v>-8.3255983350672302E-2</v>
      </c>
      <c r="G1480">
        <f t="shared" si="119"/>
        <v>6.9315587636874232E-3</v>
      </c>
    </row>
    <row r="1481" spans="1:7" x14ac:dyDescent="0.35">
      <c r="A1481">
        <v>250</v>
      </c>
      <c r="B1481">
        <f t="shared" si="115"/>
        <v>-1088.3520638224072</v>
      </c>
      <c r="C1481">
        <f t="shared" si="116"/>
        <v>1184510.2148264931</v>
      </c>
      <c r="D1481">
        <v>33678</v>
      </c>
      <c r="E1481">
        <f t="shared" si="117"/>
        <v>3.3677999999999999</v>
      </c>
      <c r="F1481">
        <f t="shared" si="118"/>
        <v>-1.2055983350672594E-2</v>
      </c>
      <c r="G1481">
        <f t="shared" si="119"/>
        <v>1.4534673455169481E-4</v>
      </c>
    </row>
    <row r="1482" spans="1:7" x14ac:dyDescent="0.35">
      <c r="A1482">
        <v>250</v>
      </c>
      <c r="B1482">
        <f t="shared" si="115"/>
        <v>-1088.3520638224072</v>
      </c>
      <c r="C1482">
        <f t="shared" si="116"/>
        <v>1184510.2148264931</v>
      </c>
      <c r="D1482">
        <v>33736</v>
      </c>
      <c r="E1482">
        <f t="shared" si="117"/>
        <v>3.3736000000000002</v>
      </c>
      <c r="F1482">
        <f t="shared" si="118"/>
        <v>-6.255983350672345E-3</v>
      </c>
      <c r="G1482">
        <f t="shared" si="119"/>
        <v>3.913732768388958E-5</v>
      </c>
    </row>
    <row r="1483" spans="1:7" x14ac:dyDescent="0.35">
      <c r="A1483">
        <v>250</v>
      </c>
      <c r="B1483">
        <f t="shared" si="115"/>
        <v>-1088.3520638224072</v>
      </c>
      <c r="C1483">
        <f t="shared" si="116"/>
        <v>1184510.2148264931</v>
      </c>
      <c r="D1483">
        <v>35323</v>
      </c>
      <c r="E1483">
        <f t="shared" si="117"/>
        <v>3.5323000000000002</v>
      </c>
      <c r="F1483">
        <f t="shared" si="118"/>
        <v>0.15244401664932772</v>
      </c>
      <c r="G1483">
        <f t="shared" si="119"/>
        <v>2.3239178212180505E-2</v>
      </c>
    </row>
    <row r="1484" spans="1:7" x14ac:dyDescent="0.35">
      <c r="A1484">
        <v>250</v>
      </c>
      <c r="B1484">
        <f t="shared" si="115"/>
        <v>-1088.3520638224072</v>
      </c>
      <c r="C1484">
        <f t="shared" si="116"/>
        <v>1184510.2148264931</v>
      </c>
      <c r="D1484">
        <v>39697</v>
      </c>
      <c r="E1484">
        <f t="shared" si="117"/>
        <v>3.9697</v>
      </c>
      <c r="F1484">
        <f t="shared" si="118"/>
        <v>0.58984401664932751</v>
      </c>
      <c r="G1484">
        <f t="shared" si="119"/>
        <v>0.34791596397701213</v>
      </c>
    </row>
    <row r="1485" spans="1:7" x14ac:dyDescent="0.35">
      <c r="A1485">
        <v>250</v>
      </c>
      <c r="B1485">
        <f t="shared" si="115"/>
        <v>-1088.3520638224072</v>
      </c>
      <c r="C1485">
        <f t="shared" si="116"/>
        <v>1184510.2148264931</v>
      </c>
      <c r="D1485">
        <v>37152</v>
      </c>
      <c r="E1485">
        <f t="shared" si="117"/>
        <v>3.7151999999999998</v>
      </c>
      <c r="F1485">
        <f t="shared" si="118"/>
        <v>0.33534401664932734</v>
      </c>
      <c r="G1485">
        <f t="shared" si="119"/>
        <v>0.11245560950250433</v>
      </c>
    </row>
    <row r="1486" spans="1:7" x14ac:dyDescent="0.35">
      <c r="A1486">
        <v>250</v>
      </c>
      <c r="B1486">
        <f t="shared" si="115"/>
        <v>-1088.3520638224072</v>
      </c>
      <c r="C1486">
        <f t="shared" si="116"/>
        <v>1184510.2148264931</v>
      </c>
      <c r="D1486">
        <v>37712</v>
      </c>
      <c r="E1486">
        <f t="shared" si="117"/>
        <v>3.7711999999999999</v>
      </c>
      <c r="F1486">
        <f t="shared" si="118"/>
        <v>0.39134401664932739</v>
      </c>
      <c r="G1486">
        <f t="shared" si="119"/>
        <v>0.15315013936722904</v>
      </c>
    </row>
    <row r="1487" spans="1:7" x14ac:dyDescent="0.35">
      <c r="A1487">
        <v>250</v>
      </c>
      <c r="B1487">
        <f t="shared" si="115"/>
        <v>-1088.3520638224072</v>
      </c>
      <c r="C1487">
        <f t="shared" si="116"/>
        <v>1184510.2148264931</v>
      </c>
      <c r="D1487">
        <v>38500</v>
      </c>
      <c r="E1487">
        <f t="shared" si="117"/>
        <v>3.85</v>
      </c>
      <c r="F1487">
        <f t="shared" si="118"/>
        <v>0.47014401664932759</v>
      </c>
      <c r="G1487">
        <f t="shared" si="119"/>
        <v>0.22103539639116321</v>
      </c>
    </row>
    <row r="1488" spans="1:7" x14ac:dyDescent="0.35">
      <c r="A1488">
        <v>250</v>
      </c>
      <c r="B1488">
        <f t="shared" si="115"/>
        <v>-1088.3520638224072</v>
      </c>
      <c r="C1488">
        <f t="shared" si="116"/>
        <v>1184510.2148264931</v>
      </c>
      <c r="D1488">
        <v>39573</v>
      </c>
      <c r="E1488">
        <f t="shared" si="117"/>
        <v>3.9573</v>
      </c>
      <c r="F1488">
        <f t="shared" si="118"/>
        <v>0.57744401664932754</v>
      </c>
      <c r="G1488">
        <f t="shared" si="119"/>
        <v>0.33344159236410886</v>
      </c>
    </row>
    <row r="1489" spans="1:7" x14ac:dyDescent="0.35">
      <c r="A1489">
        <v>250</v>
      </c>
      <c r="B1489">
        <f t="shared" si="115"/>
        <v>-1088.3520638224072</v>
      </c>
      <c r="C1489">
        <f t="shared" si="116"/>
        <v>1184510.2148264931</v>
      </c>
      <c r="D1489">
        <v>42756</v>
      </c>
      <c r="E1489">
        <f t="shared" si="117"/>
        <v>4.2755999999999998</v>
      </c>
      <c r="F1489">
        <f t="shared" si="118"/>
        <v>0.89574401664932735</v>
      </c>
      <c r="G1489">
        <f t="shared" si="119"/>
        <v>0.80235734336307041</v>
      </c>
    </row>
    <row r="1490" spans="1:7" x14ac:dyDescent="0.35">
      <c r="A1490">
        <v>250</v>
      </c>
      <c r="B1490">
        <f t="shared" si="115"/>
        <v>-1088.3520638224072</v>
      </c>
      <c r="C1490">
        <f t="shared" si="116"/>
        <v>1184510.2148264931</v>
      </c>
      <c r="D1490">
        <v>47480</v>
      </c>
      <c r="E1490">
        <f t="shared" si="117"/>
        <v>4.7480000000000002</v>
      </c>
      <c r="F1490">
        <f t="shared" si="118"/>
        <v>1.3681440166493277</v>
      </c>
      <c r="G1490">
        <f t="shared" si="119"/>
        <v>1.8718180502933559</v>
      </c>
    </row>
    <row r="1491" spans="1:7" x14ac:dyDescent="0.35">
      <c r="A1491">
        <v>630</v>
      </c>
      <c r="B1491">
        <f t="shared" si="115"/>
        <v>-708.35206382240722</v>
      </c>
      <c r="C1491">
        <f t="shared" si="116"/>
        <v>501762.64632146369</v>
      </c>
      <c r="D1491">
        <v>26700</v>
      </c>
      <c r="E1491">
        <f t="shared" si="117"/>
        <v>2.67</v>
      </c>
      <c r="F1491">
        <f t="shared" si="118"/>
        <v>-0.70985598335067257</v>
      </c>
      <c r="G1491">
        <f t="shared" si="119"/>
        <v>0.50389551709875036</v>
      </c>
    </row>
    <row r="1492" spans="1:7" x14ac:dyDescent="0.35">
      <c r="A1492">
        <v>630</v>
      </c>
      <c r="B1492">
        <f t="shared" si="115"/>
        <v>-708.35206382240722</v>
      </c>
      <c r="C1492">
        <f t="shared" si="116"/>
        <v>501762.64632146369</v>
      </c>
      <c r="D1492">
        <v>31491</v>
      </c>
      <c r="E1492">
        <f t="shared" si="117"/>
        <v>3.1490999999999998</v>
      </c>
      <c r="F1492">
        <f t="shared" si="118"/>
        <v>-0.23075598335067271</v>
      </c>
      <c r="G1492">
        <f t="shared" si="119"/>
        <v>5.3248323852135938E-2</v>
      </c>
    </row>
    <row r="1493" spans="1:7" x14ac:dyDescent="0.35">
      <c r="A1493">
        <v>630</v>
      </c>
      <c r="B1493">
        <f t="shared" si="115"/>
        <v>-708.35206382240722</v>
      </c>
      <c r="C1493">
        <f t="shared" si="116"/>
        <v>501762.64632146369</v>
      </c>
      <c r="D1493">
        <v>31034</v>
      </c>
      <c r="E1493">
        <f t="shared" si="117"/>
        <v>3.1034000000000002</v>
      </c>
      <c r="F1493">
        <f t="shared" si="118"/>
        <v>-0.27645598335067234</v>
      </c>
      <c r="G1493">
        <f t="shared" si="119"/>
        <v>7.6427910730387225E-2</v>
      </c>
    </row>
    <row r="1494" spans="1:7" x14ac:dyDescent="0.35">
      <c r="A1494">
        <v>630</v>
      </c>
      <c r="B1494">
        <f t="shared" si="115"/>
        <v>-708.35206382240722</v>
      </c>
      <c r="C1494">
        <f t="shared" si="116"/>
        <v>501762.64632146369</v>
      </c>
      <c r="D1494">
        <v>39859</v>
      </c>
      <c r="E1494">
        <f t="shared" si="117"/>
        <v>3.9859</v>
      </c>
      <c r="F1494">
        <f t="shared" si="118"/>
        <v>0.6060440166493275</v>
      </c>
      <c r="G1494">
        <f t="shared" si="119"/>
        <v>0.36728935011645036</v>
      </c>
    </row>
    <row r="1495" spans="1:7" x14ac:dyDescent="0.35">
      <c r="A1495">
        <v>630</v>
      </c>
      <c r="B1495">
        <f t="shared" si="115"/>
        <v>-708.35206382240722</v>
      </c>
      <c r="C1495">
        <f t="shared" si="116"/>
        <v>501762.64632146369</v>
      </c>
      <c r="D1495">
        <v>30984</v>
      </c>
      <c r="E1495">
        <f t="shared" si="117"/>
        <v>3.0983999999999998</v>
      </c>
      <c r="F1495">
        <f t="shared" si="118"/>
        <v>-0.28145598335067268</v>
      </c>
      <c r="G1495">
        <f t="shared" si="119"/>
        <v>7.9217470563894138E-2</v>
      </c>
    </row>
    <row r="1496" spans="1:7" x14ac:dyDescent="0.35">
      <c r="A1496">
        <v>630</v>
      </c>
      <c r="B1496">
        <f t="shared" si="115"/>
        <v>-708.35206382240722</v>
      </c>
      <c r="C1496">
        <f t="shared" si="116"/>
        <v>501762.64632146369</v>
      </c>
      <c r="D1496">
        <v>38846</v>
      </c>
      <c r="E1496">
        <f t="shared" si="117"/>
        <v>3.8845999999999998</v>
      </c>
      <c r="F1496">
        <f t="shared" si="118"/>
        <v>0.50474401664932733</v>
      </c>
      <c r="G1496">
        <f t="shared" si="119"/>
        <v>0.25476652234329644</v>
      </c>
    </row>
    <row r="1497" spans="1:7" x14ac:dyDescent="0.35">
      <c r="A1497">
        <v>630</v>
      </c>
      <c r="B1497">
        <f t="shared" si="115"/>
        <v>-708.35206382240722</v>
      </c>
      <c r="C1497">
        <f t="shared" si="116"/>
        <v>501762.64632146369</v>
      </c>
      <c r="D1497">
        <v>35362</v>
      </c>
      <c r="E1497">
        <f t="shared" si="117"/>
        <v>3.5362</v>
      </c>
      <c r="F1497">
        <f t="shared" si="118"/>
        <v>0.15634401664932751</v>
      </c>
      <c r="G1497">
        <f t="shared" si="119"/>
        <v>2.4443451542045198E-2</v>
      </c>
    </row>
    <row r="1498" spans="1:7" x14ac:dyDescent="0.35">
      <c r="A1498">
        <v>630</v>
      </c>
      <c r="B1498">
        <f t="shared" si="115"/>
        <v>-708.35206382240722</v>
      </c>
      <c r="C1498">
        <f t="shared" si="116"/>
        <v>501762.64632146369</v>
      </c>
      <c r="D1498">
        <v>41483</v>
      </c>
      <c r="E1498">
        <f t="shared" si="117"/>
        <v>4.1482999999999999</v>
      </c>
      <c r="F1498">
        <f t="shared" si="118"/>
        <v>0.76844401664932738</v>
      </c>
      <c r="G1498">
        <f t="shared" si="119"/>
        <v>0.59050620672415177</v>
      </c>
    </row>
    <row r="1499" spans="1:7" x14ac:dyDescent="0.35">
      <c r="A1499">
        <v>630</v>
      </c>
      <c r="B1499">
        <f t="shared" si="115"/>
        <v>-708.35206382240722</v>
      </c>
      <c r="C1499">
        <f t="shared" si="116"/>
        <v>501762.64632146369</v>
      </c>
      <c r="D1499">
        <v>43559</v>
      </c>
      <c r="E1499">
        <f t="shared" si="117"/>
        <v>4.3559000000000001</v>
      </c>
      <c r="F1499">
        <f t="shared" si="118"/>
        <v>0.97604401664932761</v>
      </c>
      <c r="G1499">
        <f t="shared" si="119"/>
        <v>0.95266192243695291</v>
      </c>
    </row>
    <row r="1500" spans="1:7" x14ac:dyDescent="0.35">
      <c r="A1500">
        <v>630</v>
      </c>
      <c r="B1500">
        <f t="shared" si="115"/>
        <v>-708.35206382240722</v>
      </c>
      <c r="C1500">
        <f t="shared" si="116"/>
        <v>501762.64632146369</v>
      </c>
      <c r="D1500">
        <v>40000</v>
      </c>
      <c r="E1500">
        <f t="shared" si="117"/>
        <v>4</v>
      </c>
      <c r="F1500">
        <f t="shared" si="118"/>
        <v>0.6201440166493275</v>
      </c>
      <c r="G1500">
        <f t="shared" si="119"/>
        <v>0.38457860138596139</v>
      </c>
    </row>
    <row r="1501" spans="1:7" x14ac:dyDescent="0.35">
      <c r="A1501">
        <v>630</v>
      </c>
      <c r="B1501">
        <f t="shared" si="115"/>
        <v>-708.35206382240722</v>
      </c>
      <c r="C1501">
        <f t="shared" si="116"/>
        <v>501762.64632146369</v>
      </c>
      <c r="D1501">
        <v>40000</v>
      </c>
      <c r="E1501">
        <f t="shared" si="117"/>
        <v>4</v>
      </c>
      <c r="F1501">
        <f t="shared" si="118"/>
        <v>0.6201440166493275</v>
      </c>
      <c r="G1501">
        <f t="shared" si="119"/>
        <v>0.38457860138596139</v>
      </c>
    </row>
    <row r="1502" spans="1:7" x14ac:dyDescent="0.35">
      <c r="A1502">
        <v>630</v>
      </c>
      <c r="B1502">
        <f t="shared" si="115"/>
        <v>-708.35206382240722</v>
      </c>
      <c r="C1502">
        <f t="shared" si="116"/>
        <v>501762.64632146369</v>
      </c>
      <c r="D1502">
        <v>39724</v>
      </c>
      <c r="E1502">
        <f t="shared" si="117"/>
        <v>3.9723999999999999</v>
      </c>
      <c r="F1502">
        <f t="shared" si="118"/>
        <v>0.59254401664932743</v>
      </c>
      <c r="G1502">
        <f t="shared" si="119"/>
        <v>0.35110841166691842</v>
      </c>
    </row>
    <row r="1503" spans="1:7" x14ac:dyDescent="0.35">
      <c r="A1503">
        <v>630</v>
      </c>
      <c r="B1503">
        <f t="shared" si="115"/>
        <v>-708.35206382240722</v>
      </c>
      <c r="C1503">
        <f t="shared" si="116"/>
        <v>501762.64632146369</v>
      </c>
      <c r="D1503">
        <v>48419</v>
      </c>
      <c r="E1503">
        <f t="shared" si="117"/>
        <v>4.8418999999999999</v>
      </c>
      <c r="F1503">
        <f t="shared" si="118"/>
        <v>1.4620440166493274</v>
      </c>
      <c r="G1503">
        <f t="shared" si="119"/>
        <v>2.1375727066200985</v>
      </c>
    </row>
    <row r="1504" spans="1:7" x14ac:dyDescent="0.35">
      <c r="A1504">
        <v>630</v>
      </c>
      <c r="B1504">
        <f t="shared" si="115"/>
        <v>-708.35206382240722</v>
      </c>
      <c r="C1504">
        <f t="shared" si="116"/>
        <v>501762.64632146369</v>
      </c>
      <c r="D1504">
        <v>39845</v>
      </c>
      <c r="E1504">
        <f t="shared" si="117"/>
        <v>3.9845000000000002</v>
      </c>
      <c r="F1504">
        <f t="shared" si="118"/>
        <v>0.60464401664932765</v>
      </c>
      <c r="G1504">
        <f t="shared" si="119"/>
        <v>0.36559438686983242</v>
      </c>
    </row>
    <row r="1505" spans="1:7" x14ac:dyDescent="0.35">
      <c r="A1505">
        <v>630</v>
      </c>
      <c r="B1505">
        <f t="shared" si="115"/>
        <v>-708.35206382240722</v>
      </c>
      <c r="C1505">
        <f t="shared" si="116"/>
        <v>501762.64632146369</v>
      </c>
      <c r="D1505">
        <v>37710</v>
      </c>
      <c r="E1505">
        <f t="shared" si="117"/>
        <v>3.7709999999999999</v>
      </c>
      <c r="F1505">
        <f t="shared" si="118"/>
        <v>0.39114401664932741</v>
      </c>
      <c r="G1505">
        <f t="shared" si="119"/>
        <v>0.15299364176056932</v>
      </c>
    </row>
    <row r="1506" spans="1:7" x14ac:dyDescent="0.35">
      <c r="A1506">
        <v>630</v>
      </c>
      <c r="B1506">
        <f t="shared" si="115"/>
        <v>-708.35206382240722</v>
      </c>
      <c r="C1506">
        <f t="shared" si="116"/>
        <v>501762.64632146369</v>
      </c>
      <c r="D1506">
        <v>34091</v>
      </c>
      <c r="E1506">
        <f t="shared" si="117"/>
        <v>3.4091</v>
      </c>
      <c r="F1506">
        <f t="shared" si="118"/>
        <v>2.924401664932752E-2</v>
      </c>
      <c r="G1506">
        <f t="shared" si="119"/>
        <v>8.5521250978614521E-4</v>
      </c>
    </row>
    <row r="1507" spans="1:7" x14ac:dyDescent="0.35">
      <c r="A1507">
        <v>630</v>
      </c>
      <c r="B1507">
        <f t="shared" si="115"/>
        <v>-708.35206382240722</v>
      </c>
      <c r="C1507">
        <f t="shared" si="116"/>
        <v>501762.64632146369</v>
      </c>
      <c r="D1507">
        <v>34615</v>
      </c>
      <c r="E1507">
        <f t="shared" si="117"/>
        <v>3.4615</v>
      </c>
      <c r="F1507">
        <f t="shared" si="118"/>
        <v>8.1644016649327522E-2</v>
      </c>
      <c r="G1507">
        <f t="shared" si="119"/>
        <v>6.6657454546356692E-3</v>
      </c>
    </row>
    <row r="1508" spans="1:7" x14ac:dyDescent="0.35">
      <c r="A1508">
        <v>630</v>
      </c>
      <c r="B1508">
        <f t="shared" si="115"/>
        <v>-708.35206382240722</v>
      </c>
      <c r="C1508">
        <f t="shared" si="116"/>
        <v>501762.64632146369</v>
      </c>
      <c r="D1508">
        <v>37280</v>
      </c>
      <c r="E1508">
        <f t="shared" si="117"/>
        <v>3.7280000000000002</v>
      </c>
      <c r="F1508">
        <f t="shared" si="118"/>
        <v>0.3481440166493277</v>
      </c>
      <c r="G1508">
        <f t="shared" si="119"/>
        <v>0.12120425632872736</v>
      </c>
    </row>
    <row r="1509" spans="1:7" x14ac:dyDescent="0.35">
      <c r="A1509">
        <v>630</v>
      </c>
      <c r="B1509">
        <f t="shared" si="115"/>
        <v>-708.35206382240722</v>
      </c>
      <c r="C1509">
        <f t="shared" si="116"/>
        <v>501762.64632146369</v>
      </c>
      <c r="D1509">
        <v>39321</v>
      </c>
      <c r="E1509">
        <f t="shared" si="117"/>
        <v>3.9321000000000002</v>
      </c>
      <c r="F1509">
        <f t="shared" si="118"/>
        <v>0.55224401664932765</v>
      </c>
      <c r="G1509">
        <f t="shared" si="119"/>
        <v>0.30497345392498287</v>
      </c>
    </row>
    <row r="1510" spans="1:7" x14ac:dyDescent="0.35">
      <c r="A1510">
        <v>630</v>
      </c>
      <c r="B1510">
        <f t="shared" si="115"/>
        <v>-708.35206382240722</v>
      </c>
      <c r="C1510">
        <f t="shared" si="116"/>
        <v>501762.64632146369</v>
      </c>
      <c r="D1510">
        <v>28062</v>
      </c>
      <c r="E1510">
        <f t="shared" si="117"/>
        <v>2.8062</v>
      </c>
      <c r="F1510">
        <f t="shared" si="118"/>
        <v>-0.57365598335067247</v>
      </c>
      <c r="G1510">
        <f t="shared" si="119"/>
        <v>0.32908118723402702</v>
      </c>
    </row>
    <row r="1511" spans="1:7" x14ac:dyDescent="0.35">
      <c r="A1511">
        <v>630</v>
      </c>
      <c r="B1511">
        <f t="shared" si="115"/>
        <v>-708.35206382240722</v>
      </c>
      <c r="C1511">
        <f t="shared" si="116"/>
        <v>501762.64632146369</v>
      </c>
      <c r="D1511">
        <v>28715</v>
      </c>
      <c r="E1511">
        <f t="shared" si="117"/>
        <v>2.8715000000000002</v>
      </c>
      <c r="F1511">
        <f t="shared" si="118"/>
        <v>-0.50835598335067234</v>
      </c>
      <c r="G1511">
        <f t="shared" si="119"/>
        <v>0.25842580580842905</v>
      </c>
    </row>
    <row r="1512" spans="1:7" x14ac:dyDescent="0.35">
      <c r="A1512">
        <v>630</v>
      </c>
      <c r="B1512">
        <f t="shared" si="115"/>
        <v>-708.35206382240722</v>
      </c>
      <c r="C1512">
        <f t="shared" si="116"/>
        <v>501762.64632146369</v>
      </c>
      <c r="D1512">
        <v>13076</v>
      </c>
      <c r="E1512">
        <f t="shared" si="117"/>
        <v>1.3076000000000001</v>
      </c>
      <c r="F1512">
        <f t="shared" si="118"/>
        <v>-2.0722559833506722</v>
      </c>
      <c r="G1512">
        <f t="shared" si="119"/>
        <v>4.2942448605326611</v>
      </c>
    </row>
    <row r="1513" spans="1:7" x14ac:dyDescent="0.35">
      <c r="A1513">
        <v>630</v>
      </c>
      <c r="B1513">
        <f t="shared" si="115"/>
        <v>-708.35206382240722</v>
      </c>
      <c r="C1513">
        <f t="shared" si="116"/>
        <v>501762.64632146369</v>
      </c>
      <c r="D1513">
        <v>19333</v>
      </c>
      <c r="E1513">
        <f t="shared" si="117"/>
        <v>1.9333</v>
      </c>
      <c r="F1513">
        <f t="shared" si="118"/>
        <v>-1.4465559833506725</v>
      </c>
      <c r="G1513">
        <f t="shared" si="119"/>
        <v>2.0925242129676311</v>
      </c>
    </row>
    <row r="1514" spans="1:7" x14ac:dyDescent="0.35">
      <c r="A1514">
        <v>630</v>
      </c>
      <c r="B1514">
        <f t="shared" si="115"/>
        <v>-708.35206382240722</v>
      </c>
      <c r="C1514">
        <f t="shared" si="116"/>
        <v>501762.64632146369</v>
      </c>
      <c r="D1514">
        <v>42384</v>
      </c>
      <c r="E1514">
        <f t="shared" si="117"/>
        <v>4.2384000000000004</v>
      </c>
      <c r="F1514">
        <f t="shared" si="118"/>
        <v>0.85854401664932789</v>
      </c>
      <c r="G1514">
        <f t="shared" si="119"/>
        <v>0.73709782852436145</v>
      </c>
    </row>
    <row r="1515" spans="1:7" x14ac:dyDescent="0.35">
      <c r="A1515">
        <v>630</v>
      </c>
      <c r="B1515">
        <f t="shared" si="115"/>
        <v>-708.35206382240722</v>
      </c>
      <c r="C1515">
        <f t="shared" si="116"/>
        <v>501762.64632146369</v>
      </c>
      <c r="D1515">
        <v>39676</v>
      </c>
      <c r="E1515">
        <f t="shared" si="117"/>
        <v>3.9676</v>
      </c>
      <c r="F1515">
        <f t="shared" si="118"/>
        <v>0.58774401664932752</v>
      </c>
      <c r="G1515">
        <f t="shared" si="119"/>
        <v>0.34544302910708496</v>
      </c>
    </row>
    <row r="1516" spans="1:7" x14ac:dyDescent="0.35">
      <c r="A1516">
        <v>630</v>
      </c>
      <c r="B1516">
        <f t="shared" si="115"/>
        <v>-708.35206382240722</v>
      </c>
      <c r="C1516">
        <f t="shared" si="116"/>
        <v>501762.64632146369</v>
      </c>
      <c r="D1516">
        <v>46643</v>
      </c>
      <c r="E1516">
        <f t="shared" si="117"/>
        <v>4.6642999999999999</v>
      </c>
      <c r="F1516">
        <f t="shared" si="118"/>
        <v>1.2844440166493274</v>
      </c>
      <c r="G1516">
        <f t="shared" si="119"/>
        <v>1.6497964319062577</v>
      </c>
    </row>
    <row r="1517" spans="1:7" x14ac:dyDescent="0.35">
      <c r="A1517">
        <v>630</v>
      </c>
      <c r="B1517">
        <f t="shared" si="115"/>
        <v>-708.35206382240722</v>
      </c>
      <c r="C1517">
        <f t="shared" si="116"/>
        <v>501762.64632146369</v>
      </c>
      <c r="D1517">
        <v>39955</v>
      </c>
      <c r="E1517">
        <f t="shared" si="117"/>
        <v>3.9954999999999998</v>
      </c>
      <c r="F1517">
        <f t="shared" si="118"/>
        <v>0.61564401664932733</v>
      </c>
      <c r="G1517">
        <f t="shared" si="119"/>
        <v>0.37901755523611724</v>
      </c>
    </row>
    <row r="1518" spans="1:7" x14ac:dyDescent="0.35">
      <c r="A1518">
        <v>630</v>
      </c>
      <c r="B1518">
        <f t="shared" si="115"/>
        <v>-708.35206382240722</v>
      </c>
      <c r="C1518">
        <f t="shared" si="116"/>
        <v>501762.64632146369</v>
      </c>
      <c r="D1518">
        <v>39543</v>
      </c>
      <c r="E1518">
        <f t="shared" si="117"/>
        <v>3.9542999999999999</v>
      </c>
      <c r="F1518">
        <f t="shared" si="118"/>
        <v>0.57444401664932743</v>
      </c>
      <c r="G1518">
        <f t="shared" si="119"/>
        <v>0.32998592826421275</v>
      </c>
    </row>
    <row r="1519" spans="1:7" x14ac:dyDescent="0.35">
      <c r="A1519">
        <v>630</v>
      </c>
      <c r="B1519">
        <f t="shared" si="115"/>
        <v>-708.35206382240722</v>
      </c>
      <c r="C1519">
        <f t="shared" si="116"/>
        <v>501762.64632146369</v>
      </c>
      <c r="D1519">
        <v>39566</v>
      </c>
      <c r="E1519">
        <f t="shared" si="117"/>
        <v>3.9565999999999999</v>
      </c>
      <c r="F1519">
        <f t="shared" si="118"/>
        <v>0.5767440166493274</v>
      </c>
      <c r="G1519">
        <f t="shared" si="119"/>
        <v>0.33263366074079964</v>
      </c>
    </row>
    <row r="1520" spans="1:7" x14ac:dyDescent="0.35">
      <c r="A1520">
        <v>630</v>
      </c>
      <c r="B1520">
        <f t="shared" si="115"/>
        <v>-708.35206382240722</v>
      </c>
      <c r="C1520">
        <f t="shared" si="116"/>
        <v>501762.64632146369</v>
      </c>
      <c r="D1520">
        <v>40273</v>
      </c>
      <c r="E1520">
        <f t="shared" si="117"/>
        <v>4.0273000000000003</v>
      </c>
      <c r="F1520">
        <f t="shared" si="118"/>
        <v>0.64744401664932782</v>
      </c>
      <c r="G1520">
        <f t="shared" si="119"/>
        <v>0.41918375469501507</v>
      </c>
    </row>
    <row r="1521" spans="1:7" x14ac:dyDescent="0.35">
      <c r="A1521">
        <v>2391</v>
      </c>
      <c r="B1521">
        <f t="shared" si="115"/>
        <v>1052.6479361775928</v>
      </c>
      <c r="C1521">
        <f t="shared" si="116"/>
        <v>1108067.6775389453</v>
      </c>
      <c r="D1521">
        <v>12525</v>
      </c>
      <c r="E1521">
        <f t="shared" si="117"/>
        <v>1.2524999999999999</v>
      </c>
      <c r="F1521">
        <f t="shared" si="118"/>
        <v>-2.1273559833506726</v>
      </c>
      <c r="G1521">
        <f t="shared" si="119"/>
        <v>4.5256434798979068</v>
      </c>
    </row>
    <row r="1522" spans="1:7" x14ac:dyDescent="0.35">
      <c r="A1522">
        <v>2391</v>
      </c>
      <c r="B1522">
        <f t="shared" si="115"/>
        <v>1052.6479361775928</v>
      </c>
      <c r="C1522">
        <f t="shared" si="116"/>
        <v>1108067.6775389453</v>
      </c>
      <c r="D1522">
        <v>12355</v>
      </c>
      <c r="E1522">
        <f t="shared" si="117"/>
        <v>1.2355</v>
      </c>
      <c r="F1522">
        <f t="shared" si="118"/>
        <v>-2.1443559833506725</v>
      </c>
      <c r="G1522">
        <f t="shared" si="119"/>
        <v>4.5982625833318291</v>
      </c>
    </row>
    <row r="1523" spans="1:7" x14ac:dyDescent="0.35">
      <c r="A1523">
        <v>2391</v>
      </c>
      <c r="B1523">
        <f t="shared" si="115"/>
        <v>1052.6479361775928</v>
      </c>
      <c r="C1523">
        <f t="shared" si="116"/>
        <v>1108067.6775389453</v>
      </c>
      <c r="D1523">
        <v>12623</v>
      </c>
      <c r="E1523">
        <f t="shared" si="117"/>
        <v>1.2623</v>
      </c>
      <c r="F1523">
        <f t="shared" si="118"/>
        <v>-2.1175559833506723</v>
      </c>
      <c r="G1523">
        <f t="shared" si="119"/>
        <v>4.4840433426242328</v>
      </c>
    </row>
    <row r="1524" spans="1:7" x14ac:dyDescent="0.35">
      <c r="A1524">
        <v>2391</v>
      </c>
      <c r="B1524">
        <f t="shared" si="115"/>
        <v>1052.6479361775928</v>
      </c>
      <c r="C1524">
        <f t="shared" si="116"/>
        <v>1108067.6775389453</v>
      </c>
      <c r="D1524">
        <v>11661</v>
      </c>
      <c r="E1524">
        <f t="shared" si="117"/>
        <v>1.1660999999999999</v>
      </c>
      <c r="F1524">
        <f t="shared" si="118"/>
        <v>-2.2137559833506728</v>
      </c>
      <c r="G1524">
        <f t="shared" si="119"/>
        <v>4.9007155538209046</v>
      </c>
    </row>
    <row r="1525" spans="1:7" x14ac:dyDescent="0.35">
      <c r="A1525">
        <v>2391</v>
      </c>
      <c r="B1525">
        <f t="shared" si="115"/>
        <v>1052.6479361775928</v>
      </c>
      <c r="C1525">
        <f t="shared" si="116"/>
        <v>1108067.6775389453</v>
      </c>
      <c r="D1525">
        <v>10286</v>
      </c>
      <c r="E1525">
        <f t="shared" si="117"/>
        <v>1.0286</v>
      </c>
      <c r="F1525">
        <f t="shared" si="118"/>
        <v>-2.3512559833506725</v>
      </c>
      <c r="G1525">
        <f t="shared" si="119"/>
        <v>5.5284046992423379</v>
      </c>
    </row>
    <row r="1526" spans="1:7" x14ac:dyDescent="0.35">
      <c r="A1526">
        <v>2391</v>
      </c>
      <c r="B1526">
        <f t="shared" si="115"/>
        <v>1052.6479361775928</v>
      </c>
      <c r="C1526">
        <f t="shared" si="116"/>
        <v>1108067.6775389453</v>
      </c>
      <c r="D1526">
        <v>9091</v>
      </c>
      <c r="E1526">
        <f t="shared" si="117"/>
        <v>0.90910000000000002</v>
      </c>
      <c r="F1526">
        <f t="shared" si="118"/>
        <v>-2.4707559833506725</v>
      </c>
      <c r="G1526">
        <f t="shared" si="119"/>
        <v>6.1046351292631487</v>
      </c>
    </row>
    <row r="1527" spans="1:7" x14ac:dyDescent="0.35">
      <c r="A1527">
        <v>2391</v>
      </c>
      <c r="B1527">
        <f t="shared" si="115"/>
        <v>1052.6479361775928</v>
      </c>
      <c r="C1527">
        <f t="shared" si="116"/>
        <v>1108067.6775389453</v>
      </c>
      <c r="D1527">
        <v>9167</v>
      </c>
      <c r="E1527">
        <f t="shared" si="117"/>
        <v>0.91669999999999996</v>
      </c>
      <c r="F1527">
        <f t="shared" si="118"/>
        <v>-2.4631559833506724</v>
      </c>
      <c r="G1527">
        <f t="shared" si="119"/>
        <v>6.067137398316218</v>
      </c>
    </row>
    <row r="1528" spans="1:7" x14ac:dyDescent="0.35">
      <c r="A1528">
        <v>2391</v>
      </c>
      <c r="B1528">
        <f t="shared" si="115"/>
        <v>1052.6479361775928</v>
      </c>
      <c r="C1528">
        <f t="shared" si="116"/>
        <v>1108067.6775389453</v>
      </c>
      <c r="D1528">
        <v>10833</v>
      </c>
      <c r="E1528">
        <f t="shared" si="117"/>
        <v>1.0832999999999999</v>
      </c>
      <c r="F1528">
        <f t="shared" si="118"/>
        <v>-2.2965559833506726</v>
      </c>
      <c r="G1528">
        <f t="shared" si="119"/>
        <v>5.2741693846637743</v>
      </c>
    </row>
    <row r="1529" spans="1:7" x14ac:dyDescent="0.35">
      <c r="A1529">
        <v>2391</v>
      </c>
      <c r="B1529">
        <f t="shared" si="115"/>
        <v>1052.6479361775928</v>
      </c>
      <c r="C1529">
        <f t="shared" si="116"/>
        <v>1108067.6775389453</v>
      </c>
      <c r="D1529">
        <v>11111</v>
      </c>
      <c r="E1529">
        <f t="shared" si="117"/>
        <v>1.1111</v>
      </c>
      <c r="F1529">
        <f t="shared" si="118"/>
        <v>-2.2687559833506725</v>
      </c>
      <c r="G1529">
        <f t="shared" si="119"/>
        <v>5.1472537119894772</v>
      </c>
    </row>
    <row r="1530" spans="1:7" x14ac:dyDescent="0.35">
      <c r="A1530">
        <v>2391</v>
      </c>
      <c r="B1530">
        <f t="shared" si="115"/>
        <v>1052.6479361775928</v>
      </c>
      <c r="C1530">
        <f t="shared" si="116"/>
        <v>1108067.6775389453</v>
      </c>
      <c r="D1530">
        <v>11240</v>
      </c>
      <c r="E1530">
        <f t="shared" si="117"/>
        <v>1.1240000000000001</v>
      </c>
      <c r="F1530">
        <f t="shared" si="118"/>
        <v>-2.2558559833506724</v>
      </c>
      <c r="G1530">
        <f t="shared" si="119"/>
        <v>5.088886217619029</v>
      </c>
    </row>
    <row r="1531" spans="1:7" x14ac:dyDescent="0.35">
      <c r="A1531">
        <v>2391</v>
      </c>
      <c r="B1531">
        <f t="shared" si="115"/>
        <v>1052.6479361775928</v>
      </c>
      <c r="C1531">
        <f t="shared" si="116"/>
        <v>1108067.6775389453</v>
      </c>
      <c r="D1531">
        <v>12493</v>
      </c>
      <c r="E1531">
        <f t="shared" si="117"/>
        <v>1.2493000000000001</v>
      </c>
      <c r="F1531">
        <f t="shared" si="118"/>
        <v>-2.1305559833506722</v>
      </c>
      <c r="G1531">
        <f t="shared" si="119"/>
        <v>4.5392687981913502</v>
      </c>
    </row>
    <row r="1532" spans="1:7" x14ac:dyDescent="0.35">
      <c r="A1532">
        <v>2391</v>
      </c>
      <c r="B1532">
        <f t="shared" si="115"/>
        <v>1052.6479361775928</v>
      </c>
      <c r="C1532">
        <f t="shared" si="116"/>
        <v>1108067.6775389453</v>
      </c>
      <c r="D1532">
        <v>12456</v>
      </c>
      <c r="E1532">
        <f t="shared" si="117"/>
        <v>1.2456</v>
      </c>
      <c r="F1532">
        <f t="shared" si="118"/>
        <v>-2.1342559833506725</v>
      </c>
      <c r="G1532">
        <f t="shared" si="119"/>
        <v>4.5550486024681458</v>
      </c>
    </row>
    <row r="1533" spans="1:7" x14ac:dyDescent="0.35">
      <c r="A1533">
        <v>2391</v>
      </c>
      <c r="B1533">
        <f t="shared" si="115"/>
        <v>1052.6479361775928</v>
      </c>
      <c r="C1533">
        <f t="shared" si="116"/>
        <v>1108067.6775389453</v>
      </c>
      <c r="D1533">
        <v>12934</v>
      </c>
      <c r="E1533">
        <f t="shared" si="117"/>
        <v>1.2934000000000001</v>
      </c>
      <c r="F1533">
        <f t="shared" si="118"/>
        <v>-2.0864559833506724</v>
      </c>
      <c r="G1533">
        <f t="shared" si="119"/>
        <v>4.3532985704598213</v>
      </c>
    </row>
    <row r="1534" spans="1:7" x14ac:dyDescent="0.35">
      <c r="A1534">
        <v>2391</v>
      </c>
      <c r="B1534">
        <f t="shared" si="115"/>
        <v>1052.6479361775928</v>
      </c>
      <c r="C1534">
        <f t="shared" si="116"/>
        <v>1108067.6775389453</v>
      </c>
      <c r="D1534">
        <v>12772</v>
      </c>
      <c r="E1534">
        <f t="shared" si="117"/>
        <v>1.2771999999999999</v>
      </c>
      <c r="F1534">
        <f t="shared" si="118"/>
        <v>-2.1026559833506724</v>
      </c>
      <c r="G1534">
        <f t="shared" si="119"/>
        <v>4.4211621843203828</v>
      </c>
    </row>
    <row r="1535" spans="1:7" x14ac:dyDescent="0.35">
      <c r="A1535">
        <v>2391</v>
      </c>
      <c r="B1535">
        <f t="shared" si="115"/>
        <v>1052.6479361775928</v>
      </c>
      <c r="C1535">
        <f t="shared" si="116"/>
        <v>1108067.6775389453</v>
      </c>
      <c r="D1535">
        <v>12780</v>
      </c>
      <c r="E1535">
        <f t="shared" si="117"/>
        <v>1.278</v>
      </c>
      <c r="F1535">
        <f t="shared" si="118"/>
        <v>-2.1018559833506725</v>
      </c>
      <c r="G1535">
        <f t="shared" si="119"/>
        <v>4.4177985747470228</v>
      </c>
    </row>
    <row r="1536" spans="1:7" x14ac:dyDescent="0.35">
      <c r="A1536">
        <v>2391</v>
      </c>
      <c r="B1536">
        <f t="shared" si="115"/>
        <v>1052.6479361775928</v>
      </c>
      <c r="C1536">
        <f t="shared" si="116"/>
        <v>1108067.6775389453</v>
      </c>
      <c r="D1536">
        <v>11154</v>
      </c>
      <c r="E1536">
        <f t="shared" si="117"/>
        <v>1.1153999999999999</v>
      </c>
      <c r="F1536">
        <f t="shared" si="118"/>
        <v>-2.2644559833506728</v>
      </c>
      <c r="G1536">
        <f t="shared" si="119"/>
        <v>5.1277609005326621</v>
      </c>
    </row>
    <row r="1537" spans="1:7" x14ac:dyDescent="0.35">
      <c r="A1537">
        <v>2391</v>
      </c>
      <c r="B1537">
        <f t="shared" si="115"/>
        <v>1052.6479361775928</v>
      </c>
      <c r="C1537">
        <f t="shared" si="116"/>
        <v>1108067.6775389453</v>
      </c>
      <c r="D1537">
        <v>9167</v>
      </c>
      <c r="E1537">
        <f t="shared" si="117"/>
        <v>0.91669999999999996</v>
      </c>
      <c r="F1537">
        <f t="shared" si="118"/>
        <v>-2.4631559833506724</v>
      </c>
      <c r="G1537">
        <f t="shared" si="119"/>
        <v>6.067137398316218</v>
      </c>
    </row>
    <row r="1538" spans="1:7" x14ac:dyDescent="0.35">
      <c r="A1538">
        <v>2391</v>
      </c>
      <c r="B1538">
        <f t="shared" si="115"/>
        <v>1052.6479361775928</v>
      </c>
      <c r="C1538">
        <f t="shared" si="116"/>
        <v>1108067.6775389453</v>
      </c>
      <c r="D1538">
        <v>9167</v>
      </c>
      <c r="E1538">
        <f t="shared" si="117"/>
        <v>0.91669999999999996</v>
      </c>
      <c r="F1538">
        <f t="shared" si="118"/>
        <v>-2.4631559833506724</v>
      </c>
      <c r="G1538">
        <f t="shared" si="119"/>
        <v>6.067137398316218</v>
      </c>
    </row>
    <row r="1539" spans="1:7" x14ac:dyDescent="0.35">
      <c r="A1539">
        <v>2391</v>
      </c>
      <c r="B1539">
        <f t="shared" ref="B1539:B1602" si="120">A1539-$J$1</f>
        <v>1052.6479361775928</v>
      </c>
      <c r="C1539">
        <f t="shared" ref="C1539:C1602" si="121">B1539^2</f>
        <v>1108067.6775389453</v>
      </c>
      <c r="D1539">
        <v>12900</v>
      </c>
      <c r="E1539">
        <f t="shared" ref="E1539:E1602" si="122">D1539/10000</f>
        <v>1.29</v>
      </c>
      <c r="F1539">
        <f t="shared" ref="F1539:F1602" si="123">E1539-$J$2</f>
        <v>-2.0898559833506725</v>
      </c>
      <c r="G1539">
        <f t="shared" ref="G1539:G1602" si="124">F1539^2</f>
        <v>4.3674980311466065</v>
      </c>
    </row>
    <row r="1540" spans="1:7" x14ac:dyDescent="0.35">
      <c r="A1540">
        <v>2391</v>
      </c>
      <c r="B1540">
        <f t="shared" si="120"/>
        <v>1052.6479361775928</v>
      </c>
      <c r="C1540">
        <f t="shared" si="121"/>
        <v>1108067.6775389453</v>
      </c>
      <c r="D1540">
        <v>12615</v>
      </c>
      <c r="E1540">
        <f t="shared" si="122"/>
        <v>1.2615000000000001</v>
      </c>
      <c r="F1540">
        <f t="shared" si="123"/>
        <v>-2.1183559833506722</v>
      </c>
      <c r="G1540">
        <f t="shared" si="124"/>
        <v>4.4874320721975938</v>
      </c>
    </row>
    <row r="1541" spans="1:7" x14ac:dyDescent="0.35">
      <c r="A1541">
        <v>2391</v>
      </c>
      <c r="B1541">
        <f t="shared" si="120"/>
        <v>1052.6479361775928</v>
      </c>
      <c r="C1541">
        <f t="shared" si="121"/>
        <v>1108067.6775389453</v>
      </c>
      <c r="D1541">
        <v>14488</v>
      </c>
      <c r="E1541">
        <f t="shared" si="122"/>
        <v>1.4488000000000001</v>
      </c>
      <c r="F1541">
        <f t="shared" si="123"/>
        <v>-1.9310559833506724</v>
      </c>
      <c r="G1541">
        <f t="shared" si="124"/>
        <v>3.7289772108344326</v>
      </c>
    </row>
    <row r="1542" spans="1:7" x14ac:dyDescent="0.35">
      <c r="A1542">
        <v>2391</v>
      </c>
      <c r="B1542">
        <f t="shared" si="120"/>
        <v>1052.6479361775928</v>
      </c>
      <c r="C1542">
        <f t="shared" si="121"/>
        <v>1108067.6775389453</v>
      </c>
      <c r="D1542">
        <v>15534</v>
      </c>
      <c r="E1542">
        <f t="shared" si="122"/>
        <v>1.5533999999999999</v>
      </c>
      <c r="F1542">
        <f t="shared" si="123"/>
        <v>-1.8264559833506726</v>
      </c>
      <c r="G1542">
        <f t="shared" si="124"/>
        <v>3.3359414591174725</v>
      </c>
    </row>
    <row r="1543" spans="1:7" x14ac:dyDescent="0.35">
      <c r="A1543">
        <v>2391</v>
      </c>
      <c r="B1543">
        <f t="shared" si="120"/>
        <v>1052.6479361775928</v>
      </c>
      <c r="C1543">
        <f t="shared" si="121"/>
        <v>1108067.6775389453</v>
      </c>
      <c r="D1543">
        <v>11835</v>
      </c>
      <c r="E1543">
        <f t="shared" si="122"/>
        <v>1.1835</v>
      </c>
      <c r="F1543">
        <f t="shared" si="123"/>
        <v>-2.1963559833506725</v>
      </c>
      <c r="G1543">
        <f t="shared" si="124"/>
        <v>4.8239796056002993</v>
      </c>
    </row>
    <row r="1544" spans="1:7" x14ac:dyDescent="0.35">
      <c r="A1544">
        <v>2391</v>
      </c>
      <c r="B1544">
        <f t="shared" si="120"/>
        <v>1052.6479361775928</v>
      </c>
      <c r="C1544">
        <f t="shared" si="121"/>
        <v>1108067.6775389453</v>
      </c>
      <c r="D1544">
        <v>11786</v>
      </c>
      <c r="E1544">
        <f t="shared" si="122"/>
        <v>1.1786000000000001</v>
      </c>
      <c r="F1544">
        <f t="shared" si="123"/>
        <v>-2.2012559833506726</v>
      </c>
      <c r="G1544">
        <f t="shared" si="124"/>
        <v>4.8455279042371364</v>
      </c>
    </row>
    <row r="1545" spans="1:7" x14ac:dyDescent="0.35">
      <c r="A1545">
        <v>2391</v>
      </c>
      <c r="B1545">
        <f t="shared" si="120"/>
        <v>1052.6479361775928</v>
      </c>
      <c r="C1545">
        <f t="shared" si="121"/>
        <v>1108067.6775389453</v>
      </c>
      <c r="D1545">
        <v>11993</v>
      </c>
      <c r="E1545">
        <f t="shared" si="122"/>
        <v>1.1993</v>
      </c>
      <c r="F1545">
        <f t="shared" si="123"/>
        <v>-2.1805559833506725</v>
      </c>
      <c r="G1545">
        <f t="shared" si="124"/>
        <v>4.7548243965264181</v>
      </c>
    </row>
    <row r="1546" spans="1:7" x14ac:dyDescent="0.35">
      <c r="A1546">
        <v>2391</v>
      </c>
      <c r="B1546">
        <f t="shared" si="120"/>
        <v>1052.6479361775928</v>
      </c>
      <c r="C1546">
        <f t="shared" si="121"/>
        <v>1108067.6775389453</v>
      </c>
      <c r="D1546">
        <v>12853</v>
      </c>
      <c r="E1546">
        <f t="shared" si="122"/>
        <v>1.2853000000000001</v>
      </c>
      <c r="F1546">
        <f t="shared" si="123"/>
        <v>-2.0945559833506726</v>
      </c>
      <c r="G1546">
        <f t="shared" si="124"/>
        <v>4.3871647673901029</v>
      </c>
    </row>
    <row r="1547" spans="1:7" x14ac:dyDescent="0.35">
      <c r="A1547">
        <v>2391</v>
      </c>
      <c r="B1547">
        <f t="shared" si="120"/>
        <v>1052.6479361775928</v>
      </c>
      <c r="C1547">
        <f t="shared" si="121"/>
        <v>1108067.6775389453</v>
      </c>
      <c r="D1547">
        <v>12892</v>
      </c>
      <c r="E1547">
        <f t="shared" si="122"/>
        <v>1.2891999999999999</v>
      </c>
      <c r="F1547">
        <f t="shared" si="123"/>
        <v>-2.0906559833506728</v>
      </c>
      <c r="G1547">
        <f t="shared" si="124"/>
        <v>4.3708424407199686</v>
      </c>
    </row>
    <row r="1548" spans="1:7" x14ac:dyDescent="0.35">
      <c r="A1548">
        <v>2391</v>
      </c>
      <c r="B1548">
        <f t="shared" si="120"/>
        <v>1052.6479361775928</v>
      </c>
      <c r="C1548">
        <f t="shared" si="121"/>
        <v>1108067.6775389453</v>
      </c>
      <c r="D1548">
        <v>12989</v>
      </c>
      <c r="E1548">
        <f t="shared" si="122"/>
        <v>1.2988999999999999</v>
      </c>
      <c r="F1548">
        <f t="shared" si="123"/>
        <v>-2.0809559833506723</v>
      </c>
      <c r="G1548">
        <f t="shared" si="124"/>
        <v>4.3303778046429633</v>
      </c>
    </row>
    <row r="1549" spans="1:7" x14ac:dyDescent="0.35">
      <c r="A1549">
        <v>2391</v>
      </c>
      <c r="B1549">
        <f t="shared" si="120"/>
        <v>1052.6479361775928</v>
      </c>
      <c r="C1549">
        <f t="shared" si="121"/>
        <v>1108067.6775389453</v>
      </c>
      <c r="D1549">
        <v>13101</v>
      </c>
      <c r="E1549">
        <f t="shared" si="122"/>
        <v>1.3101</v>
      </c>
      <c r="F1549">
        <f t="shared" si="123"/>
        <v>-2.0697559833506727</v>
      </c>
      <c r="G1549">
        <f t="shared" si="124"/>
        <v>4.2838898306159097</v>
      </c>
    </row>
    <row r="1550" spans="1:7" x14ac:dyDescent="0.35">
      <c r="A1550">
        <v>2391</v>
      </c>
      <c r="B1550">
        <f t="shared" si="120"/>
        <v>1052.6479361775928</v>
      </c>
      <c r="C1550">
        <f t="shared" si="121"/>
        <v>1108067.6775389453</v>
      </c>
      <c r="D1550">
        <v>13223</v>
      </c>
      <c r="E1550">
        <f t="shared" si="122"/>
        <v>1.3223</v>
      </c>
      <c r="F1550">
        <f t="shared" si="123"/>
        <v>-2.0575559833506727</v>
      </c>
      <c r="G1550">
        <f t="shared" si="124"/>
        <v>4.233536624622154</v>
      </c>
    </row>
    <row r="1551" spans="1:7" x14ac:dyDescent="0.35">
      <c r="A1551">
        <v>1513</v>
      </c>
      <c r="B1551">
        <f t="shared" si="120"/>
        <v>174.64793617759278</v>
      </c>
      <c r="C1551">
        <f t="shared" si="121"/>
        <v>30501.901611092522</v>
      </c>
      <c r="D1551">
        <v>18400</v>
      </c>
      <c r="E1551">
        <f t="shared" si="122"/>
        <v>1.84</v>
      </c>
      <c r="F1551">
        <f t="shared" si="123"/>
        <v>-1.5398559833506724</v>
      </c>
      <c r="G1551">
        <f t="shared" si="124"/>
        <v>2.3711564494608663</v>
      </c>
    </row>
    <row r="1552" spans="1:7" x14ac:dyDescent="0.35">
      <c r="A1552">
        <v>1513</v>
      </c>
      <c r="B1552">
        <f t="shared" si="120"/>
        <v>174.64793617759278</v>
      </c>
      <c r="C1552">
        <f t="shared" si="121"/>
        <v>30501.901611092522</v>
      </c>
      <c r="D1552">
        <v>18780</v>
      </c>
      <c r="E1552">
        <f t="shared" si="122"/>
        <v>1.8779999999999999</v>
      </c>
      <c r="F1552">
        <f t="shared" si="123"/>
        <v>-1.5018559833506726</v>
      </c>
      <c r="G1552">
        <f t="shared" si="124"/>
        <v>2.2555713947262159</v>
      </c>
    </row>
    <row r="1553" spans="1:7" x14ac:dyDescent="0.35">
      <c r="A1553">
        <v>1513</v>
      </c>
      <c r="B1553">
        <f t="shared" si="120"/>
        <v>174.64793617759278</v>
      </c>
      <c r="C1553">
        <f t="shared" si="121"/>
        <v>30501.901611092522</v>
      </c>
      <c r="D1553">
        <v>19836</v>
      </c>
      <c r="E1553">
        <f t="shared" si="122"/>
        <v>1.9836</v>
      </c>
      <c r="F1553">
        <f t="shared" si="123"/>
        <v>-1.3962559833506725</v>
      </c>
      <c r="G1553">
        <f t="shared" si="124"/>
        <v>1.9495307710425533</v>
      </c>
    </row>
    <row r="1554" spans="1:7" x14ac:dyDescent="0.35">
      <c r="A1554">
        <v>1513</v>
      </c>
      <c r="B1554">
        <f t="shared" si="120"/>
        <v>174.64793617759278</v>
      </c>
      <c r="C1554">
        <f t="shared" si="121"/>
        <v>30501.901611092522</v>
      </c>
      <c r="D1554">
        <v>20768</v>
      </c>
      <c r="E1554">
        <f t="shared" si="122"/>
        <v>2.0768</v>
      </c>
      <c r="F1554">
        <f t="shared" si="123"/>
        <v>-1.3030559833506725</v>
      </c>
      <c r="G1554">
        <f t="shared" si="124"/>
        <v>1.6979548957459882</v>
      </c>
    </row>
    <row r="1555" spans="1:7" x14ac:dyDescent="0.35">
      <c r="A1555">
        <v>1513</v>
      </c>
      <c r="B1555">
        <f t="shared" si="120"/>
        <v>174.64793617759278</v>
      </c>
      <c r="C1555">
        <f t="shared" si="121"/>
        <v>30501.901611092522</v>
      </c>
      <c r="D1555">
        <v>20773</v>
      </c>
      <c r="E1555">
        <f t="shared" si="122"/>
        <v>2.0773000000000001</v>
      </c>
      <c r="F1555">
        <f t="shared" si="123"/>
        <v>-1.3025559833506724</v>
      </c>
      <c r="G1555">
        <f t="shared" si="124"/>
        <v>1.6966520897626369</v>
      </c>
    </row>
    <row r="1556" spans="1:7" x14ac:dyDescent="0.35">
      <c r="A1556">
        <v>1513</v>
      </c>
      <c r="B1556">
        <f t="shared" si="120"/>
        <v>174.64793617759278</v>
      </c>
      <c r="C1556">
        <f t="shared" si="121"/>
        <v>30501.901611092522</v>
      </c>
      <c r="D1556">
        <v>20546</v>
      </c>
      <c r="E1556">
        <f t="shared" si="122"/>
        <v>2.0546000000000002</v>
      </c>
      <c r="F1556">
        <f t="shared" si="123"/>
        <v>-1.3252559833506723</v>
      </c>
      <c r="G1556">
        <f t="shared" si="124"/>
        <v>1.7563034214067574</v>
      </c>
    </row>
    <row r="1557" spans="1:7" x14ac:dyDescent="0.35">
      <c r="A1557">
        <v>1513</v>
      </c>
      <c r="B1557">
        <f t="shared" si="120"/>
        <v>174.64793617759278</v>
      </c>
      <c r="C1557">
        <f t="shared" si="121"/>
        <v>30501.901611092522</v>
      </c>
      <c r="D1557">
        <v>20869</v>
      </c>
      <c r="E1557">
        <f t="shared" si="122"/>
        <v>2.0869</v>
      </c>
      <c r="F1557">
        <f t="shared" si="123"/>
        <v>-1.2929559833506725</v>
      </c>
      <c r="G1557">
        <f t="shared" si="124"/>
        <v>1.6717351748823046</v>
      </c>
    </row>
    <row r="1558" spans="1:7" x14ac:dyDescent="0.35">
      <c r="A1558">
        <v>1513</v>
      </c>
      <c r="B1558">
        <f t="shared" si="120"/>
        <v>174.64793617759278</v>
      </c>
      <c r="C1558">
        <f t="shared" si="121"/>
        <v>30501.901611092522</v>
      </c>
      <c r="D1558">
        <v>20782</v>
      </c>
      <c r="E1558">
        <f t="shared" si="122"/>
        <v>2.0781999999999998</v>
      </c>
      <c r="F1558">
        <f t="shared" si="123"/>
        <v>-1.3016559833506727</v>
      </c>
      <c r="G1558">
        <f t="shared" si="124"/>
        <v>1.6943082989926066</v>
      </c>
    </row>
    <row r="1559" spans="1:7" x14ac:dyDescent="0.35">
      <c r="A1559">
        <v>1513</v>
      </c>
      <c r="B1559">
        <f t="shared" si="120"/>
        <v>174.64793617759278</v>
      </c>
      <c r="C1559">
        <f t="shared" si="121"/>
        <v>30501.901611092522</v>
      </c>
      <c r="D1559">
        <v>20694</v>
      </c>
      <c r="E1559">
        <f t="shared" si="122"/>
        <v>2.0693999999999999</v>
      </c>
      <c r="F1559">
        <f t="shared" si="123"/>
        <v>-1.3104559833506726</v>
      </c>
      <c r="G1559">
        <f t="shared" si="124"/>
        <v>1.7172948842995783</v>
      </c>
    </row>
    <row r="1560" spans="1:7" x14ac:dyDescent="0.35">
      <c r="A1560">
        <v>1513</v>
      </c>
      <c r="B1560">
        <f t="shared" si="120"/>
        <v>174.64793617759278</v>
      </c>
      <c r="C1560">
        <f t="shared" si="121"/>
        <v>30501.901611092522</v>
      </c>
      <c r="D1560">
        <v>21304</v>
      </c>
      <c r="E1560">
        <f t="shared" si="122"/>
        <v>2.1303999999999998</v>
      </c>
      <c r="F1560">
        <f t="shared" si="123"/>
        <v>-1.2494559833506726</v>
      </c>
      <c r="G1560">
        <f t="shared" si="124"/>
        <v>1.5611402543307964</v>
      </c>
    </row>
    <row r="1561" spans="1:7" x14ac:dyDescent="0.35">
      <c r="A1561">
        <v>1513</v>
      </c>
      <c r="B1561">
        <f t="shared" si="120"/>
        <v>174.64793617759278</v>
      </c>
      <c r="C1561">
        <f t="shared" si="121"/>
        <v>30501.901611092522</v>
      </c>
      <c r="D1561">
        <v>21930</v>
      </c>
      <c r="E1561">
        <f t="shared" si="122"/>
        <v>2.1930000000000001</v>
      </c>
      <c r="F1561">
        <f t="shared" si="123"/>
        <v>-1.1868559833506724</v>
      </c>
      <c r="G1561">
        <f t="shared" si="124"/>
        <v>1.4086271252152915</v>
      </c>
    </row>
    <row r="1562" spans="1:7" x14ac:dyDescent="0.35">
      <c r="A1562">
        <v>1513</v>
      </c>
      <c r="B1562">
        <f t="shared" si="120"/>
        <v>174.64793617759278</v>
      </c>
      <c r="C1562">
        <f t="shared" si="121"/>
        <v>30501.901611092522</v>
      </c>
      <c r="D1562">
        <v>21737</v>
      </c>
      <c r="E1562">
        <f t="shared" si="122"/>
        <v>2.1737000000000002</v>
      </c>
      <c r="F1562">
        <f t="shared" si="123"/>
        <v>-1.2061559833506723</v>
      </c>
      <c r="G1562">
        <f t="shared" si="124"/>
        <v>1.4548122561726273</v>
      </c>
    </row>
    <row r="1563" spans="1:7" x14ac:dyDescent="0.35">
      <c r="A1563">
        <v>1513</v>
      </c>
      <c r="B1563">
        <f t="shared" si="120"/>
        <v>174.64793617759278</v>
      </c>
      <c r="C1563">
        <f t="shared" si="121"/>
        <v>30501.901611092522</v>
      </c>
      <c r="D1563">
        <v>20341</v>
      </c>
      <c r="E1563">
        <f t="shared" si="122"/>
        <v>2.0341</v>
      </c>
      <c r="F1563">
        <f t="shared" si="123"/>
        <v>-1.3457559833506725</v>
      </c>
      <c r="G1563">
        <f t="shared" si="124"/>
        <v>1.8110591667241354</v>
      </c>
    </row>
    <row r="1564" spans="1:7" x14ac:dyDescent="0.35">
      <c r="A1564">
        <v>1513</v>
      </c>
      <c r="B1564">
        <f t="shared" si="120"/>
        <v>174.64793617759278</v>
      </c>
      <c r="C1564">
        <f t="shared" si="121"/>
        <v>30501.901611092522</v>
      </c>
      <c r="D1564">
        <v>21284</v>
      </c>
      <c r="E1564">
        <f t="shared" si="122"/>
        <v>2.1284000000000001</v>
      </c>
      <c r="F1564">
        <f t="shared" si="123"/>
        <v>-1.2514559833506724</v>
      </c>
      <c r="G1564">
        <f t="shared" si="124"/>
        <v>1.5661420782641986</v>
      </c>
    </row>
    <row r="1565" spans="1:7" x14ac:dyDescent="0.35">
      <c r="A1565">
        <v>1513</v>
      </c>
      <c r="B1565">
        <f t="shared" si="120"/>
        <v>174.64793617759278</v>
      </c>
      <c r="C1565">
        <f t="shared" si="121"/>
        <v>30501.901611092522</v>
      </c>
      <c r="D1565">
        <v>20512</v>
      </c>
      <c r="E1565">
        <f t="shared" si="122"/>
        <v>2.0512000000000001</v>
      </c>
      <c r="F1565">
        <f t="shared" si="123"/>
        <v>-1.3286559833506724</v>
      </c>
      <c r="G1565">
        <f t="shared" si="124"/>
        <v>1.7653267220935422</v>
      </c>
    </row>
    <row r="1566" spans="1:7" x14ac:dyDescent="0.35">
      <c r="A1566">
        <v>1513</v>
      </c>
      <c r="B1566">
        <f t="shared" si="120"/>
        <v>174.64793617759278</v>
      </c>
      <c r="C1566">
        <f t="shared" si="121"/>
        <v>30501.901611092522</v>
      </c>
      <c r="D1566">
        <v>21956</v>
      </c>
      <c r="E1566">
        <f t="shared" si="122"/>
        <v>2.1956000000000002</v>
      </c>
      <c r="F1566">
        <f t="shared" si="123"/>
        <v>-1.1842559833506723</v>
      </c>
      <c r="G1566">
        <f t="shared" si="124"/>
        <v>1.4024622341018678</v>
      </c>
    </row>
    <row r="1567" spans="1:7" x14ac:dyDescent="0.35">
      <c r="A1567">
        <v>1513</v>
      </c>
      <c r="B1567">
        <f t="shared" si="120"/>
        <v>174.64793617759278</v>
      </c>
      <c r="C1567">
        <f t="shared" si="121"/>
        <v>30501.901611092522</v>
      </c>
      <c r="D1567">
        <v>21414</v>
      </c>
      <c r="E1567">
        <f t="shared" si="122"/>
        <v>2.1414</v>
      </c>
      <c r="F1567">
        <f t="shared" si="123"/>
        <v>-1.2384559833506725</v>
      </c>
      <c r="G1567">
        <f t="shared" si="124"/>
        <v>1.5337732226970813</v>
      </c>
    </row>
    <row r="1568" spans="1:7" x14ac:dyDescent="0.35">
      <c r="A1568">
        <v>1513</v>
      </c>
      <c r="B1568">
        <f t="shared" si="120"/>
        <v>174.64793617759278</v>
      </c>
      <c r="C1568">
        <f t="shared" si="121"/>
        <v>30501.901611092522</v>
      </c>
      <c r="D1568">
        <v>24475</v>
      </c>
      <c r="E1568">
        <f t="shared" si="122"/>
        <v>2.4474999999999998</v>
      </c>
      <c r="F1568">
        <f t="shared" si="123"/>
        <v>-0.93235598335067271</v>
      </c>
      <c r="G1568">
        <f t="shared" si="124"/>
        <v>0.86928767968979992</v>
      </c>
    </row>
    <row r="1569" spans="1:7" x14ac:dyDescent="0.35">
      <c r="A1569">
        <v>1513</v>
      </c>
      <c r="B1569">
        <f t="shared" si="120"/>
        <v>174.64793617759278</v>
      </c>
      <c r="C1569">
        <f t="shared" si="121"/>
        <v>30501.901611092522</v>
      </c>
      <c r="D1569">
        <v>27140</v>
      </c>
      <c r="E1569">
        <f t="shared" si="122"/>
        <v>2.714</v>
      </c>
      <c r="F1569">
        <f t="shared" si="123"/>
        <v>-0.66585598335067253</v>
      </c>
      <c r="G1569">
        <f t="shared" si="124"/>
        <v>0.44336419056389109</v>
      </c>
    </row>
    <row r="1570" spans="1:7" x14ac:dyDescent="0.35">
      <c r="A1570">
        <v>1513</v>
      </c>
      <c r="B1570">
        <f t="shared" si="120"/>
        <v>174.64793617759278</v>
      </c>
      <c r="C1570">
        <f t="shared" si="121"/>
        <v>30501.901611092522</v>
      </c>
      <c r="D1570">
        <v>27667</v>
      </c>
      <c r="E1570">
        <f t="shared" si="122"/>
        <v>2.7667000000000002</v>
      </c>
      <c r="F1570">
        <f t="shared" si="123"/>
        <v>-0.61315598335067234</v>
      </c>
      <c r="G1570">
        <f t="shared" si="124"/>
        <v>0.37596025991873</v>
      </c>
    </row>
    <row r="1571" spans="1:7" x14ac:dyDescent="0.35">
      <c r="A1571">
        <v>1513</v>
      </c>
      <c r="B1571">
        <f t="shared" si="120"/>
        <v>174.64793617759278</v>
      </c>
      <c r="C1571">
        <f t="shared" si="121"/>
        <v>30501.901611092522</v>
      </c>
      <c r="D1571">
        <v>28268</v>
      </c>
      <c r="E1571">
        <f t="shared" si="122"/>
        <v>2.8268</v>
      </c>
      <c r="F1571">
        <f t="shared" si="123"/>
        <v>-0.55305598335067252</v>
      </c>
      <c r="G1571">
        <f t="shared" si="124"/>
        <v>0.30587092071997934</v>
      </c>
    </row>
    <row r="1572" spans="1:7" x14ac:dyDescent="0.35">
      <c r="A1572">
        <v>1513</v>
      </c>
      <c r="B1572">
        <f t="shared" si="120"/>
        <v>174.64793617759278</v>
      </c>
      <c r="C1572">
        <f t="shared" si="121"/>
        <v>30501.901611092522</v>
      </c>
      <c r="D1572">
        <v>30495</v>
      </c>
      <c r="E1572">
        <f t="shared" si="122"/>
        <v>3.0495000000000001</v>
      </c>
      <c r="F1572">
        <f t="shared" si="123"/>
        <v>-0.3303559833506724</v>
      </c>
      <c r="G1572">
        <f t="shared" si="124"/>
        <v>0.10913507573558974</v>
      </c>
    </row>
    <row r="1573" spans="1:7" x14ac:dyDescent="0.35">
      <c r="A1573">
        <v>1513</v>
      </c>
      <c r="B1573">
        <f t="shared" si="120"/>
        <v>174.64793617759278</v>
      </c>
      <c r="C1573">
        <f t="shared" si="121"/>
        <v>30501.901611092522</v>
      </c>
      <c r="D1573">
        <v>35056</v>
      </c>
      <c r="E1573">
        <f t="shared" si="122"/>
        <v>3.5055999999999998</v>
      </c>
      <c r="F1573">
        <f t="shared" si="123"/>
        <v>0.12574401664932733</v>
      </c>
      <c r="G1573">
        <f t="shared" si="124"/>
        <v>1.5811557723106308E-2</v>
      </c>
    </row>
    <row r="1574" spans="1:7" x14ac:dyDescent="0.35">
      <c r="A1574">
        <v>1513</v>
      </c>
      <c r="B1574">
        <f t="shared" si="120"/>
        <v>174.64793617759278</v>
      </c>
      <c r="C1574">
        <f t="shared" si="121"/>
        <v>30501.901611092522</v>
      </c>
      <c r="D1574">
        <v>36249</v>
      </c>
      <c r="E1574">
        <f t="shared" si="122"/>
        <v>3.6248999999999998</v>
      </c>
      <c r="F1574">
        <f t="shared" si="123"/>
        <v>0.24504401664932729</v>
      </c>
      <c r="G1574">
        <f t="shared" si="124"/>
        <v>6.0046570095635791E-2</v>
      </c>
    </row>
    <row r="1575" spans="1:7" x14ac:dyDescent="0.35">
      <c r="A1575">
        <v>1513</v>
      </c>
      <c r="B1575">
        <f t="shared" si="120"/>
        <v>174.64793617759278</v>
      </c>
      <c r="C1575">
        <f t="shared" si="121"/>
        <v>30501.901611092522</v>
      </c>
      <c r="D1575">
        <v>37806</v>
      </c>
      <c r="E1575">
        <f t="shared" si="122"/>
        <v>3.7806000000000002</v>
      </c>
      <c r="F1575">
        <f t="shared" si="123"/>
        <v>0.40074401664932768</v>
      </c>
      <c r="G1575">
        <f t="shared" si="124"/>
        <v>0.16059576688023663</v>
      </c>
    </row>
    <row r="1576" spans="1:7" x14ac:dyDescent="0.35">
      <c r="A1576">
        <v>1513</v>
      </c>
      <c r="B1576">
        <f t="shared" si="120"/>
        <v>174.64793617759278</v>
      </c>
      <c r="C1576">
        <f t="shared" si="121"/>
        <v>30501.901611092522</v>
      </c>
      <c r="D1576">
        <v>37661</v>
      </c>
      <c r="E1576">
        <f t="shared" si="122"/>
        <v>3.7660999999999998</v>
      </c>
      <c r="F1576">
        <f t="shared" si="123"/>
        <v>0.38624401664932728</v>
      </c>
      <c r="G1576">
        <f t="shared" si="124"/>
        <v>0.1491844403974058</v>
      </c>
    </row>
    <row r="1577" spans="1:7" x14ac:dyDescent="0.35">
      <c r="A1577">
        <v>1513</v>
      </c>
      <c r="B1577">
        <f t="shared" si="120"/>
        <v>174.64793617759278</v>
      </c>
      <c r="C1577">
        <f t="shared" si="121"/>
        <v>30501.901611092522</v>
      </c>
      <c r="D1577">
        <v>39449</v>
      </c>
      <c r="E1577">
        <f t="shared" si="122"/>
        <v>3.9449000000000001</v>
      </c>
      <c r="F1577">
        <f t="shared" si="123"/>
        <v>0.56504401664932757</v>
      </c>
      <c r="G1577">
        <f t="shared" si="124"/>
        <v>0.3192747407512056</v>
      </c>
    </row>
    <row r="1578" spans="1:7" x14ac:dyDescent="0.35">
      <c r="A1578">
        <v>1513</v>
      </c>
      <c r="B1578">
        <f t="shared" si="120"/>
        <v>174.64793617759278</v>
      </c>
      <c r="C1578">
        <f t="shared" si="121"/>
        <v>30501.901611092522</v>
      </c>
      <c r="D1578">
        <v>41062</v>
      </c>
      <c r="E1578">
        <f t="shared" si="122"/>
        <v>4.1062000000000003</v>
      </c>
      <c r="F1578">
        <f t="shared" si="123"/>
        <v>0.72634401664932779</v>
      </c>
      <c r="G1578">
        <f t="shared" si="124"/>
        <v>0.52757563052227896</v>
      </c>
    </row>
    <row r="1579" spans="1:7" x14ac:dyDescent="0.35">
      <c r="A1579">
        <v>1513</v>
      </c>
      <c r="B1579">
        <f t="shared" si="120"/>
        <v>174.64793617759278</v>
      </c>
      <c r="C1579">
        <f t="shared" si="121"/>
        <v>30501.901611092522</v>
      </c>
      <c r="D1579">
        <v>42674</v>
      </c>
      <c r="E1579">
        <f t="shared" si="122"/>
        <v>4.2674000000000003</v>
      </c>
      <c r="F1579">
        <f t="shared" si="123"/>
        <v>0.8875440166493278</v>
      </c>
      <c r="G1579">
        <f t="shared" si="124"/>
        <v>0.78773438149002228</v>
      </c>
    </row>
    <row r="1580" spans="1:7" x14ac:dyDescent="0.35">
      <c r="A1580">
        <v>1513</v>
      </c>
      <c r="B1580">
        <f t="shared" si="120"/>
        <v>174.64793617759278</v>
      </c>
      <c r="C1580">
        <f t="shared" si="121"/>
        <v>30501.901611092522</v>
      </c>
      <c r="D1580">
        <v>44287</v>
      </c>
      <c r="E1580">
        <f t="shared" si="122"/>
        <v>4.4287000000000001</v>
      </c>
      <c r="F1580">
        <f t="shared" si="123"/>
        <v>1.0488440166493276</v>
      </c>
      <c r="G1580">
        <f t="shared" si="124"/>
        <v>1.1000737712610948</v>
      </c>
    </row>
    <row r="1581" spans="1:7" x14ac:dyDescent="0.35">
      <c r="A1581">
        <v>1181</v>
      </c>
      <c r="B1581">
        <f t="shared" si="120"/>
        <v>-157.35206382240722</v>
      </c>
      <c r="C1581">
        <f t="shared" si="121"/>
        <v>24759.671989170914</v>
      </c>
      <c r="D1581">
        <v>16468</v>
      </c>
      <c r="E1581">
        <f t="shared" si="122"/>
        <v>1.6468</v>
      </c>
      <c r="F1581">
        <f t="shared" si="123"/>
        <v>-1.7330559833506725</v>
      </c>
      <c r="G1581">
        <f t="shared" si="124"/>
        <v>3.0034830414275664</v>
      </c>
    </row>
    <row r="1582" spans="1:7" x14ac:dyDescent="0.35">
      <c r="A1582">
        <v>1181</v>
      </c>
      <c r="B1582">
        <f t="shared" si="120"/>
        <v>-157.35206382240722</v>
      </c>
      <c r="C1582">
        <f t="shared" si="121"/>
        <v>24759.671989170914</v>
      </c>
      <c r="D1582">
        <v>16354</v>
      </c>
      <c r="E1582">
        <f t="shared" si="122"/>
        <v>1.6354</v>
      </c>
      <c r="F1582">
        <f t="shared" si="123"/>
        <v>-1.7444559833506725</v>
      </c>
      <c r="G1582">
        <f t="shared" si="124"/>
        <v>3.0431266778479618</v>
      </c>
    </row>
    <row r="1583" spans="1:7" x14ac:dyDescent="0.35">
      <c r="A1583">
        <v>1181</v>
      </c>
      <c r="B1583">
        <f t="shared" si="120"/>
        <v>-157.35206382240722</v>
      </c>
      <c r="C1583">
        <f t="shared" si="121"/>
        <v>24759.671989170914</v>
      </c>
      <c r="D1583">
        <v>14905</v>
      </c>
      <c r="E1583">
        <f t="shared" si="122"/>
        <v>1.4904999999999999</v>
      </c>
      <c r="F1583">
        <f t="shared" si="123"/>
        <v>-1.8893559833506726</v>
      </c>
      <c r="G1583">
        <f t="shared" si="124"/>
        <v>3.5696660318229867</v>
      </c>
    </row>
    <row r="1584" spans="1:7" x14ac:dyDescent="0.35">
      <c r="A1584">
        <v>1181</v>
      </c>
      <c r="B1584">
        <f t="shared" si="120"/>
        <v>-157.35206382240722</v>
      </c>
      <c r="C1584">
        <f t="shared" si="121"/>
        <v>24759.671989170914</v>
      </c>
      <c r="D1584">
        <v>17866</v>
      </c>
      <c r="E1584">
        <f t="shared" si="122"/>
        <v>1.7866</v>
      </c>
      <c r="F1584">
        <f t="shared" si="123"/>
        <v>-1.5932559833506725</v>
      </c>
      <c r="G1584">
        <f t="shared" si="124"/>
        <v>2.5384646284827186</v>
      </c>
    </row>
    <row r="1585" spans="1:7" x14ac:dyDescent="0.35">
      <c r="A1585">
        <v>1181</v>
      </c>
      <c r="B1585">
        <f t="shared" si="120"/>
        <v>-157.35206382240722</v>
      </c>
      <c r="C1585">
        <f t="shared" si="121"/>
        <v>24759.671989170914</v>
      </c>
      <c r="D1585">
        <v>14903</v>
      </c>
      <c r="E1585">
        <f t="shared" si="122"/>
        <v>1.4903</v>
      </c>
      <c r="F1585">
        <f t="shared" si="123"/>
        <v>-1.8895559833506725</v>
      </c>
      <c r="G1585">
        <f t="shared" si="124"/>
        <v>3.5704218142163269</v>
      </c>
    </row>
    <row r="1586" spans="1:7" x14ac:dyDescent="0.35">
      <c r="A1586">
        <v>1181</v>
      </c>
      <c r="B1586">
        <f t="shared" si="120"/>
        <v>-157.35206382240722</v>
      </c>
      <c r="C1586">
        <f t="shared" si="121"/>
        <v>24759.671989170914</v>
      </c>
      <c r="D1586">
        <v>19237</v>
      </c>
      <c r="E1586">
        <f t="shared" si="122"/>
        <v>1.9237</v>
      </c>
      <c r="F1586">
        <f t="shared" si="123"/>
        <v>-1.4561559833506725</v>
      </c>
      <c r="G1586">
        <f t="shared" si="124"/>
        <v>2.1203902478479639</v>
      </c>
    </row>
    <row r="1587" spans="1:7" x14ac:dyDescent="0.35">
      <c r="A1587">
        <v>1181</v>
      </c>
      <c r="B1587">
        <f t="shared" si="120"/>
        <v>-157.35206382240722</v>
      </c>
      <c r="C1587">
        <f t="shared" si="121"/>
        <v>24759.671989170914</v>
      </c>
      <c r="D1587">
        <v>13046</v>
      </c>
      <c r="E1587">
        <f t="shared" si="122"/>
        <v>1.3046</v>
      </c>
      <c r="F1587">
        <f t="shared" si="123"/>
        <v>-2.0752559833506723</v>
      </c>
      <c r="G1587">
        <f t="shared" si="124"/>
        <v>4.3066873964327659</v>
      </c>
    </row>
    <row r="1588" spans="1:7" x14ac:dyDescent="0.35">
      <c r="A1588">
        <v>1181</v>
      </c>
      <c r="B1588">
        <f t="shared" si="120"/>
        <v>-157.35206382240722</v>
      </c>
      <c r="C1588">
        <f t="shared" si="121"/>
        <v>24759.671989170914</v>
      </c>
      <c r="D1588">
        <v>16834</v>
      </c>
      <c r="E1588">
        <f t="shared" si="122"/>
        <v>1.6834</v>
      </c>
      <c r="F1588">
        <f t="shared" si="123"/>
        <v>-1.6964559833506725</v>
      </c>
      <c r="G1588">
        <f t="shared" si="124"/>
        <v>2.877962903446297</v>
      </c>
    </row>
    <row r="1589" spans="1:7" x14ac:dyDescent="0.35">
      <c r="A1589">
        <v>1181</v>
      </c>
      <c r="B1589">
        <f t="shared" si="120"/>
        <v>-157.35206382240722</v>
      </c>
      <c r="C1589">
        <f t="shared" si="121"/>
        <v>24759.671989170914</v>
      </c>
      <c r="D1589">
        <v>15195</v>
      </c>
      <c r="E1589">
        <f t="shared" si="122"/>
        <v>1.5195000000000001</v>
      </c>
      <c r="F1589">
        <f t="shared" si="123"/>
        <v>-1.8603559833506724</v>
      </c>
      <c r="G1589">
        <f t="shared" si="124"/>
        <v>3.4609243847886475</v>
      </c>
    </row>
    <row r="1590" spans="1:7" x14ac:dyDescent="0.35">
      <c r="A1590">
        <v>1181</v>
      </c>
      <c r="B1590">
        <f t="shared" si="120"/>
        <v>-157.35206382240722</v>
      </c>
      <c r="C1590">
        <f t="shared" si="121"/>
        <v>24759.671989170914</v>
      </c>
      <c r="D1590">
        <v>15635</v>
      </c>
      <c r="E1590">
        <f t="shared" si="122"/>
        <v>1.5634999999999999</v>
      </c>
      <c r="F1590">
        <f t="shared" si="123"/>
        <v>-1.8163559833506726</v>
      </c>
      <c r="G1590">
        <f t="shared" si="124"/>
        <v>3.2991490582537888</v>
      </c>
    </row>
    <row r="1591" spans="1:7" x14ac:dyDescent="0.35">
      <c r="A1591">
        <v>1181</v>
      </c>
      <c r="B1591">
        <f t="shared" si="120"/>
        <v>-157.35206382240722</v>
      </c>
      <c r="C1591">
        <f t="shared" si="121"/>
        <v>24759.671989170914</v>
      </c>
      <c r="D1591">
        <v>17619</v>
      </c>
      <c r="E1591">
        <f t="shared" si="122"/>
        <v>1.7619</v>
      </c>
      <c r="F1591">
        <f t="shared" si="123"/>
        <v>-1.6179559833506725</v>
      </c>
      <c r="G1591">
        <f t="shared" si="124"/>
        <v>2.6177815640602415</v>
      </c>
    </row>
    <row r="1592" spans="1:7" x14ac:dyDescent="0.35">
      <c r="A1592">
        <v>1181</v>
      </c>
      <c r="B1592">
        <f t="shared" si="120"/>
        <v>-157.35206382240722</v>
      </c>
      <c r="C1592">
        <f t="shared" si="121"/>
        <v>24759.671989170914</v>
      </c>
      <c r="D1592">
        <v>16273</v>
      </c>
      <c r="E1592">
        <f t="shared" si="122"/>
        <v>1.6273</v>
      </c>
      <c r="F1592">
        <f t="shared" si="123"/>
        <v>-1.7525559833506725</v>
      </c>
      <c r="G1592">
        <f t="shared" si="124"/>
        <v>3.0714524747782428</v>
      </c>
    </row>
    <row r="1593" spans="1:7" x14ac:dyDescent="0.35">
      <c r="A1593">
        <v>1181</v>
      </c>
      <c r="B1593">
        <f t="shared" si="120"/>
        <v>-157.35206382240722</v>
      </c>
      <c r="C1593">
        <f t="shared" si="121"/>
        <v>24759.671989170914</v>
      </c>
      <c r="D1593">
        <v>16409</v>
      </c>
      <c r="E1593">
        <f t="shared" si="122"/>
        <v>1.6409</v>
      </c>
      <c r="F1593">
        <f t="shared" si="123"/>
        <v>-1.7389559833506725</v>
      </c>
      <c r="G1593">
        <f t="shared" si="124"/>
        <v>3.0239679120311043</v>
      </c>
    </row>
    <row r="1594" spans="1:7" x14ac:dyDescent="0.35">
      <c r="A1594">
        <v>1181</v>
      </c>
      <c r="B1594">
        <f t="shared" si="120"/>
        <v>-157.35206382240722</v>
      </c>
      <c r="C1594">
        <f t="shared" si="121"/>
        <v>24759.671989170914</v>
      </c>
      <c r="D1594">
        <v>20279</v>
      </c>
      <c r="E1594">
        <f t="shared" si="122"/>
        <v>2.0278999999999998</v>
      </c>
      <c r="F1594">
        <f t="shared" si="123"/>
        <v>-1.3519559833506727</v>
      </c>
      <c r="G1594">
        <f t="shared" si="124"/>
        <v>1.8277849809176843</v>
      </c>
    </row>
    <row r="1595" spans="1:7" x14ac:dyDescent="0.35">
      <c r="A1595">
        <v>1181</v>
      </c>
      <c r="B1595">
        <f t="shared" si="120"/>
        <v>-157.35206382240722</v>
      </c>
      <c r="C1595">
        <f t="shared" si="121"/>
        <v>24759.671989170914</v>
      </c>
      <c r="D1595">
        <v>16451</v>
      </c>
      <c r="E1595">
        <f t="shared" si="122"/>
        <v>1.6451</v>
      </c>
      <c r="F1595">
        <f t="shared" si="123"/>
        <v>-1.7347559833506725</v>
      </c>
      <c r="G1595">
        <f t="shared" si="124"/>
        <v>3.0093783217709587</v>
      </c>
    </row>
    <row r="1596" spans="1:7" x14ac:dyDescent="0.35">
      <c r="A1596">
        <v>1181</v>
      </c>
      <c r="B1596">
        <f t="shared" si="120"/>
        <v>-157.35206382240722</v>
      </c>
      <c r="C1596">
        <f t="shared" si="121"/>
        <v>24759.671989170914</v>
      </c>
      <c r="D1596">
        <v>18576</v>
      </c>
      <c r="E1596">
        <f t="shared" si="122"/>
        <v>1.8575999999999999</v>
      </c>
      <c r="F1596">
        <f t="shared" si="123"/>
        <v>-1.5222559833506726</v>
      </c>
      <c r="G1596">
        <f t="shared" si="124"/>
        <v>2.317263278846923</v>
      </c>
    </row>
    <row r="1597" spans="1:7" x14ac:dyDescent="0.35">
      <c r="A1597">
        <v>1181</v>
      </c>
      <c r="B1597">
        <f t="shared" si="120"/>
        <v>-157.35206382240722</v>
      </c>
      <c r="C1597">
        <f t="shared" si="121"/>
        <v>24759.671989170914</v>
      </c>
      <c r="D1597">
        <v>16425</v>
      </c>
      <c r="E1597">
        <f t="shared" si="122"/>
        <v>1.6425000000000001</v>
      </c>
      <c r="F1597">
        <f t="shared" si="123"/>
        <v>-1.7373559833506724</v>
      </c>
      <c r="G1597">
        <f t="shared" si="124"/>
        <v>3.018405812884382</v>
      </c>
    </row>
    <row r="1598" spans="1:7" x14ac:dyDescent="0.35">
      <c r="A1598">
        <v>1181</v>
      </c>
      <c r="B1598">
        <f t="shared" si="120"/>
        <v>-157.35206382240722</v>
      </c>
      <c r="C1598">
        <f t="shared" si="121"/>
        <v>24759.671989170914</v>
      </c>
      <c r="D1598">
        <v>11681</v>
      </c>
      <c r="E1598">
        <f t="shared" si="122"/>
        <v>1.1680999999999999</v>
      </c>
      <c r="F1598">
        <f t="shared" si="123"/>
        <v>-2.2117559833506726</v>
      </c>
      <c r="G1598">
        <f t="shared" si="124"/>
        <v>4.891864529887501</v>
      </c>
    </row>
    <row r="1599" spans="1:7" x14ac:dyDescent="0.35">
      <c r="A1599">
        <v>1181</v>
      </c>
      <c r="B1599">
        <f t="shared" si="120"/>
        <v>-157.35206382240722</v>
      </c>
      <c r="C1599">
        <f t="shared" si="121"/>
        <v>24759.671989170914</v>
      </c>
      <c r="D1599">
        <v>8424</v>
      </c>
      <c r="E1599">
        <f t="shared" si="122"/>
        <v>0.84240000000000004</v>
      </c>
      <c r="F1599">
        <f t="shared" si="123"/>
        <v>-2.5374559833506725</v>
      </c>
      <c r="G1599">
        <f t="shared" si="124"/>
        <v>6.4386828674421279</v>
      </c>
    </row>
    <row r="1600" spans="1:7" x14ac:dyDescent="0.35">
      <c r="A1600">
        <v>1181</v>
      </c>
      <c r="B1600">
        <f t="shared" si="120"/>
        <v>-157.35206382240722</v>
      </c>
      <c r="C1600">
        <f t="shared" si="121"/>
        <v>24759.671989170914</v>
      </c>
      <c r="D1600">
        <v>17576</v>
      </c>
      <c r="E1600">
        <f t="shared" si="122"/>
        <v>1.7576000000000001</v>
      </c>
      <c r="F1600">
        <f t="shared" si="123"/>
        <v>-1.6222559833506724</v>
      </c>
      <c r="G1600">
        <f t="shared" si="124"/>
        <v>2.6317144755170574</v>
      </c>
    </row>
    <row r="1601" spans="1:7" x14ac:dyDescent="0.35">
      <c r="A1601">
        <v>1181</v>
      </c>
      <c r="B1601">
        <f t="shared" si="120"/>
        <v>-157.35206382240722</v>
      </c>
      <c r="C1601">
        <f t="shared" si="121"/>
        <v>24759.671989170914</v>
      </c>
      <c r="D1601">
        <v>19481</v>
      </c>
      <c r="E1601">
        <f t="shared" si="122"/>
        <v>1.9480999999999999</v>
      </c>
      <c r="F1601">
        <f t="shared" si="123"/>
        <v>-1.4317559833506726</v>
      </c>
      <c r="G1601">
        <f t="shared" si="124"/>
        <v>2.0499251958604514</v>
      </c>
    </row>
    <row r="1602" spans="1:7" x14ac:dyDescent="0.35">
      <c r="A1602">
        <v>1181</v>
      </c>
      <c r="B1602">
        <f t="shared" si="120"/>
        <v>-157.35206382240722</v>
      </c>
      <c r="C1602">
        <f t="shared" si="121"/>
        <v>24759.671989170914</v>
      </c>
      <c r="D1602">
        <v>18200</v>
      </c>
      <c r="E1602">
        <f t="shared" si="122"/>
        <v>1.82</v>
      </c>
      <c r="F1602">
        <f t="shared" si="123"/>
        <v>-1.5598559833506724</v>
      </c>
      <c r="G1602">
        <f t="shared" si="124"/>
        <v>2.4331506887948935</v>
      </c>
    </row>
    <row r="1603" spans="1:7" x14ac:dyDescent="0.35">
      <c r="A1603">
        <v>1181</v>
      </c>
      <c r="B1603">
        <f t="shared" ref="B1603:B1666" si="125">A1603-$J$1</f>
        <v>-157.35206382240722</v>
      </c>
      <c r="C1603">
        <f t="shared" ref="C1603:C1666" si="126">B1603^2</f>
        <v>24759.671989170914</v>
      </c>
      <c r="D1603">
        <v>21259</v>
      </c>
      <c r="E1603">
        <f t="shared" ref="E1603:E1666" si="127">D1603/10000</f>
        <v>2.1259000000000001</v>
      </c>
      <c r="F1603">
        <f t="shared" ref="F1603:F1666" si="128">E1603-$J$2</f>
        <v>-1.2539559833506724</v>
      </c>
      <c r="G1603">
        <f t="shared" ref="G1603:G1666" si="129">F1603^2</f>
        <v>1.5724056081809517</v>
      </c>
    </row>
    <row r="1604" spans="1:7" x14ac:dyDescent="0.35">
      <c r="A1604">
        <v>1181</v>
      </c>
      <c r="B1604">
        <f t="shared" si="125"/>
        <v>-157.35206382240722</v>
      </c>
      <c r="C1604">
        <f t="shared" si="126"/>
        <v>24759.671989170914</v>
      </c>
      <c r="D1604">
        <v>18631</v>
      </c>
      <c r="E1604">
        <f t="shared" si="127"/>
        <v>1.8631</v>
      </c>
      <c r="F1604">
        <f t="shared" si="128"/>
        <v>-1.5167559833506725</v>
      </c>
      <c r="G1604">
        <f t="shared" si="129"/>
        <v>2.3005487130300657</v>
      </c>
    </row>
    <row r="1605" spans="1:7" x14ac:dyDescent="0.35">
      <c r="A1605">
        <v>1181</v>
      </c>
      <c r="B1605">
        <f t="shared" si="125"/>
        <v>-157.35206382240722</v>
      </c>
      <c r="C1605">
        <f t="shared" si="126"/>
        <v>24759.671989170914</v>
      </c>
      <c r="D1605">
        <v>19125</v>
      </c>
      <c r="E1605">
        <f t="shared" si="127"/>
        <v>1.9125000000000001</v>
      </c>
      <c r="F1605">
        <f t="shared" si="128"/>
        <v>-1.4673559833506724</v>
      </c>
      <c r="G1605">
        <f t="shared" si="129"/>
        <v>2.1531335818750188</v>
      </c>
    </row>
    <row r="1606" spans="1:7" x14ac:dyDescent="0.35">
      <c r="A1606">
        <v>1181</v>
      </c>
      <c r="B1606">
        <f t="shared" si="125"/>
        <v>-157.35206382240722</v>
      </c>
      <c r="C1606">
        <f t="shared" si="126"/>
        <v>24759.671989170914</v>
      </c>
      <c r="D1606">
        <v>18453</v>
      </c>
      <c r="E1606">
        <f t="shared" si="127"/>
        <v>1.8452999999999999</v>
      </c>
      <c r="F1606">
        <f t="shared" si="128"/>
        <v>-1.5345559833506726</v>
      </c>
      <c r="G1606">
        <f t="shared" si="129"/>
        <v>2.3548620660373496</v>
      </c>
    </row>
    <row r="1607" spans="1:7" x14ac:dyDescent="0.35">
      <c r="A1607">
        <v>1181</v>
      </c>
      <c r="B1607">
        <f t="shared" si="125"/>
        <v>-157.35206382240722</v>
      </c>
      <c r="C1607">
        <f t="shared" si="126"/>
        <v>24759.671989170914</v>
      </c>
      <c r="D1607">
        <v>19174</v>
      </c>
      <c r="E1607">
        <f t="shared" si="127"/>
        <v>1.9174</v>
      </c>
      <c r="F1607">
        <f t="shared" si="128"/>
        <v>-1.4624559833506725</v>
      </c>
      <c r="G1607">
        <f t="shared" si="129"/>
        <v>2.1387775032381824</v>
      </c>
    </row>
    <row r="1608" spans="1:7" x14ac:dyDescent="0.35">
      <c r="A1608">
        <v>1181</v>
      </c>
      <c r="B1608">
        <f t="shared" si="125"/>
        <v>-157.35206382240722</v>
      </c>
      <c r="C1608">
        <f t="shared" si="126"/>
        <v>24759.671989170914</v>
      </c>
      <c r="D1608">
        <v>19585</v>
      </c>
      <c r="E1608">
        <f t="shared" si="127"/>
        <v>1.9584999999999999</v>
      </c>
      <c r="F1608">
        <f t="shared" si="128"/>
        <v>-1.4213559833506726</v>
      </c>
      <c r="G1608">
        <f t="shared" si="129"/>
        <v>2.0202528314067574</v>
      </c>
    </row>
    <row r="1609" spans="1:7" x14ac:dyDescent="0.35">
      <c r="A1609">
        <v>1181</v>
      </c>
      <c r="B1609">
        <f t="shared" si="125"/>
        <v>-157.35206382240722</v>
      </c>
      <c r="C1609">
        <f t="shared" si="126"/>
        <v>24759.671989170914</v>
      </c>
      <c r="D1609">
        <v>16946</v>
      </c>
      <c r="E1609">
        <f t="shared" si="127"/>
        <v>1.6946000000000001</v>
      </c>
      <c r="F1609">
        <f t="shared" si="128"/>
        <v>-1.6852559833506724</v>
      </c>
      <c r="G1609">
        <f t="shared" si="129"/>
        <v>2.8400877294192419</v>
      </c>
    </row>
    <row r="1610" spans="1:7" x14ac:dyDescent="0.35">
      <c r="A1610">
        <v>1181</v>
      </c>
      <c r="B1610">
        <f t="shared" si="125"/>
        <v>-157.35206382240722</v>
      </c>
      <c r="C1610">
        <f t="shared" si="126"/>
        <v>24759.671989170914</v>
      </c>
      <c r="D1610">
        <v>15604</v>
      </c>
      <c r="E1610">
        <f t="shared" si="127"/>
        <v>1.5604</v>
      </c>
      <c r="F1610">
        <f t="shared" si="128"/>
        <v>-1.8194559833506725</v>
      </c>
      <c r="G1610">
        <f t="shared" si="129"/>
        <v>3.3104200753505628</v>
      </c>
    </row>
    <row r="1611" spans="1:7" x14ac:dyDescent="0.35">
      <c r="A1611">
        <v>2875</v>
      </c>
      <c r="B1611">
        <f t="shared" si="125"/>
        <v>1536.6479361775928</v>
      </c>
      <c r="C1611">
        <f t="shared" si="126"/>
        <v>2361286.8797588553</v>
      </c>
      <c r="D1611">
        <v>26648</v>
      </c>
      <c r="E1611">
        <f t="shared" si="127"/>
        <v>2.6648000000000001</v>
      </c>
      <c r="F1611">
        <f t="shared" si="128"/>
        <v>-0.71505598335067244</v>
      </c>
      <c r="G1611">
        <f t="shared" si="129"/>
        <v>0.51130505932559711</v>
      </c>
    </row>
    <row r="1612" spans="1:7" x14ac:dyDescent="0.35">
      <c r="A1612">
        <v>2875</v>
      </c>
      <c r="B1612">
        <f t="shared" si="125"/>
        <v>1536.6479361775928</v>
      </c>
      <c r="C1612">
        <f t="shared" si="126"/>
        <v>2361286.8797588553</v>
      </c>
      <c r="D1612">
        <v>26399</v>
      </c>
      <c r="E1612">
        <f t="shared" si="127"/>
        <v>2.6398999999999999</v>
      </c>
      <c r="F1612">
        <f t="shared" si="128"/>
        <v>-0.73995598335067259</v>
      </c>
      <c r="G1612">
        <f t="shared" si="129"/>
        <v>0.5475348572964609</v>
      </c>
    </row>
    <row r="1613" spans="1:7" x14ac:dyDescent="0.35">
      <c r="A1613">
        <v>2875</v>
      </c>
      <c r="B1613">
        <f t="shared" si="125"/>
        <v>1536.6479361775928</v>
      </c>
      <c r="C1613">
        <f t="shared" si="126"/>
        <v>2361286.8797588553</v>
      </c>
      <c r="D1613">
        <v>24686</v>
      </c>
      <c r="E1613">
        <f t="shared" si="127"/>
        <v>2.4685999999999999</v>
      </c>
      <c r="F1613">
        <f t="shared" si="128"/>
        <v>-0.91125598335067259</v>
      </c>
      <c r="G1613">
        <f t="shared" si="129"/>
        <v>0.83038746719240131</v>
      </c>
    </row>
    <row r="1614" spans="1:7" x14ac:dyDescent="0.35">
      <c r="A1614">
        <v>2875</v>
      </c>
      <c r="B1614">
        <f t="shared" si="125"/>
        <v>1536.6479361775928</v>
      </c>
      <c r="C1614">
        <f t="shared" si="126"/>
        <v>2361286.8797588553</v>
      </c>
      <c r="D1614">
        <v>26251</v>
      </c>
      <c r="E1614">
        <f t="shared" si="127"/>
        <v>2.6251000000000002</v>
      </c>
      <c r="F1614">
        <f t="shared" si="128"/>
        <v>-0.75475598335067229</v>
      </c>
      <c r="G1614">
        <f t="shared" si="129"/>
        <v>0.56965659440364036</v>
      </c>
    </row>
    <row r="1615" spans="1:7" x14ac:dyDescent="0.35">
      <c r="A1615">
        <v>2875</v>
      </c>
      <c r="B1615">
        <f t="shared" si="125"/>
        <v>1536.6479361775928</v>
      </c>
      <c r="C1615">
        <f t="shared" si="126"/>
        <v>2361286.8797588553</v>
      </c>
      <c r="D1615">
        <v>27694</v>
      </c>
      <c r="E1615">
        <f t="shared" si="127"/>
        <v>2.7694000000000001</v>
      </c>
      <c r="F1615">
        <f t="shared" si="128"/>
        <v>-0.61045598335067242</v>
      </c>
      <c r="G1615">
        <f t="shared" si="129"/>
        <v>0.37265650760863644</v>
      </c>
    </row>
    <row r="1616" spans="1:7" x14ac:dyDescent="0.35">
      <c r="A1616">
        <v>2875</v>
      </c>
      <c r="B1616">
        <f t="shared" si="125"/>
        <v>1536.6479361775928</v>
      </c>
      <c r="C1616">
        <f t="shared" si="126"/>
        <v>2361286.8797588553</v>
      </c>
      <c r="D1616">
        <v>28178</v>
      </c>
      <c r="E1616">
        <f t="shared" si="127"/>
        <v>2.8178000000000001</v>
      </c>
      <c r="F1616">
        <f t="shared" si="128"/>
        <v>-0.56205598335067242</v>
      </c>
      <c r="G1616">
        <f t="shared" si="129"/>
        <v>0.31590692842029133</v>
      </c>
    </row>
    <row r="1617" spans="1:7" x14ac:dyDescent="0.35">
      <c r="A1617">
        <v>2875</v>
      </c>
      <c r="B1617">
        <f t="shared" si="125"/>
        <v>1536.6479361775928</v>
      </c>
      <c r="C1617">
        <f t="shared" si="126"/>
        <v>2361286.8797588553</v>
      </c>
      <c r="D1617">
        <v>29918</v>
      </c>
      <c r="E1617">
        <f t="shared" si="127"/>
        <v>2.9918</v>
      </c>
      <c r="F1617">
        <f t="shared" si="128"/>
        <v>-0.38805598335067248</v>
      </c>
      <c r="G1617">
        <f t="shared" si="129"/>
        <v>0.1505874462142574</v>
      </c>
    </row>
    <row r="1618" spans="1:7" x14ac:dyDescent="0.35">
      <c r="A1618">
        <v>2875</v>
      </c>
      <c r="B1618">
        <f t="shared" si="125"/>
        <v>1536.6479361775928</v>
      </c>
      <c r="C1618">
        <f t="shared" si="126"/>
        <v>2361286.8797588553</v>
      </c>
      <c r="D1618">
        <v>30348</v>
      </c>
      <c r="E1618">
        <f t="shared" si="127"/>
        <v>3.0348000000000002</v>
      </c>
      <c r="F1618">
        <f t="shared" si="128"/>
        <v>-0.34505598335067234</v>
      </c>
      <c r="G1618">
        <f t="shared" si="129"/>
        <v>0.11906363164609947</v>
      </c>
    </row>
    <row r="1619" spans="1:7" x14ac:dyDescent="0.35">
      <c r="A1619">
        <v>2875</v>
      </c>
      <c r="B1619">
        <f t="shared" si="125"/>
        <v>1536.6479361775928</v>
      </c>
      <c r="C1619">
        <f t="shared" si="126"/>
        <v>2361286.8797588553</v>
      </c>
      <c r="D1619">
        <v>30614</v>
      </c>
      <c r="E1619">
        <f t="shared" si="127"/>
        <v>3.0613999999999999</v>
      </c>
      <c r="F1619">
        <f t="shared" si="128"/>
        <v>-0.3184559833506726</v>
      </c>
      <c r="G1619">
        <f t="shared" si="129"/>
        <v>0.10141421333184386</v>
      </c>
    </row>
    <row r="1620" spans="1:7" x14ac:dyDescent="0.35">
      <c r="A1620">
        <v>2875</v>
      </c>
      <c r="B1620">
        <f t="shared" si="125"/>
        <v>1536.6479361775928</v>
      </c>
      <c r="C1620">
        <f t="shared" si="126"/>
        <v>2361286.8797588553</v>
      </c>
      <c r="D1620">
        <v>31619</v>
      </c>
      <c r="E1620">
        <f t="shared" si="127"/>
        <v>3.1619000000000002</v>
      </c>
      <c r="F1620">
        <f t="shared" si="128"/>
        <v>-0.21795598335067234</v>
      </c>
      <c r="G1620">
        <f t="shared" si="129"/>
        <v>4.7504810678358558E-2</v>
      </c>
    </row>
    <row r="1621" spans="1:7" x14ac:dyDescent="0.35">
      <c r="A1621">
        <v>2875</v>
      </c>
      <c r="B1621">
        <f t="shared" si="125"/>
        <v>1536.6479361775928</v>
      </c>
      <c r="C1621">
        <f t="shared" si="126"/>
        <v>2361286.8797588553</v>
      </c>
      <c r="D1621">
        <v>32510</v>
      </c>
      <c r="E1621">
        <f t="shared" si="127"/>
        <v>3.2509999999999999</v>
      </c>
      <c r="F1621">
        <f t="shared" si="128"/>
        <v>-0.12885598335067261</v>
      </c>
      <c r="G1621">
        <f t="shared" si="129"/>
        <v>1.6603864445268818E-2</v>
      </c>
    </row>
    <row r="1622" spans="1:7" x14ac:dyDescent="0.35">
      <c r="A1622">
        <v>2875</v>
      </c>
      <c r="B1622">
        <f t="shared" si="125"/>
        <v>1536.6479361775928</v>
      </c>
      <c r="C1622">
        <f t="shared" si="126"/>
        <v>2361286.8797588553</v>
      </c>
      <c r="D1622">
        <v>30676</v>
      </c>
      <c r="E1622">
        <f t="shared" si="127"/>
        <v>3.0676000000000001</v>
      </c>
      <c r="F1622">
        <f t="shared" si="128"/>
        <v>-0.31225598335067239</v>
      </c>
      <c r="G1622">
        <f t="shared" si="129"/>
        <v>9.7503799138295391E-2</v>
      </c>
    </row>
    <row r="1623" spans="1:7" x14ac:dyDescent="0.35">
      <c r="A1623">
        <v>2875</v>
      </c>
      <c r="B1623">
        <f t="shared" si="125"/>
        <v>1536.6479361775928</v>
      </c>
      <c r="C1623">
        <f t="shared" si="126"/>
        <v>2361286.8797588553</v>
      </c>
      <c r="D1623">
        <v>28829</v>
      </c>
      <c r="E1623">
        <f t="shared" si="127"/>
        <v>2.8828999999999998</v>
      </c>
      <c r="F1623">
        <f t="shared" si="128"/>
        <v>-0.4969559833506727</v>
      </c>
      <c r="G1623">
        <f t="shared" si="129"/>
        <v>0.24696524938803407</v>
      </c>
    </row>
    <row r="1624" spans="1:7" x14ac:dyDescent="0.35">
      <c r="A1624">
        <v>2875</v>
      </c>
      <c r="B1624">
        <f t="shared" si="125"/>
        <v>1536.6479361775928</v>
      </c>
      <c r="C1624">
        <f t="shared" si="126"/>
        <v>2361286.8797588553</v>
      </c>
      <c r="D1624">
        <v>29415</v>
      </c>
      <c r="E1624">
        <f t="shared" si="127"/>
        <v>2.9415</v>
      </c>
      <c r="F1624">
        <f t="shared" si="128"/>
        <v>-0.4383559833506725</v>
      </c>
      <c r="G1624">
        <f t="shared" si="129"/>
        <v>0.19215596813933505</v>
      </c>
    </row>
    <row r="1625" spans="1:7" x14ac:dyDescent="0.35">
      <c r="A1625">
        <v>2875</v>
      </c>
      <c r="B1625">
        <f t="shared" si="125"/>
        <v>1536.6479361775928</v>
      </c>
      <c r="C1625">
        <f t="shared" si="126"/>
        <v>2361286.8797588553</v>
      </c>
      <c r="D1625">
        <v>30640</v>
      </c>
      <c r="E1625">
        <f t="shared" si="127"/>
        <v>3.0640000000000001</v>
      </c>
      <c r="F1625">
        <f t="shared" si="128"/>
        <v>-0.31585598335067244</v>
      </c>
      <c r="G1625">
        <f t="shared" si="129"/>
        <v>9.9765002218420273E-2</v>
      </c>
    </row>
    <row r="1626" spans="1:7" x14ac:dyDescent="0.35">
      <c r="A1626">
        <v>2875</v>
      </c>
      <c r="B1626">
        <f t="shared" si="125"/>
        <v>1536.6479361775928</v>
      </c>
      <c r="C1626">
        <f t="shared" si="126"/>
        <v>2361286.8797588553</v>
      </c>
      <c r="D1626">
        <v>31101</v>
      </c>
      <c r="E1626">
        <f t="shared" si="127"/>
        <v>3.1101000000000001</v>
      </c>
      <c r="F1626">
        <f t="shared" si="128"/>
        <v>-0.26975598335067241</v>
      </c>
      <c r="G1626">
        <f t="shared" si="129"/>
        <v>7.2768290553488255E-2</v>
      </c>
    </row>
    <row r="1627" spans="1:7" x14ac:dyDescent="0.35">
      <c r="A1627">
        <v>2875</v>
      </c>
      <c r="B1627">
        <f t="shared" si="125"/>
        <v>1536.6479361775928</v>
      </c>
      <c r="C1627">
        <f t="shared" si="126"/>
        <v>2361286.8797588553</v>
      </c>
      <c r="D1627">
        <v>32385</v>
      </c>
      <c r="E1627">
        <f t="shared" si="127"/>
        <v>3.2385000000000002</v>
      </c>
      <c r="F1627">
        <f t="shared" si="128"/>
        <v>-0.14135598335067234</v>
      </c>
      <c r="G1627">
        <f t="shared" si="129"/>
        <v>1.9981514029035558E-2</v>
      </c>
    </row>
    <row r="1628" spans="1:7" x14ac:dyDescent="0.35">
      <c r="A1628">
        <v>2875</v>
      </c>
      <c r="B1628">
        <f t="shared" si="125"/>
        <v>1536.6479361775928</v>
      </c>
      <c r="C1628">
        <f t="shared" si="126"/>
        <v>2361286.8797588553</v>
      </c>
      <c r="D1628">
        <v>33260</v>
      </c>
      <c r="E1628">
        <f t="shared" si="127"/>
        <v>3.3260000000000001</v>
      </c>
      <c r="F1628">
        <f t="shared" si="128"/>
        <v>-5.3855983350672432E-2</v>
      </c>
      <c r="G1628">
        <f t="shared" si="129"/>
        <v>2.900466942667906E-3</v>
      </c>
    </row>
    <row r="1629" spans="1:7" x14ac:dyDescent="0.35">
      <c r="A1629">
        <v>2875</v>
      </c>
      <c r="B1629">
        <f t="shared" si="125"/>
        <v>1536.6479361775928</v>
      </c>
      <c r="C1629">
        <f t="shared" si="126"/>
        <v>2361286.8797588553</v>
      </c>
      <c r="D1629">
        <v>34221</v>
      </c>
      <c r="E1629">
        <f t="shared" si="127"/>
        <v>3.4220999999999999</v>
      </c>
      <c r="F1629">
        <f t="shared" si="128"/>
        <v>4.2244016649327421E-2</v>
      </c>
      <c r="G1629">
        <f t="shared" si="129"/>
        <v>1.7845569426686522E-3</v>
      </c>
    </row>
    <row r="1630" spans="1:7" x14ac:dyDescent="0.35">
      <c r="A1630">
        <v>2875</v>
      </c>
      <c r="B1630">
        <f t="shared" si="125"/>
        <v>1536.6479361775928</v>
      </c>
      <c r="C1630">
        <f t="shared" si="126"/>
        <v>2361286.8797588553</v>
      </c>
      <c r="D1630">
        <v>33907</v>
      </c>
      <c r="E1630">
        <f t="shared" si="127"/>
        <v>3.3906999999999998</v>
      </c>
      <c r="F1630">
        <f t="shared" si="128"/>
        <v>1.0844016649327326E-2</v>
      </c>
      <c r="G1630">
        <f t="shared" si="129"/>
        <v>1.1759269709088825E-4</v>
      </c>
    </row>
    <row r="1631" spans="1:7" x14ac:dyDescent="0.35">
      <c r="A1631">
        <v>2875</v>
      </c>
      <c r="B1631">
        <f t="shared" si="125"/>
        <v>1536.6479361775928</v>
      </c>
      <c r="C1631">
        <f t="shared" si="126"/>
        <v>2361286.8797588553</v>
      </c>
      <c r="D1631">
        <v>35277</v>
      </c>
      <c r="E1631">
        <f t="shared" si="127"/>
        <v>3.5276999999999998</v>
      </c>
      <c r="F1631">
        <f t="shared" si="128"/>
        <v>0.14784401664932734</v>
      </c>
      <c r="G1631">
        <f t="shared" si="129"/>
        <v>2.185785325900658E-2</v>
      </c>
    </row>
    <row r="1632" spans="1:7" x14ac:dyDescent="0.35">
      <c r="A1632">
        <v>2875</v>
      </c>
      <c r="B1632">
        <f t="shared" si="125"/>
        <v>1536.6479361775928</v>
      </c>
      <c r="C1632">
        <f t="shared" si="126"/>
        <v>2361286.8797588553</v>
      </c>
      <c r="D1632">
        <v>35836</v>
      </c>
      <c r="E1632">
        <f t="shared" si="127"/>
        <v>3.5836000000000001</v>
      </c>
      <c r="F1632">
        <f t="shared" si="128"/>
        <v>0.20374401664932762</v>
      </c>
      <c r="G1632">
        <f t="shared" si="129"/>
        <v>4.1511624320401487E-2</v>
      </c>
    </row>
    <row r="1633" spans="1:7" x14ac:dyDescent="0.35">
      <c r="A1633">
        <v>2875</v>
      </c>
      <c r="B1633">
        <f t="shared" si="125"/>
        <v>1536.6479361775928</v>
      </c>
      <c r="C1633">
        <f t="shared" si="126"/>
        <v>2361286.8797588553</v>
      </c>
      <c r="D1633">
        <v>37205</v>
      </c>
      <c r="E1633">
        <f t="shared" si="127"/>
        <v>3.7204999999999999</v>
      </c>
      <c r="F1633">
        <f t="shared" si="128"/>
        <v>0.34064401664932742</v>
      </c>
      <c r="G1633">
        <f t="shared" si="129"/>
        <v>0.11603834607898726</v>
      </c>
    </row>
    <row r="1634" spans="1:7" x14ac:dyDescent="0.35">
      <c r="A1634">
        <v>2875</v>
      </c>
      <c r="B1634">
        <f t="shared" si="125"/>
        <v>1536.6479361775928</v>
      </c>
      <c r="C1634">
        <f t="shared" si="126"/>
        <v>2361286.8797588553</v>
      </c>
      <c r="D1634">
        <v>36361</v>
      </c>
      <c r="E1634">
        <f t="shared" si="127"/>
        <v>3.6360999999999999</v>
      </c>
      <c r="F1634">
        <f t="shared" si="128"/>
        <v>0.25624401664932739</v>
      </c>
      <c r="G1634">
        <f t="shared" si="129"/>
        <v>6.5660996068580765E-2</v>
      </c>
    </row>
    <row r="1635" spans="1:7" x14ac:dyDescent="0.35">
      <c r="A1635">
        <v>2875</v>
      </c>
      <c r="B1635">
        <f t="shared" si="125"/>
        <v>1536.6479361775928</v>
      </c>
      <c r="C1635">
        <f t="shared" si="126"/>
        <v>2361286.8797588553</v>
      </c>
      <c r="D1635">
        <v>37468</v>
      </c>
      <c r="E1635">
        <f t="shared" si="127"/>
        <v>3.7467999999999999</v>
      </c>
      <c r="F1635">
        <f t="shared" si="128"/>
        <v>0.36694401664932741</v>
      </c>
      <c r="G1635">
        <f t="shared" si="129"/>
        <v>0.13464791135474188</v>
      </c>
    </row>
    <row r="1636" spans="1:7" x14ac:dyDescent="0.35">
      <c r="A1636">
        <v>2875</v>
      </c>
      <c r="B1636">
        <f t="shared" si="125"/>
        <v>1536.6479361775928</v>
      </c>
      <c r="C1636">
        <f t="shared" si="126"/>
        <v>2361286.8797588553</v>
      </c>
      <c r="D1636">
        <v>37972</v>
      </c>
      <c r="E1636">
        <f t="shared" si="127"/>
        <v>3.7972000000000001</v>
      </c>
      <c r="F1636">
        <f t="shared" si="128"/>
        <v>0.41734401664932763</v>
      </c>
      <c r="G1636">
        <f t="shared" si="129"/>
        <v>0.17417602823299425</v>
      </c>
    </row>
    <row r="1637" spans="1:7" x14ac:dyDescent="0.35">
      <c r="A1637">
        <v>2875</v>
      </c>
      <c r="B1637">
        <f t="shared" si="125"/>
        <v>1536.6479361775928</v>
      </c>
      <c r="C1637">
        <f t="shared" si="126"/>
        <v>2361286.8797588553</v>
      </c>
      <c r="D1637">
        <v>38763</v>
      </c>
      <c r="E1637">
        <f t="shared" si="127"/>
        <v>3.8763000000000001</v>
      </c>
      <c r="F1637">
        <f t="shared" si="128"/>
        <v>0.49644401664932758</v>
      </c>
      <c r="G1637">
        <f t="shared" si="129"/>
        <v>0.24645666166691785</v>
      </c>
    </row>
    <row r="1638" spans="1:7" x14ac:dyDescent="0.35">
      <c r="A1638">
        <v>2875</v>
      </c>
      <c r="B1638">
        <f t="shared" si="125"/>
        <v>1536.6479361775928</v>
      </c>
      <c r="C1638">
        <f t="shared" si="126"/>
        <v>2361286.8797588553</v>
      </c>
      <c r="D1638">
        <v>29855</v>
      </c>
      <c r="E1638">
        <f t="shared" si="127"/>
        <v>2.9855</v>
      </c>
      <c r="F1638">
        <f t="shared" si="128"/>
        <v>-0.39435598335067246</v>
      </c>
      <c r="G1638">
        <f t="shared" si="129"/>
        <v>0.15551664160447584</v>
      </c>
    </row>
    <row r="1639" spans="1:7" x14ac:dyDescent="0.35">
      <c r="A1639">
        <v>2875</v>
      </c>
      <c r="B1639">
        <f t="shared" si="125"/>
        <v>1536.6479361775928</v>
      </c>
      <c r="C1639">
        <f t="shared" si="126"/>
        <v>2361286.8797588553</v>
      </c>
      <c r="D1639">
        <v>28551</v>
      </c>
      <c r="E1639">
        <f t="shared" si="127"/>
        <v>2.8551000000000002</v>
      </c>
      <c r="F1639">
        <f t="shared" si="128"/>
        <v>-0.52475598335067231</v>
      </c>
      <c r="G1639">
        <f t="shared" si="129"/>
        <v>0.27536884206233109</v>
      </c>
    </row>
    <row r="1640" spans="1:7" x14ac:dyDescent="0.35">
      <c r="A1640">
        <v>2875</v>
      </c>
      <c r="B1640">
        <f t="shared" si="125"/>
        <v>1536.6479361775928</v>
      </c>
      <c r="C1640">
        <f t="shared" si="126"/>
        <v>2361286.8797588553</v>
      </c>
      <c r="D1640">
        <v>31807</v>
      </c>
      <c r="E1640">
        <f t="shared" si="127"/>
        <v>3.1806999999999999</v>
      </c>
      <c r="F1640">
        <f t="shared" si="128"/>
        <v>-0.19915598335067264</v>
      </c>
      <c r="G1640">
        <f t="shared" si="129"/>
        <v>3.9663105704373397E-2</v>
      </c>
    </row>
    <row r="1641" spans="1:7" x14ac:dyDescent="0.35">
      <c r="A1641">
        <v>282</v>
      </c>
      <c r="B1641">
        <f t="shared" si="125"/>
        <v>-1056.3520638224072</v>
      </c>
      <c r="C1641">
        <f t="shared" si="126"/>
        <v>1115879.682741859</v>
      </c>
      <c r="D1641">
        <v>11569</v>
      </c>
      <c r="E1641">
        <f t="shared" si="127"/>
        <v>1.1569</v>
      </c>
      <c r="F1641">
        <f t="shared" si="128"/>
        <v>-2.2229559833506727</v>
      </c>
      <c r="G1641">
        <f t="shared" si="129"/>
        <v>4.9415333039145564</v>
      </c>
    </row>
    <row r="1642" spans="1:7" x14ac:dyDescent="0.35">
      <c r="A1642">
        <v>282</v>
      </c>
      <c r="B1642">
        <f t="shared" si="125"/>
        <v>-1056.3520638224072</v>
      </c>
      <c r="C1642">
        <f t="shared" si="126"/>
        <v>1115879.682741859</v>
      </c>
      <c r="D1642">
        <v>11812</v>
      </c>
      <c r="E1642">
        <f t="shared" si="127"/>
        <v>1.1812</v>
      </c>
      <c r="F1642">
        <f t="shared" si="128"/>
        <v>-2.1986559833506725</v>
      </c>
      <c r="G1642">
        <f t="shared" si="129"/>
        <v>4.8340881331237124</v>
      </c>
    </row>
    <row r="1643" spans="1:7" x14ac:dyDescent="0.35">
      <c r="A1643">
        <v>282</v>
      </c>
      <c r="B1643">
        <f t="shared" si="125"/>
        <v>-1056.3520638224072</v>
      </c>
      <c r="C1643">
        <f t="shared" si="126"/>
        <v>1115879.682741859</v>
      </c>
      <c r="D1643">
        <v>14506</v>
      </c>
      <c r="E1643">
        <f t="shared" si="127"/>
        <v>1.4505999999999999</v>
      </c>
      <c r="F1643">
        <f t="shared" si="128"/>
        <v>-1.9292559833506726</v>
      </c>
      <c r="G1643">
        <f t="shared" si="129"/>
        <v>3.7220286492943706</v>
      </c>
    </row>
    <row r="1644" spans="1:7" x14ac:dyDescent="0.35">
      <c r="A1644">
        <v>282</v>
      </c>
      <c r="B1644">
        <f t="shared" si="125"/>
        <v>-1056.3520638224072</v>
      </c>
      <c r="C1644">
        <f t="shared" si="126"/>
        <v>1115879.682741859</v>
      </c>
      <c r="D1644">
        <v>14626</v>
      </c>
      <c r="E1644">
        <f t="shared" si="127"/>
        <v>1.4625999999999999</v>
      </c>
      <c r="F1644">
        <f t="shared" si="128"/>
        <v>-1.9172559833506726</v>
      </c>
      <c r="G1644">
        <f t="shared" si="129"/>
        <v>3.6758705056939545</v>
      </c>
    </row>
    <row r="1645" spans="1:7" x14ac:dyDescent="0.35">
      <c r="A1645">
        <v>282</v>
      </c>
      <c r="B1645">
        <f t="shared" si="125"/>
        <v>-1056.3520638224072</v>
      </c>
      <c r="C1645">
        <f t="shared" si="126"/>
        <v>1115879.682741859</v>
      </c>
      <c r="D1645">
        <v>14360</v>
      </c>
      <c r="E1645">
        <f t="shared" si="127"/>
        <v>1.4359999999999999</v>
      </c>
      <c r="F1645">
        <f t="shared" si="128"/>
        <v>-1.9438559833506726</v>
      </c>
      <c r="G1645">
        <f t="shared" si="129"/>
        <v>3.7785760840082103</v>
      </c>
    </row>
    <row r="1646" spans="1:7" x14ac:dyDescent="0.35">
      <c r="A1646">
        <v>282</v>
      </c>
      <c r="B1646">
        <f t="shared" si="125"/>
        <v>-1056.3520638224072</v>
      </c>
      <c r="C1646">
        <f t="shared" si="126"/>
        <v>1115879.682741859</v>
      </c>
      <c r="D1646">
        <v>17274</v>
      </c>
      <c r="E1646">
        <f t="shared" si="127"/>
        <v>1.7274</v>
      </c>
      <c r="F1646">
        <f t="shared" si="128"/>
        <v>-1.6524559833506725</v>
      </c>
      <c r="G1646">
        <f t="shared" si="129"/>
        <v>2.7306107769114378</v>
      </c>
    </row>
    <row r="1647" spans="1:7" x14ac:dyDescent="0.35">
      <c r="A1647">
        <v>282</v>
      </c>
      <c r="B1647">
        <f t="shared" si="125"/>
        <v>-1056.3520638224072</v>
      </c>
      <c r="C1647">
        <f t="shared" si="126"/>
        <v>1115879.682741859</v>
      </c>
      <c r="D1647">
        <v>17583</v>
      </c>
      <c r="E1647">
        <f t="shared" si="127"/>
        <v>1.7583</v>
      </c>
      <c r="F1647">
        <f t="shared" si="128"/>
        <v>-1.6215559833506725</v>
      </c>
      <c r="G1647">
        <f t="shared" si="129"/>
        <v>2.6294438071403667</v>
      </c>
    </row>
    <row r="1648" spans="1:7" x14ac:dyDescent="0.35">
      <c r="A1648">
        <v>282</v>
      </c>
      <c r="B1648">
        <f t="shared" si="125"/>
        <v>-1056.3520638224072</v>
      </c>
      <c r="C1648">
        <f t="shared" si="126"/>
        <v>1115879.682741859</v>
      </c>
      <c r="D1648">
        <v>17350</v>
      </c>
      <c r="E1648">
        <f t="shared" si="127"/>
        <v>1.7350000000000001</v>
      </c>
      <c r="F1648">
        <f t="shared" si="128"/>
        <v>-1.6448559833506724</v>
      </c>
      <c r="G1648">
        <f t="shared" si="129"/>
        <v>2.7055512059645075</v>
      </c>
    </row>
    <row r="1649" spans="1:7" x14ac:dyDescent="0.35">
      <c r="A1649">
        <v>282</v>
      </c>
      <c r="B1649">
        <f t="shared" si="125"/>
        <v>-1056.3520638224072</v>
      </c>
      <c r="C1649">
        <f t="shared" si="126"/>
        <v>1115879.682741859</v>
      </c>
      <c r="D1649">
        <v>16518</v>
      </c>
      <c r="E1649">
        <f t="shared" si="127"/>
        <v>1.6517999999999999</v>
      </c>
      <c r="F1649">
        <f t="shared" si="128"/>
        <v>-1.7280559833506726</v>
      </c>
      <c r="G1649">
        <f t="shared" si="129"/>
        <v>2.9861774815940598</v>
      </c>
    </row>
    <row r="1650" spans="1:7" x14ac:dyDescent="0.35">
      <c r="A1650">
        <v>282</v>
      </c>
      <c r="B1650">
        <f t="shared" si="125"/>
        <v>-1056.3520638224072</v>
      </c>
      <c r="C1650">
        <f t="shared" si="126"/>
        <v>1115879.682741859</v>
      </c>
      <c r="D1650">
        <v>15484</v>
      </c>
      <c r="E1650">
        <f t="shared" si="127"/>
        <v>1.5484</v>
      </c>
      <c r="F1650">
        <f t="shared" si="128"/>
        <v>-1.8314559833506725</v>
      </c>
      <c r="G1650">
        <f t="shared" si="129"/>
        <v>3.354231018950979</v>
      </c>
    </row>
    <row r="1651" spans="1:7" x14ac:dyDescent="0.35">
      <c r="A1651">
        <v>282</v>
      </c>
      <c r="B1651">
        <f t="shared" si="125"/>
        <v>-1056.3520638224072</v>
      </c>
      <c r="C1651">
        <f t="shared" si="126"/>
        <v>1115879.682741859</v>
      </c>
      <c r="D1651">
        <v>19140</v>
      </c>
      <c r="E1651">
        <f t="shared" si="127"/>
        <v>1.9139999999999999</v>
      </c>
      <c r="F1651">
        <f t="shared" si="128"/>
        <v>-1.4658559833506726</v>
      </c>
      <c r="G1651">
        <f t="shared" si="129"/>
        <v>2.1487337639249673</v>
      </c>
    </row>
    <row r="1652" spans="1:7" x14ac:dyDescent="0.35">
      <c r="A1652">
        <v>282</v>
      </c>
      <c r="B1652">
        <f t="shared" si="125"/>
        <v>-1056.3520638224072</v>
      </c>
      <c r="C1652">
        <f t="shared" si="126"/>
        <v>1115879.682741859</v>
      </c>
      <c r="D1652">
        <v>17554</v>
      </c>
      <c r="E1652">
        <f t="shared" si="127"/>
        <v>1.7554000000000001</v>
      </c>
      <c r="F1652">
        <f t="shared" si="128"/>
        <v>-1.6244559833506724</v>
      </c>
      <c r="G1652">
        <f t="shared" si="129"/>
        <v>2.6388572418438003</v>
      </c>
    </row>
    <row r="1653" spans="1:7" x14ac:dyDescent="0.35">
      <c r="A1653">
        <v>282</v>
      </c>
      <c r="B1653">
        <f t="shared" si="125"/>
        <v>-1056.3520638224072</v>
      </c>
      <c r="C1653">
        <f t="shared" si="126"/>
        <v>1115879.682741859</v>
      </c>
      <c r="D1653">
        <v>21991</v>
      </c>
      <c r="E1653">
        <f t="shared" si="127"/>
        <v>2.1991000000000001</v>
      </c>
      <c r="F1653">
        <f t="shared" si="128"/>
        <v>-1.1807559833506724</v>
      </c>
      <c r="G1653">
        <f t="shared" si="129"/>
        <v>1.3941846922184136</v>
      </c>
    </row>
    <row r="1654" spans="1:7" x14ac:dyDescent="0.35">
      <c r="A1654">
        <v>282</v>
      </c>
      <c r="B1654">
        <f t="shared" si="125"/>
        <v>-1056.3520638224072</v>
      </c>
      <c r="C1654">
        <f t="shared" si="126"/>
        <v>1115879.682741859</v>
      </c>
      <c r="D1654">
        <v>22366</v>
      </c>
      <c r="E1654">
        <f t="shared" si="127"/>
        <v>2.2366000000000001</v>
      </c>
      <c r="F1654">
        <f t="shared" si="128"/>
        <v>-1.1432559833506724</v>
      </c>
      <c r="G1654">
        <f t="shared" si="129"/>
        <v>1.3070342434671127</v>
      </c>
    </row>
    <row r="1655" spans="1:7" x14ac:dyDescent="0.35">
      <c r="A1655">
        <v>282</v>
      </c>
      <c r="B1655">
        <f t="shared" si="125"/>
        <v>-1056.3520638224072</v>
      </c>
      <c r="C1655">
        <f t="shared" si="126"/>
        <v>1115879.682741859</v>
      </c>
      <c r="D1655">
        <v>21058</v>
      </c>
      <c r="E1655">
        <f t="shared" si="127"/>
        <v>2.1057999999999999</v>
      </c>
      <c r="F1655">
        <f t="shared" si="128"/>
        <v>-1.2740559833506726</v>
      </c>
      <c r="G1655">
        <f t="shared" si="129"/>
        <v>1.6232186487116493</v>
      </c>
    </row>
    <row r="1656" spans="1:7" x14ac:dyDescent="0.35">
      <c r="A1656">
        <v>282</v>
      </c>
      <c r="B1656">
        <f t="shared" si="125"/>
        <v>-1056.3520638224072</v>
      </c>
      <c r="C1656">
        <f t="shared" si="126"/>
        <v>1115879.682741859</v>
      </c>
      <c r="D1656">
        <v>20095</v>
      </c>
      <c r="E1656">
        <f t="shared" si="127"/>
        <v>2.0095000000000001</v>
      </c>
      <c r="F1656">
        <f t="shared" si="128"/>
        <v>-1.3703559833506724</v>
      </c>
      <c r="G1656">
        <f t="shared" si="129"/>
        <v>1.8778755211049885</v>
      </c>
    </row>
    <row r="1657" spans="1:7" x14ac:dyDescent="0.35">
      <c r="A1657">
        <v>282</v>
      </c>
      <c r="B1657">
        <f t="shared" si="125"/>
        <v>-1056.3520638224072</v>
      </c>
      <c r="C1657">
        <f t="shared" si="126"/>
        <v>1115879.682741859</v>
      </c>
      <c r="D1657">
        <v>19439</v>
      </c>
      <c r="E1657">
        <f t="shared" si="127"/>
        <v>1.9439</v>
      </c>
      <c r="F1657">
        <f t="shared" si="128"/>
        <v>-1.4359559833506725</v>
      </c>
      <c r="G1657">
        <f t="shared" si="129"/>
        <v>2.0619695861205969</v>
      </c>
    </row>
    <row r="1658" spans="1:7" x14ac:dyDescent="0.35">
      <c r="A1658">
        <v>282</v>
      </c>
      <c r="B1658">
        <f t="shared" si="125"/>
        <v>-1056.3520638224072</v>
      </c>
      <c r="C1658">
        <f t="shared" si="126"/>
        <v>1115879.682741859</v>
      </c>
      <c r="D1658">
        <v>22803</v>
      </c>
      <c r="E1658">
        <f t="shared" si="127"/>
        <v>2.2803</v>
      </c>
      <c r="F1658">
        <f t="shared" si="128"/>
        <v>-1.0995559833506725</v>
      </c>
      <c r="G1658">
        <f t="shared" si="129"/>
        <v>1.2090233605222644</v>
      </c>
    </row>
    <row r="1659" spans="1:7" x14ac:dyDescent="0.35">
      <c r="A1659">
        <v>282</v>
      </c>
      <c r="B1659">
        <f t="shared" si="125"/>
        <v>-1056.3520638224072</v>
      </c>
      <c r="C1659">
        <f t="shared" si="126"/>
        <v>1115879.682741859</v>
      </c>
      <c r="D1659">
        <v>22845</v>
      </c>
      <c r="E1659">
        <f t="shared" si="127"/>
        <v>2.2845</v>
      </c>
      <c r="F1659">
        <f t="shared" si="128"/>
        <v>-1.0953559833506725</v>
      </c>
      <c r="G1659">
        <f t="shared" si="129"/>
        <v>1.1998047302621189</v>
      </c>
    </row>
    <row r="1660" spans="1:7" x14ac:dyDescent="0.35">
      <c r="A1660">
        <v>282</v>
      </c>
      <c r="B1660">
        <f t="shared" si="125"/>
        <v>-1056.3520638224072</v>
      </c>
      <c r="C1660">
        <f t="shared" si="126"/>
        <v>1115879.682741859</v>
      </c>
      <c r="D1660">
        <v>25783</v>
      </c>
      <c r="E1660">
        <f t="shared" si="127"/>
        <v>2.5783</v>
      </c>
      <c r="F1660">
        <f t="shared" si="128"/>
        <v>-0.80155598335067246</v>
      </c>
      <c r="G1660">
        <f t="shared" si="129"/>
        <v>0.6424919944452635</v>
      </c>
    </row>
    <row r="1661" spans="1:7" x14ac:dyDescent="0.35">
      <c r="A1661">
        <v>282</v>
      </c>
      <c r="B1661">
        <f t="shared" si="125"/>
        <v>-1056.3520638224072</v>
      </c>
      <c r="C1661">
        <f t="shared" si="126"/>
        <v>1115879.682741859</v>
      </c>
      <c r="D1661">
        <v>27621</v>
      </c>
      <c r="E1661">
        <f t="shared" si="127"/>
        <v>2.7621000000000002</v>
      </c>
      <c r="F1661">
        <f t="shared" si="128"/>
        <v>-0.61775598335067228</v>
      </c>
      <c r="G1661">
        <f t="shared" si="129"/>
        <v>0.38162245496555608</v>
      </c>
    </row>
    <row r="1662" spans="1:7" x14ac:dyDescent="0.35">
      <c r="A1662">
        <v>282</v>
      </c>
      <c r="B1662">
        <f t="shared" si="125"/>
        <v>-1056.3520638224072</v>
      </c>
      <c r="C1662">
        <f t="shared" si="126"/>
        <v>1115879.682741859</v>
      </c>
      <c r="D1662">
        <v>33660</v>
      </c>
      <c r="E1662">
        <f t="shared" si="127"/>
        <v>3.3660000000000001</v>
      </c>
      <c r="F1662">
        <f t="shared" si="128"/>
        <v>-1.3855983350672396E-2</v>
      </c>
      <c r="G1662">
        <f t="shared" si="129"/>
        <v>1.9198827461411065E-4</v>
      </c>
    </row>
    <row r="1663" spans="1:7" x14ac:dyDescent="0.35">
      <c r="A1663">
        <v>282</v>
      </c>
      <c r="B1663">
        <f t="shared" si="125"/>
        <v>-1056.3520638224072</v>
      </c>
      <c r="C1663">
        <f t="shared" si="126"/>
        <v>1115879.682741859</v>
      </c>
      <c r="D1663">
        <v>30646</v>
      </c>
      <c r="E1663">
        <f t="shared" si="127"/>
        <v>3.0646</v>
      </c>
      <c r="F1663">
        <f t="shared" si="128"/>
        <v>-0.31525598335067251</v>
      </c>
      <c r="G1663">
        <f t="shared" si="129"/>
        <v>9.9386335038399498E-2</v>
      </c>
    </row>
    <row r="1664" spans="1:7" x14ac:dyDescent="0.35">
      <c r="A1664">
        <v>282</v>
      </c>
      <c r="B1664">
        <f t="shared" si="125"/>
        <v>-1056.3520638224072</v>
      </c>
      <c r="C1664">
        <f t="shared" si="126"/>
        <v>1115879.682741859</v>
      </c>
      <c r="D1664">
        <v>21044</v>
      </c>
      <c r="E1664">
        <f t="shared" si="127"/>
        <v>2.1044</v>
      </c>
      <c r="F1664">
        <f t="shared" si="128"/>
        <v>-1.2754559833506725</v>
      </c>
      <c r="G1664">
        <f t="shared" si="129"/>
        <v>1.6267879654650308</v>
      </c>
    </row>
    <row r="1665" spans="1:7" x14ac:dyDescent="0.35">
      <c r="A1665">
        <v>282</v>
      </c>
      <c r="B1665">
        <f t="shared" si="125"/>
        <v>-1056.3520638224072</v>
      </c>
      <c r="C1665">
        <f t="shared" si="126"/>
        <v>1115879.682741859</v>
      </c>
      <c r="D1665">
        <v>30210</v>
      </c>
      <c r="E1665">
        <f t="shared" si="127"/>
        <v>3.0209999999999999</v>
      </c>
      <c r="F1665">
        <f t="shared" si="128"/>
        <v>-0.35885598335067259</v>
      </c>
      <c r="G1665">
        <f t="shared" si="129"/>
        <v>0.1287776167865782</v>
      </c>
    </row>
    <row r="1666" spans="1:7" x14ac:dyDescent="0.35">
      <c r="A1666">
        <v>282</v>
      </c>
      <c r="B1666">
        <f t="shared" si="125"/>
        <v>-1056.3520638224072</v>
      </c>
      <c r="C1666">
        <f t="shared" si="126"/>
        <v>1115879.682741859</v>
      </c>
      <c r="D1666">
        <v>34486</v>
      </c>
      <c r="E1666">
        <f t="shared" si="127"/>
        <v>3.4485999999999999</v>
      </c>
      <c r="F1666">
        <f t="shared" si="128"/>
        <v>6.8744016649327389E-2</v>
      </c>
      <c r="G1666">
        <f t="shared" si="129"/>
        <v>4.7257398250830016E-3</v>
      </c>
    </row>
    <row r="1667" spans="1:7" x14ac:dyDescent="0.35">
      <c r="A1667">
        <v>282</v>
      </c>
      <c r="B1667">
        <f t="shared" ref="B1667:B1730" si="130">A1667-$J$1</f>
        <v>-1056.3520638224072</v>
      </c>
      <c r="C1667">
        <f t="shared" ref="C1667:C1730" si="131">B1667^2</f>
        <v>1115879.682741859</v>
      </c>
      <c r="D1667">
        <v>30009</v>
      </c>
      <c r="E1667">
        <f t="shared" ref="E1667:E1730" si="132">D1667/10000</f>
        <v>3.0009000000000001</v>
      </c>
      <c r="F1667">
        <f t="shared" ref="F1667:F1730" si="133">E1667-$J$2</f>
        <v>-0.37895598335067238</v>
      </c>
      <c r="G1667">
        <f t="shared" ref="G1667:G1730" si="134">F1667^2</f>
        <v>0.14360763731727508</v>
      </c>
    </row>
    <row r="1668" spans="1:7" x14ac:dyDescent="0.35">
      <c r="A1668">
        <v>282</v>
      </c>
      <c r="B1668">
        <f t="shared" si="130"/>
        <v>-1056.3520638224072</v>
      </c>
      <c r="C1668">
        <f t="shared" si="131"/>
        <v>1115879.682741859</v>
      </c>
      <c r="D1668">
        <v>31670</v>
      </c>
      <c r="E1668">
        <f t="shared" si="132"/>
        <v>3.1669999999999998</v>
      </c>
      <c r="F1668">
        <f t="shared" si="133"/>
        <v>-0.21285598335067268</v>
      </c>
      <c r="G1668">
        <f t="shared" si="134"/>
        <v>4.530766964818185E-2</v>
      </c>
    </row>
    <row r="1669" spans="1:7" x14ac:dyDescent="0.35">
      <c r="A1669">
        <v>282</v>
      </c>
      <c r="B1669">
        <f t="shared" si="130"/>
        <v>-1056.3520638224072</v>
      </c>
      <c r="C1669">
        <f t="shared" si="131"/>
        <v>1115879.682741859</v>
      </c>
      <c r="D1669">
        <v>30586</v>
      </c>
      <c r="E1669">
        <f t="shared" si="132"/>
        <v>3.0586000000000002</v>
      </c>
      <c r="F1669">
        <f t="shared" si="133"/>
        <v>-0.32125598335067229</v>
      </c>
      <c r="G1669">
        <f t="shared" si="134"/>
        <v>0.10320540683860743</v>
      </c>
    </row>
    <row r="1670" spans="1:7" x14ac:dyDescent="0.35">
      <c r="A1670">
        <v>282</v>
      </c>
      <c r="B1670">
        <f t="shared" si="130"/>
        <v>-1056.3520638224072</v>
      </c>
      <c r="C1670">
        <f t="shared" si="131"/>
        <v>1115879.682741859</v>
      </c>
      <c r="D1670">
        <v>33318</v>
      </c>
      <c r="E1670">
        <f t="shared" si="132"/>
        <v>3.3317999999999999</v>
      </c>
      <c r="F1670">
        <f t="shared" si="133"/>
        <v>-4.8055983350672626E-2</v>
      </c>
      <c r="G1670">
        <f t="shared" si="134"/>
        <v>2.3093775358001248E-3</v>
      </c>
    </row>
    <row r="1671" spans="1:7" x14ac:dyDescent="0.35">
      <c r="A1671">
        <v>92</v>
      </c>
      <c r="B1671">
        <f t="shared" si="130"/>
        <v>-1246.3520638224072</v>
      </c>
      <c r="C1671">
        <f t="shared" si="131"/>
        <v>1553393.4669943738</v>
      </c>
      <c r="D1671">
        <v>50000</v>
      </c>
      <c r="E1671">
        <f t="shared" si="132"/>
        <v>5</v>
      </c>
      <c r="F1671">
        <f t="shared" si="133"/>
        <v>1.6201440166493275</v>
      </c>
      <c r="G1671">
        <f t="shared" si="134"/>
        <v>2.6248666346846163</v>
      </c>
    </row>
    <row r="1672" spans="1:7" x14ac:dyDescent="0.35">
      <c r="A1672">
        <v>92</v>
      </c>
      <c r="B1672">
        <f t="shared" si="130"/>
        <v>-1246.3520638224072</v>
      </c>
      <c r="C1672">
        <f t="shared" si="131"/>
        <v>1553393.4669943738</v>
      </c>
      <c r="D1672">
        <v>50000</v>
      </c>
      <c r="E1672">
        <f t="shared" si="132"/>
        <v>5</v>
      </c>
      <c r="F1672">
        <f t="shared" si="133"/>
        <v>1.6201440166493275</v>
      </c>
      <c r="G1672">
        <f t="shared" si="134"/>
        <v>2.6248666346846163</v>
      </c>
    </row>
    <row r="1673" spans="1:7" x14ac:dyDescent="0.35">
      <c r="A1673">
        <v>92</v>
      </c>
      <c r="B1673">
        <f t="shared" si="130"/>
        <v>-1246.3520638224072</v>
      </c>
      <c r="C1673">
        <f t="shared" si="131"/>
        <v>1553393.4669943738</v>
      </c>
      <c r="D1673">
        <v>46856</v>
      </c>
      <c r="E1673">
        <f t="shared" si="132"/>
        <v>4.6856</v>
      </c>
      <c r="F1673">
        <f t="shared" si="133"/>
        <v>1.3057440166493275</v>
      </c>
      <c r="G1673">
        <f t="shared" si="134"/>
        <v>1.7049674370155192</v>
      </c>
    </row>
    <row r="1674" spans="1:7" x14ac:dyDescent="0.35">
      <c r="A1674">
        <v>92</v>
      </c>
      <c r="B1674">
        <f t="shared" si="130"/>
        <v>-1246.3520638224072</v>
      </c>
      <c r="C1674">
        <f t="shared" si="131"/>
        <v>1553393.4669943738</v>
      </c>
      <c r="D1674">
        <v>40342</v>
      </c>
      <c r="E1674">
        <f t="shared" si="132"/>
        <v>4.0342000000000002</v>
      </c>
      <c r="F1674">
        <f t="shared" si="133"/>
        <v>0.65434401664932773</v>
      </c>
      <c r="G1674">
        <f t="shared" si="134"/>
        <v>0.42816609212477569</v>
      </c>
    </row>
    <row r="1675" spans="1:7" x14ac:dyDescent="0.35">
      <c r="A1675">
        <v>92</v>
      </c>
      <c r="B1675">
        <f t="shared" si="130"/>
        <v>-1246.3520638224072</v>
      </c>
      <c r="C1675">
        <f t="shared" si="131"/>
        <v>1553393.4669943738</v>
      </c>
      <c r="D1675">
        <v>33307</v>
      </c>
      <c r="E1675">
        <f t="shared" si="132"/>
        <v>3.3307000000000002</v>
      </c>
      <c r="F1675">
        <f t="shared" si="133"/>
        <v>-4.9155983350672283E-2</v>
      </c>
      <c r="G1675">
        <f t="shared" si="134"/>
        <v>2.4163106991715705E-3</v>
      </c>
    </row>
    <row r="1676" spans="1:7" x14ac:dyDescent="0.35">
      <c r="A1676">
        <v>92</v>
      </c>
      <c r="B1676">
        <f t="shared" si="130"/>
        <v>-1246.3520638224072</v>
      </c>
      <c r="C1676">
        <f t="shared" si="131"/>
        <v>1553393.4669943738</v>
      </c>
      <c r="D1676">
        <v>28127</v>
      </c>
      <c r="E1676">
        <f t="shared" si="132"/>
        <v>2.8127</v>
      </c>
      <c r="F1676">
        <f t="shared" si="133"/>
        <v>-0.56715598335067252</v>
      </c>
      <c r="G1676">
        <f t="shared" si="134"/>
        <v>0.3216659094504683</v>
      </c>
    </row>
    <row r="1677" spans="1:7" x14ac:dyDescent="0.35">
      <c r="A1677">
        <v>92</v>
      </c>
      <c r="B1677">
        <f t="shared" si="130"/>
        <v>-1246.3520638224072</v>
      </c>
      <c r="C1677">
        <f t="shared" si="131"/>
        <v>1553393.4669943738</v>
      </c>
      <c r="D1677">
        <v>39870</v>
      </c>
      <c r="E1677">
        <f t="shared" si="132"/>
        <v>3.9870000000000001</v>
      </c>
      <c r="F1677">
        <f t="shared" si="133"/>
        <v>0.6071440166493276</v>
      </c>
      <c r="G1677">
        <f t="shared" si="134"/>
        <v>0.36862385695307898</v>
      </c>
    </row>
    <row r="1678" spans="1:7" x14ac:dyDescent="0.35">
      <c r="A1678">
        <v>92</v>
      </c>
      <c r="B1678">
        <f t="shared" si="130"/>
        <v>-1246.3520638224072</v>
      </c>
      <c r="C1678">
        <f t="shared" si="131"/>
        <v>1553393.4669943738</v>
      </c>
      <c r="D1678">
        <v>32860</v>
      </c>
      <c r="E1678">
        <f t="shared" si="132"/>
        <v>3.286</v>
      </c>
      <c r="F1678">
        <f t="shared" si="133"/>
        <v>-9.3855983350672467E-2</v>
      </c>
      <c r="G1678">
        <f t="shared" si="134"/>
        <v>8.8089456107217079E-3</v>
      </c>
    </row>
    <row r="1679" spans="1:7" x14ac:dyDescent="0.35">
      <c r="A1679">
        <v>92</v>
      </c>
      <c r="B1679">
        <f t="shared" si="130"/>
        <v>-1246.3520638224072</v>
      </c>
      <c r="C1679">
        <f t="shared" si="131"/>
        <v>1553393.4669943738</v>
      </c>
      <c r="D1679">
        <v>27399</v>
      </c>
      <c r="E1679">
        <f t="shared" si="132"/>
        <v>2.7399</v>
      </c>
      <c r="F1679">
        <f t="shared" si="133"/>
        <v>-0.6399559833506725</v>
      </c>
      <c r="G1679">
        <f t="shared" si="134"/>
        <v>0.40954366062632619</v>
      </c>
    </row>
    <row r="1680" spans="1:7" x14ac:dyDescent="0.35">
      <c r="A1680">
        <v>92</v>
      </c>
      <c r="B1680">
        <f t="shared" si="130"/>
        <v>-1246.3520638224072</v>
      </c>
      <c r="C1680">
        <f t="shared" si="131"/>
        <v>1553393.4669943738</v>
      </c>
      <c r="D1680">
        <v>39360</v>
      </c>
      <c r="E1680">
        <f t="shared" si="132"/>
        <v>3.9359999999999999</v>
      </c>
      <c r="F1680">
        <f t="shared" si="133"/>
        <v>0.55614401664932744</v>
      </c>
      <c r="G1680">
        <f t="shared" si="134"/>
        <v>0.30929616725484738</v>
      </c>
    </row>
    <row r="1681" spans="1:7" x14ac:dyDescent="0.35">
      <c r="A1681">
        <v>92</v>
      </c>
      <c r="B1681">
        <f t="shared" si="130"/>
        <v>-1246.3520638224072</v>
      </c>
      <c r="C1681">
        <f t="shared" si="131"/>
        <v>1553393.4669943738</v>
      </c>
      <c r="D1681">
        <v>38306</v>
      </c>
      <c r="E1681">
        <f t="shared" si="132"/>
        <v>3.8306</v>
      </c>
      <c r="F1681">
        <f t="shared" si="133"/>
        <v>0.45074401664932751</v>
      </c>
      <c r="G1681">
        <f t="shared" si="134"/>
        <v>0.20317016854516923</v>
      </c>
    </row>
    <row r="1682" spans="1:7" x14ac:dyDescent="0.35">
      <c r="A1682">
        <v>92</v>
      </c>
      <c r="B1682">
        <f t="shared" si="130"/>
        <v>-1246.3520638224072</v>
      </c>
      <c r="C1682">
        <f t="shared" si="131"/>
        <v>1553393.4669943738</v>
      </c>
      <c r="D1682">
        <v>37189</v>
      </c>
      <c r="E1682">
        <f t="shared" si="132"/>
        <v>3.7189000000000001</v>
      </c>
      <c r="F1682">
        <f t="shared" si="133"/>
        <v>0.3390440166493276</v>
      </c>
      <c r="G1682">
        <f t="shared" si="134"/>
        <v>0.11495084522570953</v>
      </c>
    </row>
    <row r="1683" spans="1:7" x14ac:dyDescent="0.35">
      <c r="A1683">
        <v>92</v>
      </c>
      <c r="B1683">
        <f t="shared" si="130"/>
        <v>-1246.3520638224072</v>
      </c>
      <c r="C1683">
        <f t="shared" si="131"/>
        <v>1553393.4669943738</v>
      </c>
      <c r="D1683">
        <v>40598</v>
      </c>
      <c r="E1683">
        <f t="shared" si="132"/>
        <v>4.0598000000000001</v>
      </c>
      <c r="F1683">
        <f t="shared" si="133"/>
        <v>0.67994401664932758</v>
      </c>
      <c r="G1683">
        <f t="shared" si="134"/>
        <v>0.46232386577722107</v>
      </c>
    </row>
    <row r="1684" spans="1:7" x14ac:dyDescent="0.35">
      <c r="A1684">
        <v>92</v>
      </c>
      <c r="B1684">
        <f t="shared" si="130"/>
        <v>-1246.3520638224072</v>
      </c>
      <c r="C1684">
        <f t="shared" si="131"/>
        <v>1553393.4669943738</v>
      </c>
      <c r="D1684">
        <v>39680</v>
      </c>
      <c r="E1684">
        <f t="shared" si="132"/>
        <v>3.968</v>
      </c>
      <c r="F1684">
        <f t="shared" si="133"/>
        <v>0.58814401664932747</v>
      </c>
      <c r="G1684">
        <f t="shared" si="134"/>
        <v>0.34591338432040442</v>
      </c>
    </row>
    <row r="1685" spans="1:7" x14ac:dyDescent="0.35">
      <c r="A1685">
        <v>92</v>
      </c>
      <c r="B1685">
        <f t="shared" si="130"/>
        <v>-1246.3520638224072</v>
      </c>
      <c r="C1685">
        <f t="shared" si="131"/>
        <v>1553393.4669943738</v>
      </c>
      <c r="D1685">
        <v>42373</v>
      </c>
      <c r="E1685">
        <f t="shared" si="132"/>
        <v>4.2373000000000003</v>
      </c>
      <c r="F1685">
        <f t="shared" si="133"/>
        <v>0.85744401664932779</v>
      </c>
      <c r="G1685">
        <f t="shared" si="134"/>
        <v>0.73521024168773275</v>
      </c>
    </row>
    <row r="1686" spans="1:7" x14ac:dyDescent="0.35">
      <c r="A1686">
        <v>92</v>
      </c>
      <c r="B1686">
        <f t="shared" si="130"/>
        <v>-1246.3520638224072</v>
      </c>
      <c r="C1686">
        <f t="shared" si="131"/>
        <v>1553393.4669943738</v>
      </c>
      <c r="D1686">
        <v>45266</v>
      </c>
      <c r="E1686">
        <f t="shared" si="132"/>
        <v>4.5266000000000002</v>
      </c>
      <c r="F1686">
        <f t="shared" si="133"/>
        <v>1.1467440166493277</v>
      </c>
      <c r="G1686">
        <f t="shared" si="134"/>
        <v>1.3150218397210336</v>
      </c>
    </row>
    <row r="1687" spans="1:7" x14ac:dyDescent="0.35">
      <c r="A1687">
        <v>92</v>
      </c>
      <c r="B1687">
        <f t="shared" si="130"/>
        <v>-1246.3520638224072</v>
      </c>
      <c r="C1687">
        <f t="shared" si="131"/>
        <v>1553393.4669943738</v>
      </c>
      <c r="D1687">
        <v>45602</v>
      </c>
      <c r="E1687">
        <f t="shared" si="132"/>
        <v>4.5602</v>
      </c>
      <c r="F1687">
        <f t="shared" si="133"/>
        <v>1.1803440166493275</v>
      </c>
      <c r="G1687">
        <f t="shared" si="134"/>
        <v>1.393211997639868</v>
      </c>
    </row>
    <row r="1688" spans="1:7" x14ac:dyDescent="0.35">
      <c r="A1688">
        <v>92</v>
      </c>
      <c r="B1688">
        <f t="shared" si="130"/>
        <v>-1246.3520638224072</v>
      </c>
      <c r="C1688">
        <f t="shared" si="131"/>
        <v>1553393.4669943738</v>
      </c>
      <c r="D1688">
        <v>46995</v>
      </c>
      <c r="E1688">
        <f t="shared" si="132"/>
        <v>4.6994999999999996</v>
      </c>
      <c r="F1688">
        <f t="shared" si="133"/>
        <v>1.3196440166493271</v>
      </c>
      <c r="G1688">
        <f t="shared" si="134"/>
        <v>1.7414603306783694</v>
      </c>
    </row>
    <row r="1689" spans="1:7" x14ac:dyDescent="0.35">
      <c r="A1689">
        <v>92</v>
      </c>
      <c r="B1689">
        <f t="shared" si="130"/>
        <v>-1246.3520638224072</v>
      </c>
      <c r="C1689">
        <f t="shared" si="131"/>
        <v>1553393.4669943738</v>
      </c>
      <c r="D1689">
        <v>38919</v>
      </c>
      <c r="E1689">
        <f t="shared" si="132"/>
        <v>3.8919000000000001</v>
      </c>
      <c r="F1689">
        <f t="shared" si="133"/>
        <v>0.51204401664932764</v>
      </c>
      <c r="G1689">
        <f t="shared" si="134"/>
        <v>0.26218907498637695</v>
      </c>
    </row>
    <row r="1690" spans="1:7" x14ac:dyDescent="0.35">
      <c r="A1690">
        <v>92</v>
      </c>
      <c r="B1690">
        <f t="shared" si="130"/>
        <v>-1246.3520638224072</v>
      </c>
      <c r="C1690">
        <f t="shared" si="131"/>
        <v>1553393.4669943738</v>
      </c>
      <c r="D1690">
        <v>44809</v>
      </c>
      <c r="E1690">
        <f t="shared" si="132"/>
        <v>4.4809000000000001</v>
      </c>
      <c r="F1690">
        <f t="shared" si="133"/>
        <v>1.1010440166493276</v>
      </c>
      <c r="G1690">
        <f t="shared" si="134"/>
        <v>1.2122979265992848</v>
      </c>
    </row>
    <row r="1691" spans="1:7" x14ac:dyDescent="0.35">
      <c r="A1691">
        <v>92</v>
      </c>
      <c r="B1691">
        <f t="shared" si="130"/>
        <v>-1246.3520638224072</v>
      </c>
      <c r="C1691">
        <f t="shared" si="131"/>
        <v>1553393.4669943738</v>
      </c>
      <c r="D1691">
        <v>47221</v>
      </c>
      <c r="E1691">
        <f t="shared" si="132"/>
        <v>4.7221000000000002</v>
      </c>
      <c r="F1691">
        <f t="shared" si="133"/>
        <v>1.3422440166493277</v>
      </c>
      <c r="G1691">
        <f t="shared" si="134"/>
        <v>1.8016190002309207</v>
      </c>
    </row>
    <row r="1692" spans="1:7" x14ac:dyDescent="0.35">
      <c r="A1692">
        <v>92</v>
      </c>
      <c r="B1692">
        <f t="shared" si="130"/>
        <v>-1246.3520638224072</v>
      </c>
      <c r="C1692">
        <f t="shared" si="131"/>
        <v>1553393.4669943738</v>
      </c>
      <c r="D1692">
        <v>47631</v>
      </c>
      <c r="E1692">
        <f t="shared" si="132"/>
        <v>4.7630999999999997</v>
      </c>
      <c r="F1692">
        <f t="shared" si="133"/>
        <v>1.3832440166493272</v>
      </c>
      <c r="G1692">
        <f t="shared" si="134"/>
        <v>1.9133640095961642</v>
      </c>
    </row>
    <row r="1693" spans="1:7" x14ac:dyDescent="0.35">
      <c r="A1693">
        <v>92</v>
      </c>
      <c r="B1693">
        <f t="shared" si="130"/>
        <v>-1246.3520638224072</v>
      </c>
      <c r="C1693">
        <f t="shared" si="131"/>
        <v>1553393.4669943738</v>
      </c>
      <c r="D1693">
        <v>39894</v>
      </c>
      <c r="E1693">
        <f t="shared" si="132"/>
        <v>3.9893999999999998</v>
      </c>
      <c r="F1693">
        <f t="shared" si="133"/>
        <v>0.60954401664932734</v>
      </c>
      <c r="G1693">
        <f t="shared" si="134"/>
        <v>0.37154390823299543</v>
      </c>
    </row>
    <row r="1694" spans="1:7" x14ac:dyDescent="0.35">
      <c r="A1694">
        <v>92</v>
      </c>
      <c r="B1694">
        <f t="shared" si="130"/>
        <v>-1246.3520638224072</v>
      </c>
      <c r="C1694">
        <f t="shared" si="131"/>
        <v>1553393.4669943738</v>
      </c>
      <c r="D1694">
        <v>52310</v>
      </c>
      <c r="E1694">
        <f t="shared" si="132"/>
        <v>5.2309999999999999</v>
      </c>
      <c r="F1694">
        <f t="shared" si="133"/>
        <v>1.8511440166493274</v>
      </c>
      <c r="G1694">
        <f t="shared" si="134"/>
        <v>3.4267341703766054</v>
      </c>
    </row>
    <row r="1695" spans="1:7" x14ac:dyDescent="0.35">
      <c r="A1695">
        <v>92</v>
      </c>
      <c r="B1695">
        <f t="shared" si="130"/>
        <v>-1246.3520638224072</v>
      </c>
      <c r="C1695">
        <f t="shared" si="131"/>
        <v>1553393.4669943738</v>
      </c>
      <c r="D1695">
        <v>50958</v>
      </c>
      <c r="E1695">
        <f t="shared" si="132"/>
        <v>5.0957999999999997</v>
      </c>
      <c r="F1695">
        <f t="shared" si="133"/>
        <v>1.7159440166493272</v>
      </c>
      <c r="G1695">
        <f t="shared" si="134"/>
        <v>2.9444638682746263</v>
      </c>
    </row>
    <row r="1696" spans="1:7" x14ac:dyDescent="0.35">
      <c r="A1696">
        <v>92</v>
      </c>
      <c r="B1696">
        <f t="shared" si="130"/>
        <v>-1246.3520638224072</v>
      </c>
      <c r="C1696">
        <f t="shared" si="131"/>
        <v>1553393.4669943738</v>
      </c>
      <c r="D1696">
        <v>49788</v>
      </c>
      <c r="E1696">
        <f t="shared" si="132"/>
        <v>4.9787999999999997</v>
      </c>
      <c r="F1696">
        <f t="shared" si="133"/>
        <v>1.5989440166493272</v>
      </c>
      <c r="G1696">
        <f t="shared" si="134"/>
        <v>2.5566219683786837</v>
      </c>
    </row>
    <row r="1697" spans="1:7" x14ac:dyDescent="0.35">
      <c r="A1697">
        <v>92</v>
      </c>
      <c r="B1697">
        <f t="shared" si="130"/>
        <v>-1246.3520638224072</v>
      </c>
      <c r="C1697">
        <f t="shared" si="131"/>
        <v>1553393.4669943738</v>
      </c>
      <c r="D1697">
        <v>49522</v>
      </c>
      <c r="E1697">
        <f t="shared" si="132"/>
        <v>4.9522000000000004</v>
      </c>
      <c r="F1697">
        <f t="shared" si="133"/>
        <v>1.5723440166493279</v>
      </c>
      <c r="G1697">
        <f t="shared" si="134"/>
        <v>2.4722657066929417</v>
      </c>
    </row>
    <row r="1698" spans="1:7" x14ac:dyDescent="0.35">
      <c r="A1698">
        <v>92</v>
      </c>
      <c r="B1698">
        <f t="shared" si="130"/>
        <v>-1246.3520638224072</v>
      </c>
      <c r="C1698">
        <f t="shared" si="131"/>
        <v>1553393.4669943738</v>
      </c>
      <c r="D1698">
        <v>51348</v>
      </c>
      <c r="E1698">
        <f t="shared" si="132"/>
        <v>5.1348000000000003</v>
      </c>
      <c r="F1698">
        <f t="shared" si="133"/>
        <v>1.7549440166493278</v>
      </c>
      <c r="G1698">
        <f t="shared" si="134"/>
        <v>3.0798285015732758</v>
      </c>
    </row>
    <row r="1699" spans="1:7" x14ac:dyDescent="0.35">
      <c r="A1699">
        <v>92</v>
      </c>
      <c r="B1699">
        <f t="shared" si="130"/>
        <v>-1246.3520638224072</v>
      </c>
      <c r="C1699">
        <f t="shared" si="131"/>
        <v>1553393.4669943738</v>
      </c>
      <c r="D1699">
        <v>51557</v>
      </c>
      <c r="E1699">
        <f t="shared" si="132"/>
        <v>5.1557000000000004</v>
      </c>
      <c r="F1699">
        <f t="shared" si="133"/>
        <v>1.7758440166493279</v>
      </c>
      <c r="G1699">
        <f t="shared" si="134"/>
        <v>3.1536219714692182</v>
      </c>
    </row>
    <row r="1700" spans="1:7" x14ac:dyDescent="0.35">
      <c r="A1700">
        <v>92</v>
      </c>
      <c r="B1700">
        <f t="shared" si="130"/>
        <v>-1246.3520638224072</v>
      </c>
      <c r="C1700">
        <f t="shared" si="131"/>
        <v>1553393.4669943738</v>
      </c>
      <c r="D1700">
        <v>52528</v>
      </c>
      <c r="E1700">
        <f t="shared" si="132"/>
        <v>5.2527999999999997</v>
      </c>
      <c r="F1700">
        <f t="shared" si="133"/>
        <v>1.8729440166493272</v>
      </c>
      <c r="G1700">
        <f t="shared" si="134"/>
        <v>3.5079192895025151</v>
      </c>
    </row>
    <row r="1701" spans="1:7" x14ac:dyDescent="0.35">
      <c r="A1701">
        <v>2041</v>
      </c>
      <c r="B1701">
        <f t="shared" si="130"/>
        <v>702.64793617759278</v>
      </c>
      <c r="C1701">
        <f t="shared" si="131"/>
        <v>493714.12221463048</v>
      </c>
      <c r="D1701">
        <v>45000</v>
      </c>
      <c r="E1701">
        <f t="shared" si="132"/>
        <v>4.5</v>
      </c>
      <c r="F1701">
        <f t="shared" si="133"/>
        <v>1.1201440166493275</v>
      </c>
      <c r="G1701">
        <f t="shared" si="134"/>
        <v>1.2547226180352888</v>
      </c>
    </row>
    <row r="1702" spans="1:7" x14ac:dyDescent="0.35">
      <c r="A1702">
        <v>2041</v>
      </c>
      <c r="B1702">
        <f t="shared" si="130"/>
        <v>702.64793617759278</v>
      </c>
      <c r="C1702">
        <f t="shared" si="131"/>
        <v>493714.12221463048</v>
      </c>
      <c r="D1702">
        <v>54688</v>
      </c>
      <c r="E1702">
        <f t="shared" si="132"/>
        <v>5.4687999999999999</v>
      </c>
      <c r="F1702">
        <f t="shared" si="133"/>
        <v>2.0889440166493274</v>
      </c>
      <c r="G1702">
        <f t="shared" si="134"/>
        <v>4.3636871046950256</v>
      </c>
    </row>
    <row r="1703" spans="1:7" x14ac:dyDescent="0.35">
      <c r="A1703">
        <v>2041</v>
      </c>
      <c r="B1703">
        <f t="shared" si="130"/>
        <v>702.64793617759278</v>
      </c>
      <c r="C1703">
        <f t="shared" si="131"/>
        <v>493714.12221463048</v>
      </c>
      <c r="D1703">
        <v>28571</v>
      </c>
      <c r="E1703">
        <f t="shared" si="132"/>
        <v>2.8571</v>
      </c>
      <c r="F1703">
        <f t="shared" si="133"/>
        <v>-0.52275598335067253</v>
      </c>
      <c r="G1703">
        <f t="shared" si="134"/>
        <v>0.27327381812892859</v>
      </c>
    </row>
    <row r="1704" spans="1:7" x14ac:dyDescent="0.35">
      <c r="A1704">
        <v>2041</v>
      </c>
      <c r="B1704">
        <f t="shared" si="130"/>
        <v>702.64793617759278</v>
      </c>
      <c r="C1704">
        <f t="shared" si="131"/>
        <v>493714.12221463048</v>
      </c>
      <c r="D1704">
        <v>40000</v>
      </c>
      <c r="E1704">
        <f t="shared" si="132"/>
        <v>4</v>
      </c>
      <c r="F1704">
        <f t="shared" si="133"/>
        <v>0.6201440166493275</v>
      </c>
      <c r="G1704">
        <f t="shared" si="134"/>
        <v>0.38457860138596139</v>
      </c>
    </row>
    <row r="1705" spans="1:7" x14ac:dyDescent="0.35">
      <c r="A1705">
        <v>2041</v>
      </c>
      <c r="B1705">
        <f t="shared" si="130"/>
        <v>702.64793617759278</v>
      </c>
      <c r="C1705">
        <f t="shared" si="131"/>
        <v>493714.12221463048</v>
      </c>
      <c r="D1705">
        <v>63333</v>
      </c>
      <c r="E1705">
        <f t="shared" si="132"/>
        <v>6.3333000000000004</v>
      </c>
      <c r="F1705">
        <f t="shared" si="133"/>
        <v>2.9534440166493279</v>
      </c>
      <c r="G1705">
        <f t="shared" si="134"/>
        <v>8.7228315594817154</v>
      </c>
    </row>
    <row r="1706" spans="1:7" x14ac:dyDescent="0.35">
      <c r="A1706">
        <v>2041</v>
      </c>
      <c r="B1706">
        <f t="shared" si="130"/>
        <v>702.64793617759278</v>
      </c>
      <c r="C1706">
        <f t="shared" si="131"/>
        <v>493714.12221463048</v>
      </c>
      <c r="D1706">
        <v>50000</v>
      </c>
      <c r="E1706">
        <f t="shared" si="132"/>
        <v>5</v>
      </c>
      <c r="F1706">
        <f t="shared" si="133"/>
        <v>1.6201440166493275</v>
      </c>
      <c r="G1706">
        <f t="shared" si="134"/>
        <v>2.6248666346846163</v>
      </c>
    </row>
    <row r="1707" spans="1:7" x14ac:dyDescent="0.35">
      <c r="A1707">
        <v>2041</v>
      </c>
      <c r="B1707">
        <f t="shared" si="130"/>
        <v>702.64793617759278</v>
      </c>
      <c r="C1707">
        <f t="shared" si="131"/>
        <v>493714.12221463048</v>
      </c>
      <c r="D1707">
        <v>50000</v>
      </c>
      <c r="E1707">
        <f t="shared" si="132"/>
        <v>5</v>
      </c>
      <c r="F1707">
        <f t="shared" si="133"/>
        <v>1.6201440166493275</v>
      </c>
      <c r="G1707">
        <f t="shared" si="134"/>
        <v>2.6248666346846163</v>
      </c>
    </row>
    <row r="1708" spans="1:7" x14ac:dyDescent="0.35">
      <c r="A1708">
        <v>2041</v>
      </c>
      <c r="B1708">
        <f t="shared" si="130"/>
        <v>702.64793617759278</v>
      </c>
      <c r="C1708">
        <f t="shared" si="131"/>
        <v>493714.12221463048</v>
      </c>
      <c r="D1708">
        <v>30688</v>
      </c>
      <c r="E1708">
        <f t="shared" si="132"/>
        <v>3.0688</v>
      </c>
      <c r="F1708">
        <f t="shared" si="133"/>
        <v>-0.31105598335067253</v>
      </c>
      <c r="G1708">
        <f t="shared" si="134"/>
        <v>9.6755824778253868E-2</v>
      </c>
    </row>
    <row r="1709" spans="1:7" x14ac:dyDescent="0.35">
      <c r="A1709">
        <v>2041</v>
      </c>
      <c r="B1709">
        <f t="shared" si="130"/>
        <v>702.64793617759278</v>
      </c>
      <c r="C1709">
        <f t="shared" si="131"/>
        <v>493714.12221463048</v>
      </c>
      <c r="D1709">
        <v>29513</v>
      </c>
      <c r="E1709">
        <f t="shared" si="132"/>
        <v>2.9512999999999998</v>
      </c>
      <c r="F1709">
        <f t="shared" si="133"/>
        <v>-0.42855598335067269</v>
      </c>
      <c r="G1709">
        <f t="shared" si="134"/>
        <v>0.18366023086566205</v>
      </c>
    </row>
    <row r="1710" spans="1:7" x14ac:dyDescent="0.35">
      <c r="A1710">
        <v>2041</v>
      </c>
      <c r="B1710">
        <f t="shared" si="130"/>
        <v>702.64793617759278</v>
      </c>
      <c r="C1710">
        <f t="shared" si="131"/>
        <v>493714.12221463048</v>
      </c>
      <c r="D1710">
        <v>28354</v>
      </c>
      <c r="E1710">
        <f t="shared" si="132"/>
        <v>2.8353999999999999</v>
      </c>
      <c r="F1710">
        <f t="shared" si="133"/>
        <v>-0.54445598335067258</v>
      </c>
      <c r="G1710">
        <f t="shared" si="134"/>
        <v>0.29643231780634788</v>
      </c>
    </row>
    <row r="1711" spans="1:7" x14ac:dyDescent="0.35">
      <c r="A1711">
        <v>2041</v>
      </c>
      <c r="B1711">
        <f t="shared" si="130"/>
        <v>702.64793617759278</v>
      </c>
      <c r="C1711">
        <f t="shared" si="131"/>
        <v>493714.12221463048</v>
      </c>
      <c r="D1711">
        <v>26333</v>
      </c>
      <c r="E1711">
        <f t="shared" si="132"/>
        <v>2.6333000000000002</v>
      </c>
      <c r="F1711">
        <f t="shared" si="133"/>
        <v>-0.7465559833506723</v>
      </c>
      <c r="G1711">
        <f t="shared" si="134"/>
        <v>0.55734583627668932</v>
      </c>
    </row>
    <row r="1712" spans="1:7" x14ac:dyDescent="0.35">
      <c r="A1712">
        <v>2041</v>
      </c>
      <c r="B1712">
        <f t="shared" si="130"/>
        <v>702.64793617759278</v>
      </c>
      <c r="C1712">
        <f t="shared" si="131"/>
        <v>493714.12221463048</v>
      </c>
      <c r="D1712">
        <v>26893</v>
      </c>
      <c r="E1712">
        <f t="shared" si="132"/>
        <v>2.6892999999999998</v>
      </c>
      <c r="F1712">
        <f t="shared" si="133"/>
        <v>-0.6905559833506727</v>
      </c>
      <c r="G1712">
        <f t="shared" si="134"/>
        <v>0.47686756614141457</v>
      </c>
    </row>
    <row r="1713" spans="1:7" x14ac:dyDescent="0.35">
      <c r="A1713">
        <v>2041</v>
      </c>
      <c r="B1713">
        <f t="shared" si="130"/>
        <v>702.64793617759278</v>
      </c>
      <c r="C1713">
        <f t="shared" si="131"/>
        <v>493714.12221463048</v>
      </c>
      <c r="D1713">
        <v>21250</v>
      </c>
      <c r="E1713">
        <f t="shared" si="132"/>
        <v>2.125</v>
      </c>
      <c r="F1713">
        <f t="shared" si="133"/>
        <v>-1.2548559833506725</v>
      </c>
      <c r="G1713">
        <f t="shared" si="134"/>
        <v>1.5746635389509833</v>
      </c>
    </row>
    <row r="1714" spans="1:7" x14ac:dyDescent="0.35">
      <c r="A1714">
        <v>2041</v>
      </c>
      <c r="B1714">
        <f t="shared" si="130"/>
        <v>702.64793617759278</v>
      </c>
      <c r="C1714">
        <f t="shared" si="131"/>
        <v>493714.12221463048</v>
      </c>
      <c r="D1714">
        <v>28786</v>
      </c>
      <c r="E1714">
        <f t="shared" si="132"/>
        <v>2.8786</v>
      </c>
      <c r="F1714">
        <f t="shared" si="133"/>
        <v>-0.50125598335067245</v>
      </c>
      <c r="G1714">
        <f t="shared" si="134"/>
        <v>0.25125756084484963</v>
      </c>
    </row>
    <row r="1715" spans="1:7" x14ac:dyDescent="0.35">
      <c r="A1715">
        <v>2041</v>
      </c>
      <c r="B1715">
        <f t="shared" si="130"/>
        <v>702.64793617759278</v>
      </c>
      <c r="C1715">
        <f t="shared" si="131"/>
        <v>493714.12221463048</v>
      </c>
      <c r="D1715">
        <v>19324</v>
      </c>
      <c r="E1715">
        <f t="shared" si="132"/>
        <v>1.9323999999999999</v>
      </c>
      <c r="F1715">
        <f t="shared" si="133"/>
        <v>-1.4474559833506726</v>
      </c>
      <c r="G1715">
        <f t="shared" si="134"/>
        <v>2.0951288237376624</v>
      </c>
    </row>
    <row r="1716" spans="1:7" x14ac:dyDescent="0.35">
      <c r="A1716">
        <v>2041</v>
      </c>
      <c r="B1716">
        <f t="shared" si="130"/>
        <v>702.64793617759278</v>
      </c>
      <c r="C1716">
        <f t="shared" si="131"/>
        <v>493714.12221463048</v>
      </c>
      <c r="D1716">
        <v>21863</v>
      </c>
      <c r="E1716">
        <f t="shared" si="132"/>
        <v>2.1863000000000001</v>
      </c>
      <c r="F1716">
        <f t="shared" si="133"/>
        <v>-1.1935559833506724</v>
      </c>
      <c r="G1716">
        <f t="shared" si="134"/>
        <v>1.4245758853921906</v>
      </c>
    </row>
    <row r="1717" spans="1:7" x14ac:dyDescent="0.35">
      <c r="A1717">
        <v>758</v>
      </c>
      <c r="B1717">
        <f t="shared" si="130"/>
        <v>-580.35206382240722</v>
      </c>
      <c r="C1717">
        <f t="shared" si="131"/>
        <v>336808.51798292744</v>
      </c>
      <c r="D1717">
        <v>37305</v>
      </c>
      <c r="E1717">
        <f t="shared" si="132"/>
        <v>3.7305000000000001</v>
      </c>
      <c r="F1717">
        <f t="shared" si="133"/>
        <v>0.35064401664932765</v>
      </c>
      <c r="G1717">
        <f t="shared" si="134"/>
        <v>0.12295122641197397</v>
      </c>
    </row>
    <row r="1718" spans="1:7" x14ac:dyDescent="0.35">
      <c r="A1718">
        <v>758</v>
      </c>
      <c r="B1718">
        <f t="shared" si="130"/>
        <v>-580.35206382240722</v>
      </c>
      <c r="C1718">
        <f t="shared" si="131"/>
        <v>336808.51798292744</v>
      </c>
      <c r="D1718">
        <v>34595</v>
      </c>
      <c r="E1718">
        <f t="shared" si="132"/>
        <v>3.4594999999999998</v>
      </c>
      <c r="F1718">
        <f t="shared" si="133"/>
        <v>7.9644016649327298E-2</v>
      </c>
      <c r="G1718">
        <f t="shared" si="134"/>
        <v>6.3431693880383238E-3</v>
      </c>
    </row>
    <row r="1719" spans="1:7" x14ac:dyDescent="0.35">
      <c r="A1719">
        <v>758</v>
      </c>
      <c r="B1719">
        <f t="shared" si="130"/>
        <v>-580.35206382240722</v>
      </c>
      <c r="C1719">
        <f t="shared" si="131"/>
        <v>336808.51798292744</v>
      </c>
      <c r="D1719">
        <v>38175</v>
      </c>
      <c r="E1719">
        <f t="shared" si="132"/>
        <v>3.8174999999999999</v>
      </c>
      <c r="F1719">
        <f t="shared" si="133"/>
        <v>0.43764401664932739</v>
      </c>
      <c r="G1719">
        <f t="shared" si="134"/>
        <v>0.19153228530895675</v>
      </c>
    </row>
    <row r="1720" spans="1:7" x14ac:dyDescent="0.35">
      <c r="A1720">
        <v>758</v>
      </c>
      <c r="B1720">
        <f t="shared" si="130"/>
        <v>-580.35206382240722</v>
      </c>
      <c r="C1720">
        <f t="shared" si="131"/>
        <v>336808.51798292744</v>
      </c>
      <c r="D1720">
        <v>34803</v>
      </c>
      <c r="E1720">
        <f t="shared" si="132"/>
        <v>3.4803000000000002</v>
      </c>
      <c r="F1720">
        <f t="shared" si="133"/>
        <v>0.10044401664932767</v>
      </c>
      <c r="G1720">
        <f t="shared" si="134"/>
        <v>1.0089000480650414E-2</v>
      </c>
    </row>
    <row r="1721" spans="1:7" x14ac:dyDescent="0.35">
      <c r="A1721">
        <v>758</v>
      </c>
      <c r="B1721">
        <f t="shared" si="130"/>
        <v>-580.35206382240722</v>
      </c>
      <c r="C1721">
        <f t="shared" si="131"/>
        <v>336808.51798292744</v>
      </c>
      <c r="D1721">
        <v>37418</v>
      </c>
      <c r="E1721">
        <f t="shared" si="132"/>
        <v>3.7418</v>
      </c>
      <c r="F1721">
        <f t="shared" si="133"/>
        <v>0.36194401664932752</v>
      </c>
      <c r="G1721">
        <f t="shared" si="134"/>
        <v>0.13100347118824868</v>
      </c>
    </row>
    <row r="1722" spans="1:7" x14ac:dyDescent="0.35">
      <c r="A1722">
        <v>758</v>
      </c>
      <c r="B1722">
        <f t="shared" si="130"/>
        <v>-580.35206382240722</v>
      </c>
      <c r="C1722">
        <f t="shared" si="131"/>
        <v>336808.51798292744</v>
      </c>
      <c r="D1722">
        <v>40954</v>
      </c>
      <c r="E1722">
        <f t="shared" si="132"/>
        <v>4.0953999999999997</v>
      </c>
      <c r="F1722">
        <f t="shared" si="133"/>
        <v>0.71554401664932721</v>
      </c>
      <c r="G1722">
        <f t="shared" si="134"/>
        <v>0.51200323976265261</v>
      </c>
    </row>
    <row r="1723" spans="1:7" x14ac:dyDescent="0.35">
      <c r="A1723">
        <v>758</v>
      </c>
      <c r="B1723">
        <f t="shared" si="130"/>
        <v>-580.35206382240722</v>
      </c>
      <c r="C1723">
        <f t="shared" si="131"/>
        <v>336808.51798292744</v>
      </c>
      <c r="D1723">
        <v>43577</v>
      </c>
      <c r="E1723">
        <f t="shared" si="132"/>
        <v>4.3577000000000004</v>
      </c>
      <c r="F1723">
        <f t="shared" si="133"/>
        <v>0.97784401664932785</v>
      </c>
      <c r="G1723">
        <f t="shared" si="134"/>
        <v>0.95617892089689094</v>
      </c>
    </row>
    <row r="1724" spans="1:7" x14ac:dyDescent="0.35">
      <c r="A1724">
        <v>758</v>
      </c>
      <c r="B1724">
        <f t="shared" si="130"/>
        <v>-580.35206382240722</v>
      </c>
      <c r="C1724">
        <f t="shared" si="131"/>
        <v>336808.51798292744</v>
      </c>
      <c r="D1724">
        <v>48725</v>
      </c>
      <c r="E1724">
        <f t="shared" si="132"/>
        <v>4.8724999999999996</v>
      </c>
      <c r="F1724">
        <f t="shared" si="133"/>
        <v>1.4926440166493271</v>
      </c>
      <c r="G1724">
        <f t="shared" si="134"/>
        <v>2.2279861604390367</v>
      </c>
    </row>
    <row r="1725" spans="1:7" x14ac:dyDescent="0.35">
      <c r="A1725">
        <v>758</v>
      </c>
      <c r="B1725">
        <f t="shared" si="130"/>
        <v>-580.35206382240722</v>
      </c>
      <c r="C1725">
        <f t="shared" si="131"/>
        <v>336808.51798292744</v>
      </c>
      <c r="D1725">
        <v>42555</v>
      </c>
      <c r="E1725">
        <f t="shared" si="132"/>
        <v>4.2554999999999996</v>
      </c>
      <c r="F1725">
        <f t="shared" si="133"/>
        <v>0.87564401664932712</v>
      </c>
      <c r="G1725">
        <f t="shared" si="134"/>
        <v>0.76675244389376707</v>
      </c>
    </row>
    <row r="1726" spans="1:7" x14ac:dyDescent="0.35">
      <c r="A1726">
        <v>758</v>
      </c>
      <c r="B1726">
        <f t="shared" si="130"/>
        <v>-580.35206382240722</v>
      </c>
      <c r="C1726">
        <f t="shared" si="131"/>
        <v>336808.51798292744</v>
      </c>
      <c r="D1726">
        <v>46792</v>
      </c>
      <c r="E1726">
        <f t="shared" si="132"/>
        <v>4.6791999999999998</v>
      </c>
      <c r="F1726">
        <f t="shared" si="133"/>
        <v>1.2993440166493273</v>
      </c>
      <c r="G1726">
        <f t="shared" si="134"/>
        <v>1.6882948736024073</v>
      </c>
    </row>
    <row r="1727" spans="1:7" x14ac:dyDescent="0.35">
      <c r="A1727">
        <v>758</v>
      </c>
      <c r="B1727">
        <f t="shared" si="130"/>
        <v>-580.35206382240722</v>
      </c>
      <c r="C1727">
        <f t="shared" si="131"/>
        <v>336808.51798292744</v>
      </c>
      <c r="D1727">
        <v>45412</v>
      </c>
      <c r="E1727">
        <f t="shared" si="132"/>
        <v>4.5411999999999999</v>
      </c>
      <c r="F1727">
        <f t="shared" si="133"/>
        <v>1.1613440166493274</v>
      </c>
      <c r="G1727">
        <f t="shared" si="134"/>
        <v>1.3487199250071933</v>
      </c>
    </row>
    <row r="1728" spans="1:7" x14ac:dyDescent="0.35">
      <c r="A1728">
        <v>758</v>
      </c>
      <c r="B1728">
        <f t="shared" si="130"/>
        <v>-580.35206382240722</v>
      </c>
      <c r="C1728">
        <f t="shared" si="131"/>
        <v>336808.51798292744</v>
      </c>
      <c r="D1728">
        <v>41365</v>
      </c>
      <c r="E1728">
        <f t="shared" si="132"/>
        <v>4.1364999999999998</v>
      </c>
      <c r="F1728">
        <f t="shared" si="133"/>
        <v>0.75664401664932734</v>
      </c>
      <c r="G1728">
        <f t="shared" si="134"/>
        <v>0.57251016793122755</v>
      </c>
    </row>
    <row r="1729" spans="1:7" x14ac:dyDescent="0.35">
      <c r="A1729">
        <v>758</v>
      </c>
      <c r="B1729">
        <f t="shared" si="130"/>
        <v>-580.35206382240722</v>
      </c>
      <c r="C1729">
        <f t="shared" si="131"/>
        <v>336808.51798292744</v>
      </c>
      <c r="D1729">
        <v>45108</v>
      </c>
      <c r="E1729">
        <f t="shared" si="132"/>
        <v>4.5107999999999997</v>
      </c>
      <c r="F1729">
        <f t="shared" si="133"/>
        <v>1.1309440166493272</v>
      </c>
      <c r="G1729">
        <f t="shared" si="134"/>
        <v>1.2790343687949137</v>
      </c>
    </row>
    <row r="1730" spans="1:7" x14ac:dyDescent="0.35">
      <c r="A1730">
        <v>758</v>
      </c>
      <c r="B1730">
        <f t="shared" si="130"/>
        <v>-580.35206382240722</v>
      </c>
      <c r="C1730">
        <f t="shared" si="131"/>
        <v>336808.51798292744</v>
      </c>
      <c r="D1730">
        <v>47762</v>
      </c>
      <c r="E1730">
        <f t="shared" si="132"/>
        <v>4.7762000000000002</v>
      </c>
      <c r="F1730">
        <f t="shared" si="133"/>
        <v>1.3963440166493277</v>
      </c>
      <c r="G1730">
        <f t="shared" si="134"/>
        <v>1.9497766128323779</v>
      </c>
    </row>
    <row r="1731" spans="1:7" x14ac:dyDescent="0.35">
      <c r="A1731">
        <v>758</v>
      </c>
      <c r="B1731">
        <f t="shared" ref="B1731:B1794" si="135">A1731-$J$1</f>
        <v>-580.35206382240722</v>
      </c>
      <c r="C1731">
        <f t="shared" ref="C1731:C1794" si="136">B1731^2</f>
        <v>336808.51798292744</v>
      </c>
      <c r="D1731">
        <v>41805</v>
      </c>
      <c r="E1731">
        <f t="shared" ref="E1731:E1794" si="137">D1731/10000</f>
        <v>4.1805000000000003</v>
      </c>
      <c r="F1731">
        <f t="shared" ref="F1731:F1794" si="138">E1731-$J$2</f>
        <v>0.80064401664932783</v>
      </c>
      <c r="G1731">
        <f t="shared" ref="G1731:G1794" si="139">F1731^2</f>
        <v>0.64103084139636912</v>
      </c>
    </row>
    <row r="1732" spans="1:7" x14ac:dyDescent="0.35">
      <c r="A1732">
        <v>758</v>
      </c>
      <c r="B1732">
        <f t="shared" si="135"/>
        <v>-580.35206382240722</v>
      </c>
      <c r="C1732">
        <f t="shared" si="136"/>
        <v>336808.51798292744</v>
      </c>
      <c r="D1732">
        <v>42576</v>
      </c>
      <c r="E1732">
        <f t="shared" si="137"/>
        <v>4.2576000000000001</v>
      </c>
      <c r="F1732">
        <f t="shared" si="138"/>
        <v>0.87774401664932755</v>
      </c>
      <c r="G1732">
        <f t="shared" si="139"/>
        <v>0.77043455876369504</v>
      </c>
    </row>
    <row r="1733" spans="1:7" x14ac:dyDescent="0.35">
      <c r="A1733">
        <v>758</v>
      </c>
      <c r="B1733">
        <f t="shared" si="135"/>
        <v>-580.35206382240722</v>
      </c>
      <c r="C1733">
        <f t="shared" si="136"/>
        <v>336808.51798292744</v>
      </c>
      <c r="D1733">
        <v>45027</v>
      </c>
      <c r="E1733">
        <f t="shared" si="137"/>
        <v>4.5026999999999999</v>
      </c>
      <c r="F1733">
        <f t="shared" si="138"/>
        <v>1.1228440166493274</v>
      </c>
      <c r="G1733">
        <f t="shared" si="139"/>
        <v>1.260778685725195</v>
      </c>
    </row>
    <row r="1734" spans="1:7" x14ac:dyDescent="0.35">
      <c r="A1734">
        <v>758</v>
      </c>
      <c r="B1734">
        <f t="shared" si="135"/>
        <v>-580.35206382240722</v>
      </c>
      <c r="C1734">
        <f t="shared" si="136"/>
        <v>336808.51798292744</v>
      </c>
      <c r="D1734">
        <v>44631</v>
      </c>
      <c r="E1734">
        <f t="shared" si="137"/>
        <v>4.4630999999999998</v>
      </c>
      <c r="F1734">
        <f t="shared" si="138"/>
        <v>1.0832440166493273</v>
      </c>
      <c r="G1734">
        <f t="shared" si="139"/>
        <v>1.1734175996065681</v>
      </c>
    </row>
    <row r="1735" spans="1:7" x14ac:dyDescent="0.35">
      <c r="A1735">
        <v>758</v>
      </c>
      <c r="B1735">
        <f t="shared" si="135"/>
        <v>-580.35206382240722</v>
      </c>
      <c r="C1735">
        <f t="shared" si="136"/>
        <v>336808.51798292744</v>
      </c>
      <c r="D1735">
        <v>50653</v>
      </c>
      <c r="E1735">
        <f t="shared" si="137"/>
        <v>5.0652999999999997</v>
      </c>
      <c r="F1735">
        <f t="shared" si="138"/>
        <v>1.6854440166493272</v>
      </c>
      <c r="G1735">
        <f t="shared" si="139"/>
        <v>2.8407215332590177</v>
      </c>
    </row>
    <row r="1736" spans="1:7" x14ac:dyDescent="0.35">
      <c r="A1736">
        <v>758</v>
      </c>
      <c r="B1736">
        <f t="shared" si="135"/>
        <v>-580.35206382240722</v>
      </c>
      <c r="C1736">
        <f t="shared" si="136"/>
        <v>336808.51798292744</v>
      </c>
      <c r="D1736">
        <v>47857</v>
      </c>
      <c r="E1736">
        <f t="shared" si="137"/>
        <v>4.7857000000000003</v>
      </c>
      <c r="F1736">
        <f t="shared" si="138"/>
        <v>1.4058440166493278</v>
      </c>
      <c r="G1736">
        <f t="shared" si="139"/>
        <v>1.9763973991487154</v>
      </c>
    </row>
    <row r="1737" spans="1:7" x14ac:dyDescent="0.35">
      <c r="A1737">
        <v>758</v>
      </c>
      <c r="B1737">
        <f t="shared" si="135"/>
        <v>-580.35206382240722</v>
      </c>
      <c r="C1737">
        <f t="shared" si="136"/>
        <v>336808.51798292744</v>
      </c>
      <c r="D1737">
        <v>41536</v>
      </c>
      <c r="E1737">
        <f t="shared" si="137"/>
        <v>4.1536</v>
      </c>
      <c r="F1737">
        <f t="shared" si="138"/>
        <v>0.77374401664932746</v>
      </c>
      <c r="G1737">
        <f t="shared" si="139"/>
        <v>0.59867980330063475</v>
      </c>
    </row>
    <row r="1738" spans="1:7" x14ac:dyDescent="0.35">
      <c r="A1738">
        <v>758</v>
      </c>
      <c r="B1738">
        <f t="shared" si="135"/>
        <v>-580.35206382240722</v>
      </c>
      <c r="C1738">
        <f t="shared" si="136"/>
        <v>336808.51798292744</v>
      </c>
      <c r="D1738">
        <v>44619</v>
      </c>
      <c r="E1738">
        <f t="shared" si="137"/>
        <v>4.4619</v>
      </c>
      <c r="F1738">
        <f t="shared" si="138"/>
        <v>1.0820440166493275</v>
      </c>
      <c r="G1738">
        <f t="shared" si="139"/>
        <v>1.17081925396661</v>
      </c>
    </row>
    <row r="1739" spans="1:7" x14ac:dyDescent="0.35">
      <c r="A1739">
        <v>758</v>
      </c>
      <c r="B1739">
        <f t="shared" si="135"/>
        <v>-580.35206382240722</v>
      </c>
      <c r="C1739">
        <f t="shared" si="136"/>
        <v>336808.51798292744</v>
      </c>
      <c r="D1739">
        <v>48502</v>
      </c>
      <c r="E1739">
        <f t="shared" si="137"/>
        <v>4.8502000000000001</v>
      </c>
      <c r="F1739">
        <f t="shared" si="138"/>
        <v>1.4703440166493276</v>
      </c>
      <c r="G1739">
        <f t="shared" si="139"/>
        <v>2.161911527296478</v>
      </c>
    </row>
    <row r="1740" spans="1:7" x14ac:dyDescent="0.35">
      <c r="A1740">
        <v>758</v>
      </c>
      <c r="B1740">
        <f t="shared" si="135"/>
        <v>-580.35206382240722</v>
      </c>
      <c r="C1740">
        <f t="shared" si="136"/>
        <v>336808.51798292744</v>
      </c>
      <c r="D1740">
        <v>51901</v>
      </c>
      <c r="E1740">
        <f t="shared" si="137"/>
        <v>5.1901000000000002</v>
      </c>
      <c r="F1740">
        <f t="shared" si="138"/>
        <v>1.8102440166493277</v>
      </c>
      <c r="G1740">
        <f t="shared" si="139"/>
        <v>3.2769833998146911</v>
      </c>
    </row>
    <row r="1741" spans="1:7" x14ac:dyDescent="0.35">
      <c r="A1741">
        <v>758</v>
      </c>
      <c r="B1741">
        <f t="shared" si="135"/>
        <v>-580.35206382240722</v>
      </c>
      <c r="C1741">
        <f t="shared" si="136"/>
        <v>336808.51798292744</v>
      </c>
      <c r="D1741">
        <v>50962</v>
      </c>
      <c r="E1741">
        <f t="shared" si="137"/>
        <v>5.0961999999999996</v>
      </c>
      <c r="F1741">
        <f t="shared" si="138"/>
        <v>1.7163440166493271</v>
      </c>
      <c r="G1741">
        <f t="shared" si="139"/>
        <v>2.9458367834879455</v>
      </c>
    </row>
    <row r="1742" spans="1:7" x14ac:dyDescent="0.35">
      <c r="A1742">
        <v>758</v>
      </c>
      <c r="B1742">
        <f t="shared" si="135"/>
        <v>-580.35206382240722</v>
      </c>
      <c r="C1742">
        <f t="shared" si="136"/>
        <v>336808.51798292744</v>
      </c>
      <c r="D1742">
        <v>56231</v>
      </c>
      <c r="E1742">
        <f t="shared" si="137"/>
        <v>5.6231</v>
      </c>
      <c r="F1742">
        <f t="shared" si="138"/>
        <v>2.2432440166493275</v>
      </c>
      <c r="G1742">
        <f t="shared" si="139"/>
        <v>5.0321437182330087</v>
      </c>
    </row>
    <row r="1743" spans="1:7" x14ac:dyDescent="0.35">
      <c r="A1743">
        <v>758</v>
      </c>
      <c r="B1743">
        <f t="shared" si="135"/>
        <v>-580.35206382240722</v>
      </c>
      <c r="C1743">
        <f t="shared" si="136"/>
        <v>336808.51798292744</v>
      </c>
      <c r="D1743">
        <v>54252</v>
      </c>
      <c r="E1743">
        <f t="shared" si="137"/>
        <v>5.4252000000000002</v>
      </c>
      <c r="F1743">
        <f t="shared" si="138"/>
        <v>2.0453440166493277</v>
      </c>
      <c r="G1743">
        <f t="shared" si="139"/>
        <v>4.1834321464432058</v>
      </c>
    </row>
    <row r="1744" spans="1:7" x14ac:dyDescent="0.35">
      <c r="A1744">
        <v>758</v>
      </c>
      <c r="B1744">
        <f t="shared" si="135"/>
        <v>-580.35206382240722</v>
      </c>
      <c r="C1744">
        <f t="shared" si="136"/>
        <v>336808.51798292744</v>
      </c>
      <c r="D1744">
        <v>57122</v>
      </c>
      <c r="E1744">
        <f t="shared" si="137"/>
        <v>5.7122000000000002</v>
      </c>
      <c r="F1744">
        <f t="shared" si="138"/>
        <v>2.3323440166493277</v>
      </c>
      <c r="G1744">
        <f t="shared" si="139"/>
        <v>5.4398286119999195</v>
      </c>
    </row>
    <row r="1745" spans="1:7" x14ac:dyDescent="0.35">
      <c r="A1745">
        <v>758</v>
      </c>
      <c r="B1745">
        <f t="shared" si="135"/>
        <v>-580.35206382240722</v>
      </c>
      <c r="C1745">
        <f t="shared" si="136"/>
        <v>336808.51798292744</v>
      </c>
      <c r="D1745">
        <v>58079</v>
      </c>
      <c r="E1745">
        <f t="shared" si="137"/>
        <v>5.8079000000000001</v>
      </c>
      <c r="F1745">
        <f t="shared" si="138"/>
        <v>2.4280440166493276</v>
      </c>
      <c r="G1745">
        <f t="shared" si="139"/>
        <v>5.8953977467865997</v>
      </c>
    </row>
    <row r="1746" spans="1:7" x14ac:dyDescent="0.35">
      <c r="A1746">
        <v>758</v>
      </c>
      <c r="B1746">
        <f t="shared" si="135"/>
        <v>-580.35206382240722</v>
      </c>
      <c r="C1746">
        <f t="shared" si="136"/>
        <v>336808.51798292744</v>
      </c>
      <c r="D1746">
        <v>61346</v>
      </c>
      <c r="E1746">
        <f t="shared" si="137"/>
        <v>6.1345999999999998</v>
      </c>
      <c r="F1746">
        <f t="shared" si="138"/>
        <v>2.7547440166493273</v>
      </c>
      <c r="G1746">
        <f t="shared" si="139"/>
        <v>7.588614597265269</v>
      </c>
    </row>
    <row r="1747" spans="1:7" x14ac:dyDescent="0.35">
      <c r="A1747">
        <v>346</v>
      </c>
      <c r="B1747">
        <f t="shared" si="135"/>
        <v>-992.35206382240722</v>
      </c>
      <c r="C1747">
        <f t="shared" si="136"/>
        <v>984762.61857259099</v>
      </c>
      <c r="D1747">
        <v>28833</v>
      </c>
      <c r="E1747">
        <f t="shared" si="137"/>
        <v>2.8833000000000002</v>
      </c>
      <c r="F1747">
        <f t="shared" si="138"/>
        <v>-0.4965559833506723</v>
      </c>
      <c r="G1747">
        <f t="shared" si="139"/>
        <v>0.24656784460135314</v>
      </c>
    </row>
    <row r="1748" spans="1:7" x14ac:dyDescent="0.35">
      <c r="A1748">
        <v>346</v>
      </c>
      <c r="B1748">
        <f t="shared" si="135"/>
        <v>-992.35206382240722</v>
      </c>
      <c r="C1748">
        <f t="shared" si="136"/>
        <v>984762.61857259099</v>
      </c>
      <c r="D1748">
        <v>45511</v>
      </c>
      <c r="E1748">
        <f t="shared" si="137"/>
        <v>4.5510999999999999</v>
      </c>
      <c r="F1748">
        <f t="shared" si="138"/>
        <v>1.1712440166493274</v>
      </c>
      <c r="G1748">
        <f t="shared" si="139"/>
        <v>1.37181254653685</v>
      </c>
    </row>
    <row r="1749" spans="1:7" x14ac:dyDescent="0.35">
      <c r="A1749">
        <v>346</v>
      </c>
      <c r="B1749">
        <f t="shared" si="135"/>
        <v>-992.35206382240722</v>
      </c>
      <c r="C1749">
        <f t="shared" si="136"/>
        <v>984762.61857259099</v>
      </c>
      <c r="D1749">
        <v>55000</v>
      </c>
      <c r="E1749">
        <f t="shared" si="137"/>
        <v>5.5</v>
      </c>
      <c r="F1749">
        <f t="shared" si="138"/>
        <v>2.1201440166493275</v>
      </c>
      <c r="G1749">
        <f t="shared" si="139"/>
        <v>4.4950106513339438</v>
      </c>
    </row>
    <row r="1750" spans="1:7" x14ac:dyDescent="0.35">
      <c r="A1750">
        <v>346</v>
      </c>
      <c r="B1750">
        <f t="shared" si="135"/>
        <v>-992.35206382240722</v>
      </c>
      <c r="C1750">
        <f t="shared" si="136"/>
        <v>984762.61857259099</v>
      </c>
      <c r="D1750">
        <v>63000</v>
      </c>
      <c r="E1750">
        <f t="shared" si="137"/>
        <v>6.3</v>
      </c>
      <c r="F1750">
        <f t="shared" si="138"/>
        <v>2.9201440166493273</v>
      </c>
      <c r="G1750">
        <f t="shared" si="139"/>
        <v>8.5272410779728673</v>
      </c>
    </row>
    <row r="1751" spans="1:7" x14ac:dyDescent="0.35">
      <c r="A1751">
        <v>346</v>
      </c>
      <c r="B1751">
        <f t="shared" si="135"/>
        <v>-992.35206382240722</v>
      </c>
      <c r="C1751">
        <f t="shared" si="136"/>
        <v>984762.61857259099</v>
      </c>
      <c r="D1751">
        <v>41750</v>
      </c>
      <c r="E1751">
        <f t="shared" si="137"/>
        <v>4.1749999999999998</v>
      </c>
      <c r="F1751">
        <f t="shared" si="138"/>
        <v>0.79514401664932732</v>
      </c>
      <c r="G1751">
        <f t="shared" si="139"/>
        <v>0.63225400721322578</v>
      </c>
    </row>
    <row r="1752" spans="1:7" x14ac:dyDescent="0.35">
      <c r="A1752">
        <v>346</v>
      </c>
      <c r="B1752">
        <f t="shared" si="135"/>
        <v>-992.35206382240722</v>
      </c>
      <c r="C1752">
        <f t="shared" si="136"/>
        <v>984762.61857259099</v>
      </c>
      <c r="D1752">
        <v>38406</v>
      </c>
      <c r="E1752">
        <f t="shared" si="137"/>
        <v>3.8405999999999998</v>
      </c>
      <c r="F1752">
        <f t="shared" si="138"/>
        <v>0.46074401664932729</v>
      </c>
      <c r="G1752">
        <f t="shared" si="139"/>
        <v>0.21228504887815558</v>
      </c>
    </row>
    <row r="1753" spans="1:7" x14ac:dyDescent="0.35">
      <c r="A1753">
        <v>346</v>
      </c>
      <c r="B1753">
        <f t="shared" si="135"/>
        <v>-992.35206382240722</v>
      </c>
      <c r="C1753">
        <f t="shared" si="136"/>
        <v>984762.61857259099</v>
      </c>
      <c r="D1753">
        <v>30694</v>
      </c>
      <c r="E1753">
        <f t="shared" si="137"/>
        <v>3.0693999999999999</v>
      </c>
      <c r="F1753">
        <f t="shared" si="138"/>
        <v>-0.31045598335067259</v>
      </c>
      <c r="G1753">
        <f t="shared" si="139"/>
        <v>9.63829175982331E-2</v>
      </c>
    </row>
    <row r="1754" spans="1:7" x14ac:dyDescent="0.35">
      <c r="A1754">
        <v>346</v>
      </c>
      <c r="B1754">
        <f t="shared" si="135"/>
        <v>-992.35206382240722</v>
      </c>
      <c r="C1754">
        <f t="shared" si="136"/>
        <v>984762.61857259099</v>
      </c>
      <c r="D1754">
        <v>50000</v>
      </c>
      <c r="E1754">
        <f t="shared" si="137"/>
        <v>5</v>
      </c>
      <c r="F1754">
        <f t="shared" si="138"/>
        <v>1.6201440166493275</v>
      </c>
      <c r="G1754">
        <f t="shared" si="139"/>
        <v>2.6248666346846163</v>
      </c>
    </row>
    <row r="1755" spans="1:7" x14ac:dyDescent="0.35">
      <c r="A1755">
        <v>346</v>
      </c>
      <c r="B1755">
        <f t="shared" si="135"/>
        <v>-992.35206382240722</v>
      </c>
      <c r="C1755">
        <f t="shared" si="136"/>
        <v>984762.61857259099</v>
      </c>
      <c r="D1755">
        <v>65000</v>
      </c>
      <c r="E1755">
        <f t="shared" si="137"/>
        <v>6.5</v>
      </c>
      <c r="F1755">
        <f t="shared" si="138"/>
        <v>3.1201440166493275</v>
      </c>
      <c r="G1755">
        <f t="shared" si="139"/>
        <v>9.7352986846325997</v>
      </c>
    </row>
    <row r="1756" spans="1:7" x14ac:dyDescent="0.35">
      <c r="A1756">
        <v>346</v>
      </c>
      <c r="B1756">
        <f t="shared" si="135"/>
        <v>-992.35206382240722</v>
      </c>
      <c r="C1756">
        <f t="shared" si="136"/>
        <v>984762.61857259099</v>
      </c>
      <c r="D1756">
        <v>49571</v>
      </c>
      <c r="E1756">
        <f t="shared" si="137"/>
        <v>4.9570999999999996</v>
      </c>
      <c r="F1756">
        <f t="shared" si="138"/>
        <v>1.5772440166493271</v>
      </c>
      <c r="G1756">
        <f t="shared" si="139"/>
        <v>2.4876986880561027</v>
      </c>
    </row>
    <row r="1757" spans="1:7" x14ac:dyDescent="0.35">
      <c r="A1757">
        <v>346</v>
      </c>
      <c r="B1757">
        <f t="shared" si="135"/>
        <v>-992.35206382240722</v>
      </c>
      <c r="C1757">
        <f t="shared" si="136"/>
        <v>984762.61857259099</v>
      </c>
      <c r="D1757">
        <v>58000</v>
      </c>
      <c r="E1757">
        <f t="shared" si="137"/>
        <v>5.8</v>
      </c>
      <c r="F1757">
        <f t="shared" si="138"/>
        <v>2.4201440166493273</v>
      </c>
      <c r="G1757">
        <f t="shared" si="139"/>
        <v>5.8570970613235396</v>
      </c>
    </row>
    <row r="1758" spans="1:7" x14ac:dyDescent="0.35">
      <c r="A1758">
        <v>346</v>
      </c>
      <c r="B1758">
        <f t="shared" si="135"/>
        <v>-992.35206382240722</v>
      </c>
      <c r="C1758">
        <f t="shared" si="136"/>
        <v>984762.61857259099</v>
      </c>
      <c r="D1758">
        <v>37256</v>
      </c>
      <c r="E1758">
        <f t="shared" si="137"/>
        <v>3.7256</v>
      </c>
      <c r="F1758">
        <f t="shared" si="138"/>
        <v>0.34574401664932752</v>
      </c>
      <c r="G1758">
        <f t="shared" si="139"/>
        <v>0.11953892504881047</v>
      </c>
    </row>
    <row r="1759" spans="1:7" x14ac:dyDescent="0.35">
      <c r="A1759">
        <v>346</v>
      </c>
      <c r="B1759">
        <f t="shared" si="135"/>
        <v>-992.35206382240722</v>
      </c>
      <c r="C1759">
        <f t="shared" si="136"/>
        <v>984762.61857259099</v>
      </c>
      <c r="D1759">
        <v>54108</v>
      </c>
      <c r="E1759">
        <f t="shared" si="137"/>
        <v>5.4108000000000001</v>
      </c>
      <c r="F1759">
        <f t="shared" si="138"/>
        <v>2.0309440166493276</v>
      </c>
      <c r="G1759">
        <f t="shared" si="139"/>
        <v>4.1247335987637044</v>
      </c>
    </row>
    <row r="1760" spans="1:7" x14ac:dyDescent="0.35">
      <c r="A1760">
        <v>346</v>
      </c>
      <c r="B1760">
        <f t="shared" si="135"/>
        <v>-992.35206382240722</v>
      </c>
      <c r="C1760">
        <f t="shared" si="136"/>
        <v>984762.61857259099</v>
      </c>
      <c r="D1760">
        <v>45000</v>
      </c>
      <c r="E1760">
        <f t="shared" si="137"/>
        <v>4.5</v>
      </c>
      <c r="F1760">
        <f t="shared" si="138"/>
        <v>1.1201440166493275</v>
      </c>
      <c r="G1760">
        <f t="shared" si="139"/>
        <v>1.2547226180352888</v>
      </c>
    </row>
    <row r="1761" spans="1:7" x14ac:dyDescent="0.35">
      <c r="A1761">
        <v>346</v>
      </c>
      <c r="B1761">
        <f t="shared" si="135"/>
        <v>-992.35206382240722</v>
      </c>
      <c r="C1761">
        <f t="shared" si="136"/>
        <v>984762.61857259099</v>
      </c>
      <c r="D1761">
        <v>45000</v>
      </c>
      <c r="E1761">
        <f t="shared" si="137"/>
        <v>4.5</v>
      </c>
      <c r="F1761">
        <f t="shared" si="138"/>
        <v>1.1201440166493275</v>
      </c>
      <c r="G1761">
        <f t="shared" si="139"/>
        <v>1.2547226180352888</v>
      </c>
    </row>
    <row r="1762" spans="1:7" x14ac:dyDescent="0.35">
      <c r="A1762">
        <v>346</v>
      </c>
      <c r="B1762">
        <f t="shared" si="135"/>
        <v>-992.35206382240722</v>
      </c>
      <c r="C1762">
        <f t="shared" si="136"/>
        <v>984762.61857259099</v>
      </c>
      <c r="D1762">
        <v>52773</v>
      </c>
      <c r="E1762">
        <f t="shared" si="137"/>
        <v>5.2773000000000003</v>
      </c>
      <c r="F1762">
        <f t="shared" si="138"/>
        <v>1.8974440166493278</v>
      </c>
      <c r="G1762">
        <f t="shared" si="139"/>
        <v>3.6002937963183346</v>
      </c>
    </row>
    <row r="1763" spans="1:7" x14ac:dyDescent="0.35">
      <c r="A1763">
        <v>346</v>
      </c>
      <c r="B1763">
        <f t="shared" si="135"/>
        <v>-992.35206382240722</v>
      </c>
      <c r="C1763">
        <f t="shared" si="136"/>
        <v>984762.61857259099</v>
      </c>
      <c r="D1763">
        <v>41453</v>
      </c>
      <c r="E1763">
        <f t="shared" si="137"/>
        <v>4.1452999999999998</v>
      </c>
      <c r="F1763">
        <f t="shared" si="138"/>
        <v>0.76544401664932726</v>
      </c>
      <c r="G1763">
        <f t="shared" si="139"/>
        <v>0.58590454262425562</v>
      </c>
    </row>
    <row r="1764" spans="1:7" x14ac:dyDescent="0.35">
      <c r="A1764">
        <v>346</v>
      </c>
      <c r="B1764">
        <f t="shared" si="135"/>
        <v>-992.35206382240722</v>
      </c>
      <c r="C1764">
        <f t="shared" si="136"/>
        <v>984762.61857259099</v>
      </c>
      <c r="D1764">
        <v>67045</v>
      </c>
      <c r="E1764">
        <f t="shared" si="137"/>
        <v>6.7045000000000003</v>
      </c>
      <c r="F1764">
        <f t="shared" si="138"/>
        <v>3.3246440166493278</v>
      </c>
      <c r="G1764">
        <f t="shared" si="139"/>
        <v>11.053257837442176</v>
      </c>
    </row>
    <row r="1765" spans="1:7" x14ac:dyDescent="0.35">
      <c r="A1765">
        <v>346</v>
      </c>
      <c r="B1765">
        <f t="shared" si="135"/>
        <v>-992.35206382240722</v>
      </c>
      <c r="C1765">
        <f t="shared" si="136"/>
        <v>984762.61857259099</v>
      </c>
      <c r="D1765">
        <v>68000</v>
      </c>
      <c r="E1765">
        <f t="shared" si="137"/>
        <v>6.8</v>
      </c>
      <c r="F1765">
        <f t="shared" si="138"/>
        <v>3.4201440166493273</v>
      </c>
      <c r="G1765">
        <f t="shared" si="139"/>
        <v>11.697385094622193</v>
      </c>
    </row>
    <row r="1766" spans="1:7" x14ac:dyDescent="0.35">
      <c r="A1766">
        <v>346</v>
      </c>
      <c r="B1766">
        <f t="shared" si="135"/>
        <v>-992.35206382240722</v>
      </c>
      <c r="C1766">
        <f t="shared" si="136"/>
        <v>984762.61857259099</v>
      </c>
      <c r="D1766">
        <v>68000</v>
      </c>
      <c r="E1766">
        <f t="shared" si="137"/>
        <v>6.8</v>
      </c>
      <c r="F1766">
        <f t="shared" si="138"/>
        <v>3.4201440166493273</v>
      </c>
      <c r="G1766">
        <f t="shared" si="139"/>
        <v>11.697385094622193</v>
      </c>
    </row>
    <row r="1767" spans="1:7" x14ac:dyDescent="0.35">
      <c r="A1767">
        <v>346</v>
      </c>
      <c r="B1767">
        <f t="shared" si="135"/>
        <v>-992.35206382240722</v>
      </c>
      <c r="C1767">
        <f t="shared" si="136"/>
        <v>984762.61857259099</v>
      </c>
      <c r="D1767">
        <v>73667</v>
      </c>
      <c r="E1767">
        <f t="shared" si="137"/>
        <v>7.3666999999999998</v>
      </c>
      <c r="F1767">
        <f t="shared" si="138"/>
        <v>3.9868440166493273</v>
      </c>
      <c r="G1767">
        <f t="shared" si="139"/>
        <v>15.894925213092542</v>
      </c>
    </row>
    <row r="1768" spans="1:7" x14ac:dyDescent="0.35">
      <c r="A1768">
        <v>346</v>
      </c>
      <c r="B1768">
        <f t="shared" si="135"/>
        <v>-992.35206382240722</v>
      </c>
      <c r="C1768">
        <f t="shared" si="136"/>
        <v>984762.61857259099</v>
      </c>
      <c r="D1768">
        <v>69563</v>
      </c>
      <c r="E1768">
        <f t="shared" si="137"/>
        <v>6.9562999999999997</v>
      </c>
      <c r="F1768">
        <f t="shared" si="138"/>
        <v>3.5764440166493272</v>
      </c>
      <c r="G1768">
        <f t="shared" si="139"/>
        <v>12.790951804226774</v>
      </c>
    </row>
    <row r="1769" spans="1:7" x14ac:dyDescent="0.35">
      <c r="A1769">
        <v>346</v>
      </c>
      <c r="B1769">
        <f t="shared" si="135"/>
        <v>-992.35206382240722</v>
      </c>
      <c r="C1769">
        <f t="shared" si="136"/>
        <v>984762.61857259099</v>
      </c>
      <c r="D1769">
        <v>64154</v>
      </c>
      <c r="E1769">
        <f t="shared" si="137"/>
        <v>6.4154</v>
      </c>
      <c r="F1769">
        <f t="shared" si="138"/>
        <v>3.0355440166493275</v>
      </c>
      <c r="G1769">
        <f t="shared" si="139"/>
        <v>9.2145274770155332</v>
      </c>
    </row>
    <row r="1770" spans="1:7" x14ac:dyDescent="0.35">
      <c r="A1770">
        <v>346</v>
      </c>
      <c r="B1770">
        <f t="shared" si="135"/>
        <v>-992.35206382240722</v>
      </c>
      <c r="C1770">
        <f t="shared" si="136"/>
        <v>984762.61857259099</v>
      </c>
      <c r="D1770">
        <v>68270</v>
      </c>
      <c r="E1770">
        <f t="shared" si="137"/>
        <v>6.827</v>
      </c>
      <c r="F1770">
        <f t="shared" si="138"/>
        <v>3.4471440166493275</v>
      </c>
      <c r="G1770">
        <f t="shared" si="139"/>
        <v>11.882801871521259</v>
      </c>
    </row>
    <row r="1771" spans="1:7" x14ac:dyDescent="0.35">
      <c r="A1771">
        <v>346</v>
      </c>
      <c r="B1771">
        <f t="shared" si="135"/>
        <v>-992.35206382240722</v>
      </c>
      <c r="C1771">
        <f t="shared" si="136"/>
        <v>984762.61857259099</v>
      </c>
      <c r="D1771">
        <v>70236</v>
      </c>
      <c r="E1771">
        <f t="shared" si="137"/>
        <v>7.0236000000000001</v>
      </c>
      <c r="F1771">
        <f t="shared" si="138"/>
        <v>3.6437440166493276</v>
      </c>
      <c r="G1771">
        <f t="shared" si="139"/>
        <v>13.276870458867775</v>
      </c>
    </row>
    <row r="1772" spans="1:7" x14ac:dyDescent="0.35">
      <c r="A1772">
        <v>346</v>
      </c>
      <c r="B1772">
        <f t="shared" si="135"/>
        <v>-992.35206382240722</v>
      </c>
      <c r="C1772">
        <f t="shared" si="136"/>
        <v>984762.61857259099</v>
      </c>
      <c r="D1772">
        <v>76015</v>
      </c>
      <c r="E1772">
        <f t="shared" si="137"/>
        <v>7.6014999999999997</v>
      </c>
      <c r="F1772">
        <f t="shared" si="138"/>
        <v>4.2216440166493268</v>
      </c>
      <c r="G1772">
        <f t="shared" si="139"/>
        <v>17.822278203311061</v>
      </c>
    </row>
    <row r="1773" spans="1:7" x14ac:dyDescent="0.35">
      <c r="A1773">
        <v>346</v>
      </c>
      <c r="B1773">
        <f t="shared" si="135"/>
        <v>-992.35206382240722</v>
      </c>
      <c r="C1773">
        <f t="shared" si="136"/>
        <v>984762.61857259099</v>
      </c>
      <c r="D1773">
        <v>75433</v>
      </c>
      <c r="E1773">
        <f t="shared" si="137"/>
        <v>7.5433000000000003</v>
      </c>
      <c r="F1773">
        <f t="shared" si="138"/>
        <v>4.1634440166493274</v>
      </c>
      <c r="G1773">
        <f t="shared" si="139"/>
        <v>17.334266079773084</v>
      </c>
    </row>
    <row r="1774" spans="1:7" x14ac:dyDescent="0.35">
      <c r="A1774">
        <v>346</v>
      </c>
      <c r="B1774">
        <f t="shared" si="135"/>
        <v>-992.35206382240722</v>
      </c>
      <c r="C1774">
        <f t="shared" si="136"/>
        <v>984762.61857259099</v>
      </c>
      <c r="D1774">
        <v>75000</v>
      </c>
      <c r="E1774">
        <f t="shared" si="137"/>
        <v>7.5</v>
      </c>
      <c r="F1774">
        <f t="shared" si="138"/>
        <v>4.1201440166493271</v>
      </c>
      <c r="G1774">
        <f t="shared" si="139"/>
        <v>16.97558671793125</v>
      </c>
    </row>
    <row r="1775" spans="1:7" x14ac:dyDescent="0.35">
      <c r="A1775">
        <v>346</v>
      </c>
      <c r="B1775">
        <f t="shared" si="135"/>
        <v>-992.35206382240722</v>
      </c>
      <c r="C1775">
        <f t="shared" si="136"/>
        <v>984762.61857259099</v>
      </c>
      <c r="D1775">
        <v>76173</v>
      </c>
      <c r="E1775">
        <f t="shared" si="137"/>
        <v>7.6173000000000002</v>
      </c>
      <c r="F1775">
        <f t="shared" si="138"/>
        <v>4.2374440166493272</v>
      </c>
      <c r="G1775">
        <f t="shared" si="139"/>
        <v>17.955931794237184</v>
      </c>
    </row>
    <row r="1776" spans="1:7" x14ac:dyDescent="0.35">
      <c r="A1776">
        <v>346</v>
      </c>
      <c r="B1776">
        <f t="shared" si="135"/>
        <v>-992.35206382240722</v>
      </c>
      <c r="C1776">
        <f t="shared" si="136"/>
        <v>984762.61857259099</v>
      </c>
      <c r="D1776">
        <v>70881</v>
      </c>
      <c r="E1776">
        <f t="shared" si="137"/>
        <v>7.0880999999999998</v>
      </c>
      <c r="F1776">
        <f t="shared" si="138"/>
        <v>3.7082440166493273</v>
      </c>
      <c r="G1776">
        <f t="shared" si="139"/>
        <v>13.751073687015536</v>
      </c>
    </row>
    <row r="1777" spans="1:7" x14ac:dyDescent="0.35">
      <c r="A1777">
        <v>1032</v>
      </c>
      <c r="B1777">
        <f t="shared" si="135"/>
        <v>-306.35206382240722</v>
      </c>
      <c r="C1777">
        <f t="shared" si="136"/>
        <v>93851.587008248258</v>
      </c>
      <c r="D1777">
        <v>8600</v>
      </c>
      <c r="E1777">
        <f t="shared" si="137"/>
        <v>0.86</v>
      </c>
      <c r="F1777">
        <f t="shared" si="138"/>
        <v>-2.5198559833506726</v>
      </c>
      <c r="G1777">
        <f t="shared" si="139"/>
        <v>6.3496741768281852</v>
      </c>
    </row>
    <row r="1778" spans="1:7" x14ac:dyDescent="0.35">
      <c r="A1778">
        <v>1032</v>
      </c>
      <c r="B1778">
        <f t="shared" si="135"/>
        <v>-306.35206382240722</v>
      </c>
      <c r="C1778">
        <f t="shared" si="136"/>
        <v>93851.587008248258</v>
      </c>
      <c r="D1778">
        <v>9300</v>
      </c>
      <c r="E1778">
        <f t="shared" si="137"/>
        <v>0.93</v>
      </c>
      <c r="F1778">
        <f t="shared" si="138"/>
        <v>-2.4498559833506723</v>
      </c>
      <c r="G1778">
        <f t="shared" si="139"/>
        <v>6.0017943391590896</v>
      </c>
    </row>
    <row r="1779" spans="1:7" x14ac:dyDescent="0.35">
      <c r="A1779">
        <v>1032</v>
      </c>
      <c r="B1779">
        <f t="shared" si="135"/>
        <v>-306.35206382240722</v>
      </c>
      <c r="C1779">
        <f t="shared" si="136"/>
        <v>93851.587008248258</v>
      </c>
      <c r="D1779">
        <v>8571</v>
      </c>
      <c r="E1779">
        <f t="shared" si="137"/>
        <v>0.85709999999999997</v>
      </c>
      <c r="F1779">
        <f t="shared" si="138"/>
        <v>-2.5227559833506725</v>
      </c>
      <c r="G1779">
        <f t="shared" si="139"/>
        <v>6.3642977515316188</v>
      </c>
    </row>
    <row r="1780" spans="1:7" x14ac:dyDescent="0.35">
      <c r="A1780">
        <v>1032</v>
      </c>
      <c r="B1780">
        <f t="shared" si="135"/>
        <v>-306.35206382240722</v>
      </c>
      <c r="C1780">
        <f t="shared" si="136"/>
        <v>93851.587008248258</v>
      </c>
      <c r="D1780">
        <v>8636</v>
      </c>
      <c r="E1780">
        <f t="shared" si="137"/>
        <v>0.86360000000000003</v>
      </c>
      <c r="F1780">
        <f t="shared" si="138"/>
        <v>-2.5162559833506726</v>
      </c>
      <c r="G1780">
        <f t="shared" si="139"/>
        <v>6.3315441737480604</v>
      </c>
    </row>
    <row r="1781" spans="1:7" x14ac:dyDescent="0.35">
      <c r="A1781">
        <v>1032</v>
      </c>
      <c r="B1781">
        <f t="shared" si="135"/>
        <v>-306.35206382240722</v>
      </c>
      <c r="C1781">
        <f t="shared" si="136"/>
        <v>93851.587008248258</v>
      </c>
      <c r="D1781">
        <v>8747</v>
      </c>
      <c r="E1781">
        <f t="shared" si="137"/>
        <v>0.87470000000000003</v>
      </c>
      <c r="F1781">
        <f t="shared" si="138"/>
        <v>-2.5051559833506722</v>
      </c>
      <c r="G1781">
        <f t="shared" si="139"/>
        <v>6.2758065009176738</v>
      </c>
    </row>
    <row r="1782" spans="1:7" x14ac:dyDescent="0.35">
      <c r="A1782">
        <v>1032</v>
      </c>
      <c r="B1782">
        <f t="shared" si="135"/>
        <v>-306.35206382240722</v>
      </c>
      <c r="C1782">
        <f t="shared" si="136"/>
        <v>93851.587008248258</v>
      </c>
      <c r="D1782">
        <v>5290</v>
      </c>
      <c r="E1782">
        <f t="shared" si="137"/>
        <v>0.52900000000000003</v>
      </c>
      <c r="F1782">
        <f t="shared" si="138"/>
        <v>-2.8508559833506726</v>
      </c>
      <c r="G1782">
        <f t="shared" si="139"/>
        <v>8.1273798378063304</v>
      </c>
    </row>
    <row r="1783" spans="1:7" x14ac:dyDescent="0.35">
      <c r="A1783">
        <v>1032</v>
      </c>
      <c r="B1783">
        <f t="shared" si="135"/>
        <v>-306.35206382240722</v>
      </c>
      <c r="C1783">
        <f t="shared" si="136"/>
        <v>93851.587008248258</v>
      </c>
      <c r="D1783">
        <v>2988</v>
      </c>
      <c r="E1783">
        <f t="shared" si="137"/>
        <v>0.29880000000000001</v>
      </c>
      <c r="F1783">
        <f t="shared" si="138"/>
        <v>-3.0810559833506725</v>
      </c>
      <c r="G1783">
        <f t="shared" si="139"/>
        <v>9.4929059725409797</v>
      </c>
    </row>
    <row r="1784" spans="1:7" x14ac:dyDescent="0.35">
      <c r="A1784">
        <v>1032</v>
      </c>
      <c r="B1784">
        <f t="shared" si="135"/>
        <v>-306.35206382240722</v>
      </c>
      <c r="C1784">
        <f t="shared" si="136"/>
        <v>93851.587008248258</v>
      </c>
      <c r="D1784">
        <v>6225</v>
      </c>
      <c r="E1784">
        <f t="shared" si="137"/>
        <v>0.62250000000000005</v>
      </c>
      <c r="F1784">
        <f t="shared" si="138"/>
        <v>-2.7573559833506724</v>
      </c>
      <c r="G1784">
        <f t="shared" si="139"/>
        <v>7.6030120189197534</v>
      </c>
    </row>
    <row r="1785" spans="1:7" x14ac:dyDescent="0.35">
      <c r="A1785">
        <v>1032</v>
      </c>
      <c r="B1785">
        <f t="shared" si="135"/>
        <v>-306.35206382240722</v>
      </c>
      <c r="C1785">
        <f t="shared" si="136"/>
        <v>93851.587008248258</v>
      </c>
      <c r="D1785">
        <v>8345</v>
      </c>
      <c r="E1785">
        <f t="shared" si="137"/>
        <v>0.83450000000000002</v>
      </c>
      <c r="F1785">
        <f t="shared" si="138"/>
        <v>-2.5453559833506727</v>
      </c>
      <c r="G1785">
        <f t="shared" si="139"/>
        <v>6.4788370819790702</v>
      </c>
    </row>
    <row r="1786" spans="1:7" x14ac:dyDescent="0.35">
      <c r="A1786">
        <v>1032</v>
      </c>
      <c r="B1786">
        <f t="shared" si="135"/>
        <v>-306.35206382240722</v>
      </c>
      <c r="C1786">
        <f t="shared" si="136"/>
        <v>93851.587008248258</v>
      </c>
      <c r="D1786">
        <v>8717</v>
      </c>
      <c r="E1786">
        <f t="shared" si="137"/>
        <v>0.87170000000000003</v>
      </c>
      <c r="F1786">
        <f t="shared" si="138"/>
        <v>-2.5081559833506724</v>
      </c>
      <c r="G1786">
        <f t="shared" si="139"/>
        <v>6.2908464368177786</v>
      </c>
    </row>
    <row r="1787" spans="1:7" x14ac:dyDescent="0.35">
      <c r="A1787">
        <v>1032</v>
      </c>
      <c r="B1787">
        <f t="shared" si="135"/>
        <v>-306.35206382240722</v>
      </c>
      <c r="C1787">
        <f t="shared" si="136"/>
        <v>93851.587008248258</v>
      </c>
      <c r="D1787">
        <v>9653</v>
      </c>
      <c r="E1787">
        <f t="shared" si="137"/>
        <v>0.96530000000000005</v>
      </c>
      <c r="F1787">
        <f t="shared" si="138"/>
        <v>-2.4145559833506725</v>
      </c>
      <c r="G1787">
        <f t="shared" si="139"/>
        <v>5.8300805967345326</v>
      </c>
    </row>
    <row r="1788" spans="1:7" x14ac:dyDescent="0.35">
      <c r="A1788">
        <v>1032</v>
      </c>
      <c r="B1788">
        <f t="shared" si="135"/>
        <v>-306.35206382240722</v>
      </c>
      <c r="C1788">
        <f t="shared" si="136"/>
        <v>93851.587008248258</v>
      </c>
      <c r="D1788">
        <v>10904</v>
      </c>
      <c r="E1788">
        <f t="shared" si="137"/>
        <v>1.0904</v>
      </c>
      <c r="F1788">
        <f t="shared" si="138"/>
        <v>-2.2894559833506722</v>
      </c>
      <c r="G1788">
        <f t="shared" si="139"/>
        <v>5.2416086997001941</v>
      </c>
    </row>
    <row r="1789" spans="1:7" x14ac:dyDescent="0.35">
      <c r="A1789">
        <v>1032</v>
      </c>
      <c r="B1789">
        <f t="shared" si="135"/>
        <v>-306.35206382240722</v>
      </c>
      <c r="C1789">
        <f t="shared" si="136"/>
        <v>93851.587008248258</v>
      </c>
      <c r="D1789">
        <v>10552</v>
      </c>
      <c r="E1789">
        <f t="shared" si="137"/>
        <v>1.0551999999999999</v>
      </c>
      <c r="F1789">
        <f t="shared" si="138"/>
        <v>-2.3246559833506728</v>
      </c>
      <c r="G1789">
        <f t="shared" si="139"/>
        <v>5.4040254409280832</v>
      </c>
    </row>
    <row r="1790" spans="1:7" x14ac:dyDescent="0.35">
      <c r="A1790">
        <v>1032</v>
      </c>
      <c r="B1790">
        <f t="shared" si="135"/>
        <v>-306.35206382240722</v>
      </c>
      <c r="C1790">
        <f t="shared" si="136"/>
        <v>93851.587008248258</v>
      </c>
      <c r="D1790">
        <v>10000</v>
      </c>
      <c r="E1790">
        <f t="shared" si="137"/>
        <v>1</v>
      </c>
      <c r="F1790">
        <f t="shared" si="138"/>
        <v>-2.3798559833506725</v>
      </c>
      <c r="G1790">
        <f t="shared" si="139"/>
        <v>5.6637145014899968</v>
      </c>
    </row>
    <row r="1791" spans="1:7" x14ac:dyDescent="0.35">
      <c r="A1791">
        <v>1032</v>
      </c>
      <c r="B1791">
        <f t="shared" si="135"/>
        <v>-306.35206382240722</v>
      </c>
      <c r="C1791">
        <f t="shared" si="136"/>
        <v>93851.587008248258</v>
      </c>
      <c r="D1791">
        <v>9816</v>
      </c>
      <c r="E1791">
        <f t="shared" si="137"/>
        <v>0.98160000000000003</v>
      </c>
      <c r="F1791">
        <f t="shared" si="138"/>
        <v>-2.3982559833506727</v>
      </c>
      <c r="G1791">
        <f t="shared" si="139"/>
        <v>5.7516317616773023</v>
      </c>
    </row>
    <row r="1792" spans="1:7" x14ac:dyDescent="0.35">
      <c r="A1792">
        <v>1032</v>
      </c>
      <c r="B1792">
        <f t="shared" si="135"/>
        <v>-306.35206382240722</v>
      </c>
      <c r="C1792">
        <f t="shared" si="136"/>
        <v>93851.587008248258</v>
      </c>
      <c r="D1792">
        <v>9582</v>
      </c>
      <c r="E1792">
        <f t="shared" si="137"/>
        <v>0.95820000000000005</v>
      </c>
      <c r="F1792">
        <f t="shared" si="138"/>
        <v>-2.4216559833506723</v>
      </c>
      <c r="G1792">
        <f t="shared" si="139"/>
        <v>5.8644177016981116</v>
      </c>
    </row>
    <row r="1793" spans="1:7" x14ac:dyDescent="0.35">
      <c r="A1793">
        <v>1032</v>
      </c>
      <c r="B1793">
        <f t="shared" si="135"/>
        <v>-306.35206382240722</v>
      </c>
      <c r="C1793">
        <f t="shared" si="136"/>
        <v>93851.587008248258</v>
      </c>
      <c r="D1793">
        <v>2789</v>
      </c>
      <c r="E1793">
        <f t="shared" si="137"/>
        <v>0.27889999999999998</v>
      </c>
      <c r="F1793">
        <f t="shared" si="138"/>
        <v>-3.1009559833506724</v>
      </c>
      <c r="G1793">
        <f t="shared" si="139"/>
        <v>9.6159280106783349</v>
      </c>
    </row>
    <row r="1794" spans="1:7" x14ac:dyDescent="0.35">
      <c r="A1794">
        <v>1032</v>
      </c>
      <c r="B1794">
        <f t="shared" si="135"/>
        <v>-306.35206382240722</v>
      </c>
      <c r="C1794">
        <f t="shared" si="136"/>
        <v>93851.587008248258</v>
      </c>
      <c r="D1794">
        <v>9604</v>
      </c>
      <c r="E1794">
        <f t="shared" si="137"/>
        <v>0.96040000000000003</v>
      </c>
      <c r="F1794">
        <f t="shared" si="138"/>
        <v>-2.4194559833506726</v>
      </c>
      <c r="G1794">
        <f t="shared" si="139"/>
        <v>5.8537672553713698</v>
      </c>
    </row>
    <row r="1795" spans="1:7" x14ac:dyDescent="0.35">
      <c r="A1795">
        <v>1032</v>
      </c>
      <c r="B1795">
        <f t="shared" ref="B1795:B1858" si="140">A1795-$J$1</f>
        <v>-306.35206382240722</v>
      </c>
      <c r="C1795">
        <f t="shared" ref="C1795:C1858" si="141">B1795^2</f>
        <v>93851.587008248258</v>
      </c>
      <c r="D1795">
        <v>2034</v>
      </c>
      <c r="E1795">
        <f t="shared" ref="E1795:E1858" si="142">D1795/10000</f>
        <v>0.2034</v>
      </c>
      <c r="F1795">
        <f t="shared" ref="F1795:F1858" si="143">E1795-$J$2</f>
        <v>-3.1764559833506727</v>
      </c>
      <c r="G1795">
        <f t="shared" ref="G1795:G1858" si="144">F1795^2</f>
        <v>10.089872614164289</v>
      </c>
    </row>
    <row r="1796" spans="1:7" x14ac:dyDescent="0.35">
      <c r="A1796">
        <v>1032</v>
      </c>
      <c r="B1796">
        <f t="shared" si="140"/>
        <v>-306.35206382240722</v>
      </c>
      <c r="C1796">
        <f t="shared" si="141"/>
        <v>93851.587008248258</v>
      </c>
      <c r="D1796">
        <v>2729</v>
      </c>
      <c r="E1796">
        <f t="shared" si="142"/>
        <v>0.27289999999999998</v>
      </c>
      <c r="F1796">
        <f t="shared" si="143"/>
        <v>-3.1069559833506726</v>
      </c>
      <c r="G1796">
        <f t="shared" si="144"/>
        <v>9.6531754824785452</v>
      </c>
    </row>
    <row r="1797" spans="1:7" x14ac:dyDescent="0.35">
      <c r="A1797">
        <v>1032</v>
      </c>
      <c r="B1797">
        <f t="shared" si="140"/>
        <v>-306.35206382240722</v>
      </c>
      <c r="C1797">
        <f t="shared" si="141"/>
        <v>93851.587008248258</v>
      </c>
      <c r="D1797">
        <v>2845</v>
      </c>
      <c r="E1797">
        <f t="shared" si="142"/>
        <v>0.28449999999999998</v>
      </c>
      <c r="F1797">
        <f t="shared" si="143"/>
        <v>-3.0953559833506725</v>
      </c>
      <c r="G1797">
        <f t="shared" si="144"/>
        <v>9.5812286636648096</v>
      </c>
    </row>
    <row r="1798" spans="1:7" x14ac:dyDescent="0.35">
      <c r="A1798">
        <v>1032</v>
      </c>
      <c r="B1798">
        <f t="shared" si="140"/>
        <v>-306.35206382240722</v>
      </c>
      <c r="C1798">
        <f t="shared" si="141"/>
        <v>93851.587008248258</v>
      </c>
      <c r="D1798">
        <v>2836</v>
      </c>
      <c r="E1798">
        <f t="shared" si="142"/>
        <v>0.28360000000000002</v>
      </c>
      <c r="F1798">
        <f t="shared" si="143"/>
        <v>-3.0962559833506726</v>
      </c>
      <c r="G1798">
        <f t="shared" si="144"/>
        <v>9.5868011144348415</v>
      </c>
    </row>
    <row r="1799" spans="1:7" x14ac:dyDescent="0.35">
      <c r="A1799">
        <v>1032</v>
      </c>
      <c r="B1799">
        <f t="shared" si="140"/>
        <v>-306.35206382240722</v>
      </c>
      <c r="C1799">
        <f t="shared" si="141"/>
        <v>93851.587008248258</v>
      </c>
      <c r="D1799">
        <v>9835</v>
      </c>
      <c r="E1799">
        <f t="shared" si="142"/>
        <v>0.98350000000000004</v>
      </c>
      <c r="F1799">
        <f t="shared" si="143"/>
        <v>-2.3963559833506727</v>
      </c>
      <c r="G1799">
        <f t="shared" si="144"/>
        <v>5.7425219989405694</v>
      </c>
    </row>
    <row r="1800" spans="1:7" x14ac:dyDescent="0.35">
      <c r="A1800">
        <v>1032</v>
      </c>
      <c r="B1800">
        <f t="shared" si="140"/>
        <v>-306.35206382240722</v>
      </c>
      <c r="C1800">
        <f t="shared" si="141"/>
        <v>93851.587008248258</v>
      </c>
      <c r="D1800">
        <v>11365</v>
      </c>
      <c r="E1800">
        <f t="shared" si="142"/>
        <v>1.1365000000000001</v>
      </c>
      <c r="F1800">
        <f t="shared" si="143"/>
        <v>-2.2433559833506722</v>
      </c>
      <c r="G1800">
        <f t="shared" si="144"/>
        <v>5.0326460680352616</v>
      </c>
    </row>
    <row r="1801" spans="1:7" x14ac:dyDescent="0.35">
      <c r="A1801">
        <v>1032</v>
      </c>
      <c r="B1801">
        <f t="shared" si="140"/>
        <v>-306.35206382240722</v>
      </c>
      <c r="C1801">
        <f t="shared" si="141"/>
        <v>93851.587008248258</v>
      </c>
      <c r="D1801">
        <v>11366</v>
      </c>
      <c r="E1801">
        <f t="shared" si="142"/>
        <v>1.1366000000000001</v>
      </c>
      <c r="F1801">
        <f t="shared" si="143"/>
        <v>-2.2432559833506724</v>
      </c>
      <c r="G1801">
        <f t="shared" si="144"/>
        <v>5.0321974068385922</v>
      </c>
    </row>
    <row r="1802" spans="1:7" x14ac:dyDescent="0.35">
      <c r="A1802">
        <v>1032</v>
      </c>
      <c r="B1802">
        <f t="shared" si="140"/>
        <v>-306.35206382240722</v>
      </c>
      <c r="C1802">
        <f t="shared" si="141"/>
        <v>93851.587008248258</v>
      </c>
      <c r="D1802">
        <v>5589</v>
      </c>
      <c r="E1802">
        <f t="shared" si="142"/>
        <v>0.55889999999999995</v>
      </c>
      <c r="F1802">
        <f t="shared" si="143"/>
        <v>-2.8209559833506725</v>
      </c>
      <c r="G1802">
        <f t="shared" si="144"/>
        <v>7.9577926600019602</v>
      </c>
    </row>
    <row r="1803" spans="1:7" x14ac:dyDescent="0.35">
      <c r="A1803">
        <v>1032</v>
      </c>
      <c r="B1803">
        <f t="shared" si="140"/>
        <v>-306.35206382240722</v>
      </c>
      <c r="C1803">
        <f t="shared" si="141"/>
        <v>93851.587008248258</v>
      </c>
      <c r="D1803">
        <v>2824</v>
      </c>
      <c r="E1803">
        <f t="shared" si="142"/>
        <v>0.28239999999999998</v>
      </c>
      <c r="F1803">
        <f t="shared" si="143"/>
        <v>-3.0974559833506725</v>
      </c>
      <c r="G1803">
        <f t="shared" si="144"/>
        <v>9.5942335687948823</v>
      </c>
    </row>
    <row r="1804" spans="1:7" x14ac:dyDescent="0.35">
      <c r="A1804">
        <v>1032</v>
      </c>
      <c r="B1804">
        <f t="shared" si="140"/>
        <v>-306.35206382240722</v>
      </c>
      <c r="C1804">
        <f t="shared" si="141"/>
        <v>93851.587008248258</v>
      </c>
      <c r="D1804">
        <v>4137</v>
      </c>
      <c r="E1804">
        <f t="shared" si="142"/>
        <v>0.41370000000000001</v>
      </c>
      <c r="F1804">
        <f t="shared" si="143"/>
        <v>-2.9661559833506725</v>
      </c>
      <c r="G1804">
        <f t="shared" si="144"/>
        <v>8.7980813175669947</v>
      </c>
    </row>
    <row r="1805" spans="1:7" x14ac:dyDescent="0.35">
      <c r="A1805">
        <v>1032</v>
      </c>
      <c r="B1805">
        <f t="shared" si="140"/>
        <v>-306.35206382240722</v>
      </c>
      <c r="C1805">
        <f t="shared" si="141"/>
        <v>93851.587008248258</v>
      </c>
      <c r="D1805">
        <v>5458</v>
      </c>
      <c r="E1805">
        <f t="shared" si="142"/>
        <v>0.54579999999999995</v>
      </c>
      <c r="F1805">
        <f t="shared" si="143"/>
        <v>-2.8340559833506727</v>
      </c>
      <c r="G1805">
        <f t="shared" si="144"/>
        <v>8.0318733167657488</v>
      </c>
    </row>
    <row r="1806" spans="1:7" x14ac:dyDescent="0.35">
      <c r="A1806">
        <v>1032</v>
      </c>
      <c r="B1806">
        <f t="shared" si="140"/>
        <v>-306.35206382240722</v>
      </c>
      <c r="C1806">
        <f t="shared" si="141"/>
        <v>93851.587008248258</v>
      </c>
      <c r="D1806">
        <v>6037</v>
      </c>
      <c r="E1806">
        <f t="shared" si="142"/>
        <v>0.60370000000000001</v>
      </c>
      <c r="F1806">
        <f t="shared" si="143"/>
        <v>-2.7761559833506726</v>
      </c>
      <c r="G1806">
        <f t="shared" si="144"/>
        <v>7.7070420438937397</v>
      </c>
    </row>
    <row r="1807" spans="1:7" x14ac:dyDescent="0.35">
      <c r="A1807">
        <v>2091</v>
      </c>
      <c r="B1807">
        <f t="shared" si="140"/>
        <v>752.64793617759278</v>
      </c>
      <c r="C1807">
        <f t="shared" si="141"/>
        <v>566478.91583238973</v>
      </c>
      <c r="D1807">
        <v>30718</v>
      </c>
      <c r="E1807">
        <f t="shared" si="142"/>
        <v>3.0718000000000001</v>
      </c>
      <c r="F1807">
        <f t="shared" si="143"/>
        <v>-0.30805598335067241</v>
      </c>
      <c r="G1807">
        <f t="shared" si="144"/>
        <v>9.4898488878149764E-2</v>
      </c>
    </row>
    <row r="1808" spans="1:7" x14ac:dyDescent="0.35">
      <c r="A1808">
        <v>2091</v>
      </c>
      <c r="B1808">
        <f t="shared" si="140"/>
        <v>752.64793617759278</v>
      </c>
      <c r="C1808">
        <f t="shared" si="141"/>
        <v>566478.91583238973</v>
      </c>
      <c r="D1808">
        <v>30279</v>
      </c>
      <c r="E1808">
        <f t="shared" si="142"/>
        <v>3.0278999999999998</v>
      </c>
      <c r="F1808">
        <f t="shared" si="143"/>
        <v>-0.35195598335067269</v>
      </c>
      <c r="G1808">
        <f t="shared" si="144"/>
        <v>0.12387301421633899</v>
      </c>
    </row>
    <row r="1809" spans="1:7" x14ac:dyDescent="0.35">
      <c r="A1809">
        <v>2091</v>
      </c>
      <c r="B1809">
        <f t="shared" si="140"/>
        <v>752.64793617759278</v>
      </c>
      <c r="C1809">
        <f t="shared" si="141"/>
        <v>566478.91583238973</v>
      </c>
      <c r="D1809">
        <v>30424</v>
      </c>
      <c r="E1809">
        <f t="shared" si="142"/>
        <v>3.0424000000000002</v>
      </c>
      <c r="F1809">
        <f t="shared" si="143"/>
        <v>-0.33745598335067228</v>
      </c>
      <c r="G1809">
        <f t="shared" si="144"/>
        <v>0.11387654069916921</v>
      </c>
    </row>
    <row r="1810" spans="1:7" x14ac:dyDescent="0.35">
      <c r="A1810">
        <v>2091</v>
      </c>
      <c r="B1810">
        <f t="shared" si="140"/>
        <v>752.64793617759278</v>
      </c>
      <c r="C1810">
        <f t="shared" si="141"/>
        <v>566478.91583238973</v>
      </c>
      <c r="D1810">
        <v>29174</v>
      </c>
      <c r="E1810">
        <f t="shared" si="142"/>
        <v>2.9174000000000002</v>
      </c>
      <c r="F1810">
        <f t="shared" si="143"/>
        <v>-0.46245598335067228</v>
      </c>
      <c r="G1810">
        <f t="shared" si="144"/>
        <v>0.21386553653683729</v>
      </c>
    </row>
    <row r="1811" spans="1:7" x14ac:dyDescent="0.35">
      <c r="A1811">
        <v>2091</v>
      </c>
      <c r="B1811">
        <f t="shared" si="140"/>
        <v>752.64793617759278</v>
      </c>
      <c r="C1811">
        <f t="shared" si="141"/>
        <v>566478.91583238973</v>
      </c>
      <c r="D1811">
        <v>29353</v>
      </c>
      <c r="E1811">
        <f t="shared" si="142"/>
        <v>2.9352999999999998</v>
      </c>
      <c r="F1811">
        <f t="shared" si="143"/>
        <v>-0.4445559833506727</v>
      </c>
      <c r="G1811">
        <f t="shared" si="144"/>
        <v>0.19763002233288357</v>
      </c>
    </row>
    <row r="1812" spans="1:7" x14ac:dyDescent="0.35">
      <c r="A1812">
        <v>2091</v>
      </c>
      <c r="B1812">
        <f t="shared" si="140"/>
        <v>752.64793617759278</v>
      </c>
      <c r="C1812">
        <f t="shared" si="141"/>
        <v>566478.91583238973</v>
      </c>
      <c r="D1812">
        <v>28400</v>
      </c>
      <c r="E1812">
        <f t="shared" si="142"/>
        <v>2.84</v>
      </c>
      <c r="F1812">
        <f t="shared" si="143"/>
        <v>-0.53985598335067264</v>
      </c>
      <c r="G1812">
        <f t="shared" si="144"/>
        <v>0.29144448275952173</v>
      </c>
    </row>
    <row r="1813" spans="1:7" x14ac:dyDescent="0.35">
      <c r="A1813">
        <v>2091</v>
      </c>
      <c r="B1813">
        <f t="shared" si="140"/>
        <v>752.64793617759278</v>
      </c>
      <c r="C1813">
        <f t="shared" si="141"/>
        <v>566478.91583238973</v>
      </c>
      <c r="D1813">
        <v>28882</v>
      </c>
      <c r="E1813">
        <f t="shared" si="142"/>
        <v>2.8881999999999999</v>
      </c>
      <c r="F1813">
        <f t="shared" si="143"/>
        <v>-0.49165598335067262</v>
      </c>
      <c r="G1813">
        <f t="shared" si="144"/>
        <v>0.24172560596451687</v>
      </c>
    </row>
    <row r="1814" spans="1:7" x14ac:dyDescent="0.35">
      <c r="A1814">
        <v>2091</v>
      </c>
      <c r="B1814">
        <f t="shared" si="140"/>
        <v>752.64793617759278</v>
      </c>
      <c r="C1814">
        <f t="shared" si="141"/>
        <v>566478.91583238973</v>
      </c>
      <c r="D1814">
        <v>30063</v>
      </c>
      <c r="E1814">
        <f t="shared" si="142"/>
        <v>3.0063</v>
      </c>
      <c r="F1814">
        <f t="shared" si="143"/>
        <v>-0.37355598335067253</v>
      </c>
      <c r="G1814">
        <f t="shared" si="144"/>
        <v>0.13954407269708793</v>
      </c>
    </row>
    <row r="1815" spans="1:7" x14ac:dyDescent="0.35">
      <c r="A1815">
        <v>2091</v>
      </c>
      <c r="B1815">
        <f t="shared" si="140"/>
        <v>752.64793617759278</v>
      </c>
      <c r="C1815">
        <f t="shared" si="141"/>
        <v>566478.91583238973</v>
      </c>
      <c r="D1815">
        <v>31182</v>
      </c>
      <c r="E1815">
        <f t="shared" si="142"/>
        <v>3.1181999999999999</v>
      </c>
      <c r="F1815">
        <f t="shared" si="143"/>
        <v>-0.26165598335067264</v>
      </c>
      <c r="G1815">
        <f t="shared" si="144"/>
        <v>6.8463853623207477E-2</v>
      </c>
    </row>
    <row r="1816" spans="1:7" x14ac:dyDescent="0.35">
      <c r="A1816">
        <v>2091</v>
      </c>
      <c r="B1816">
        <f t="shared" si="140"/>
        <v>752.64793617759278</v>
      </c>
      <c r="C1816">
        <f t="shared" si="141"/>
        <v>566478.91583238973</v>
      </c>
      <c r="D1816">
        <v>29290</v>
      </c>
      <c r="E1816">
        <f t="shared" si="142"/>
        <v>2.9289999999999998</v>
      </c>
      <c r="F1816">
        <f t="shared" si="143"/>
        <v>-0.45085598335067267</v>
      </c>
      <c r="G1816">
        <f t="shared" si="144"/>
        <v>0.20327111772310202</v>
      </c>
    </row>
    <row r="1817" spans="1:7" x14ac:dyDescent="0.35">
      <c r="A1817">
        <v>2091</v>
      </c>
      <c r="B1817">
        <f t="shared" si="140"/>
        <v>752.64793617759278</v>
      </c>
      <c r="C1817">
        <f t="shared" si="141"/>
        <v>566478.91583238973</v>
      </c>
      <c r="D1817">
        <v>30159</v>
      </c>
      <c r="E1817">
        <f t="shared" si="142"/>
        <v>3.0158999999999998</v>
      </c>
      <c r="F1817">
        <f t="shared" si="143"/>
        <v>-0.3639559833506727</v>
      </c>
      <c r="G1817">
        <f t="shared" si="144"/>
        <v>0.13246395781675513</v>
      </c>
    </row>
    <row r="1818" spans="1:7" x14ac:dyDescent="0.35">
      <c r="A1818">
        <v>2091</v>
      </c>
      <c r="B1818">
        <f t="shared" si="140"/>
        <v>752.64793617759278</v>
      </c>
      <c r="C1818">
        <f t="shared" si="141"/>
        <v>566478.91583238973</v>
      </c>
      <c r="D1818">
        <v>30308</v>
      </c>
      <c r="E1818">
        <f t="shared" si="142"/>
        <v>3.0308000000000002</v>
      </c>
      <c r="F1818">
        <f t="shared" si="143"/>
        <v>-0.34905598335067234</v>
      </c>
      <c r="G1818">
        <f t="shared" si="144"/>
        <v>0.12184007951290485</v>
      </c>
    </row>
    <row r="1819" spans="1:7" x14ac:dyDescent="0.35">
      <c r="A1819">
        <v>2091</v>
      </c>
      <c r="B1819">
        <f t="shared" si="140"/>
        <v>752.64793617759278</v>
      </c>
      <c r="C1819">
        <f t="shared" si="141"/>
        <v>566478.91583238973</v>
      </c>
      <c r="D1819">
        <v>30793</v>
      </c>
      <c r="E1819">
        <f t="shared" si="142"/>
        <v>3.0792999999999999</v>
      </c>
      <c r="F1819">
        <f t="shared" si="143"/>
        <v>-0.30055598335067257</v>
      </c>
      <c r="G1819">
        <f t="shared" si="144"/>
        <v>9.0333899127889764E-2</v>
      </c>
    </row>
    <row r="1820" spans="1:7" x14ac:dyDescent="0.35">
      <c r="A1820">
        <v>2091</v>
      </c>
      <c r="B1820">
        <f t="shared" si="140"/>
        <v>752.64793617759278</v>
      </c>
      <c r="C1820">
        <f t="shared" si="141"/>
        <v>566478.91583238973</v>
      </c>
      <c r="D1820">
        <v>32405</v>
      </c>
      <c r="E1820">
        <f t="shared" si="142"/>
        <v>3.2404999999999999</v>
      </c>
      <c r="F1820">
        <f t="shared" si="143"/>
        <v>-0.13935598335067256</v>
      </c>
      <c r="G1820">
        <f t="shared" si="144"/>
        <v>1.942009009563293E-2</v>
      </c>
    </row>
    <row r="1821" spans="1:7" x14ac:dyDescent="0.35">
      <c r="A1821">
        <v>2091</v>
      </c>
      <c r="B1821">
        <f t="shared" si="140"/>
        <v>752.64793617759278</v>
      </c>
      <c r="C1821">
        <f t="shared" si="141"/>
        <v>566478.91583238973</v>
      </c>
      <c r="D1821">
        <v>33301</v>
      </c>
      <c r="E1821">
        <f t="shared" si="142"/>
        <v>3.3300999999999998</v>
      </c>
      <c r="F1821">
        <f t="shared" si="143"/>
        <v>-4.9755983350672661E-2</v>
      </c>
      <c r="G1821">
        <f t="shared" si="144"/>
        <v>2.4756578791924151E-3</v>
      </c>
    </row>
    <row r="1822" spans="1:7" x14ac:dyDescent="0.35">
      <c r="A1822">
        <v>2091</v>
      </c>
      <c r="B1822">
        <f t="shared" si="140"/>
        <v>752.64793617759278</v>
      </c>
      <c r="C1822">
        <f t="shared" si="141"/>
        <v>566478.91583238973</v>
      </c>
      <c r="D1822">
        <v>33639</v>
      </c>
      <c r="E1822">
        <f t="shared" si="142"/>
        <v>3.3639000000000001</v>
      </c>
      <c r="F1822">
        <f t="shared" si="143"/>
        <v>-1.5955983350672387E-2</v>
      </c>
      <c r="G1822">
        <f t="shared" si="144"/>
        <v>2.5459340468693441E-4</v>
      </c>
    </row>
    <row r="1823" spans="1:7" x14ac:dyDescent="0.35">
      <c r="A1823">
        <v>2091</v>
      </c>
      <c r="B1823">
        <f t="shared" si="140"/>
        <v>752.64793617759278</v>
      </c>
      <c r="C1823">
        <f t="shared" si="141"/>
        <v>566478.91583238973</v>
      </c>
      <c r="D1823">
        <v>33655</v>
      </c>
      <c r="E1823">
        <f t="shared" si="142"/>
        <v>3.3654999999999999</v>
      </c>
      <c r="F1823">
        <f t="shared" si="143"/>
        <v>-1.4355983350672563E-2</v>
      </c>
      <c r="G1823">
        <f t="shared" si="144"/>
        <v>2.0609425796478783E-4</v>
      </c>
    </row>
    <row r="1824" spans="1:7" x14ac:dyDescent="0.35">
      <c r="A1824">
        <v>2091</v>
      </c>
      <c r="B1824">
        <f t="shared" si="140"/>
        <v>752.64793617759278</v>
      </c>
      <c r="C1824">
        <f t="shared" si="141"/>
        <v>566478.91583238973</v>
      </c>
      <c r="D1824">
        <v>35785</v>
      </c>
      <c r="E1824">
        <f t="shared" si="142"/>
        <v>3.5785</v>
      </c>
      <c r="F1824">
        <f t="shared" si="143"/>
        <v>0.19864401664932752</v>
      </c>
      <c r="G1824">
        <f t="shared" si="144"/>
        <v>3.9459445350578305E-2</v>
      </c>
    </row>
    <row r="1825" spans="1:7" x14ac:dyDescent="0.35">
      <c r="A1825">
        <v>2091</v>
      </c>
      <c r="B1825">
        <f t="shared" si="140"/>
        <v>752.64793617759278</v>
      </c>
      <c r="C1825">
        <f t="shared" si="141"/>
        <v>566478.91583238973</v>
      </c>
      <c r="D1825">
        <v>36899</v>
      </c>
      <c r="E1825">
        <f t="shared" si="142"/>
        <v>3.6899000000000002</v>
      </c>
      <c r="F1825">
        <f t="shared" si="143"/>
        <v>0.31004401664932768</v>
      </c>
      <c r="G1825">
        <f t="shared" si="144"/>
        <v>9.6127292260048583E-2</v>
      </c>
    </row>
    <row r="1826" spans="1:7" x14ac:dyDescent="0.35">
      <c r="A1826">
        <v>2091</v>
      </c>
      <c r="B1826">
        <f t="shared" si="140"/>
        <v>752.64793617759278</v>
      </c>
      <c r="C1826">
        <f t="shared" si="141"/>
        <v>566478.91583238973</v>
      </c>
      <c r="D1826">
        <v>37694</v>
      </c>
      <c r="E1826">
        <f t="shared" si="142"/>
        <v>3.7694000000000001</v>
      </c>
      <c r="F1826">
        <f t="shared" si="143"/>
        <v>0.38954401664932758</v>
      </c>
      <c r="G1826">
        <f t="shared" si="144"/>
        <v>0.15174454090729161</v>
      </c>
    </row>
    <row r="1827" spans="1:7" x14ac:dyDescent="0.35">
      <c r="A1827">
        <v>2091</v>
      </c>
      <c r="B1827">
        <f t="shared" si="140"/>
        <v>752.64793617759278</v>
      </c>
      <c r="C1827">
        <f t="shared" si="141"/>
        <v>566478.91583238973</v>
      </c>
      <c r="D1827">
        <v>38639</v>
      </c>
      <c r="E1827">
        <f t="shared" si="142"/>
        <v>3.8639000000000001</v>
      </c>
      <c r="F1827">
        <f t="shared" si="143"/>
        <v>0.48404401664932761</v>
      </c>
      <c r="G1827">
        <f t="shared" si="144"/>
        <v>0.23429861005401456</v>
      </c>
    </row>
    <row r="1828" spans="1:7" x14ac:dyDescent="0.35">
      <c r="A1828">
        <v>2091</v>
      </c>
      <c r="B1828">
        <f t="shared" si="140"/>
        <v>752.64793617759278</v>
      </c>
      <c r="C1828">
        <f t="shared" si="141"/>
        <v>566478.91583238973</v>
      </c>
      <c r="D1828">
        <v>39688</v>
      </c>
      <c r="E1828">
        <f t="shared" si="142"/>
        <v>3.9687999999999999</v>
      </c>
      <c r="F1828">
        <f t="shared" si="143"/>
        <v>0.58894401664932738</v>
      </c>
      <c r="G1828">
        <f t="shared" si="144"/>
        <v>0.3468550547470432</v>
      </c>
    </row>
    <row r="1829" spans="1:7" x14ac:dyDescent="0.35">
      <c r="A1829">
        <v>2091</v>
      </c>
      <c r="B1829">
        <f t="shared" si="140"/>
        <v>752.64793617759278</v>
      </c>
      <c r="C1829">
        <f t="shared" si="141"/>
        <v>566478.91583238973</v>
      </c>
      <c r="D1829">
        <v>39917</v>
      </c>
      <c r="E1829">
        <f t="shared" si="142"/>
        <v>3.9916999999999998</v>
      </c>
      <c r="F1829">
        <f t="shared" si="143"/>
        <v>0.6118440166493273</v>
      </c>
      <c r="G1829">
        <f t="shared" si="144"/>
        <v>0.37435310070958233</v>
      </c>
    </row>
    <row r="1830" spans="1:7" x14ac:dyDescent="0.35">
      <c r="A1830">
        <v>2091</v>
      </c>
      <c r="B1830">
        <f t="shared" si="140"/>
        <v>752.64793617759278</v>
      </c>
      <c r="C1830">
        <f t="shared" si="141"/>
        <v>566478.91583238973</v>
      </c>
      <c r="D1830">
        <v>40026</v>
      </c>
      <c r="E1830">
        <f t="shared" si="142"/>
        <v>4.0026000000000002</v>
      </c>
      <c r="F1830">
        <f t="shared" si="143"/>
        <v>0.62274401664932766</v>
      </c>
      <c r="G1830">
        <f t="shared" si="144"/>
        <v>0.38781011027253809</v>
      </c>
    </row>
    <row r="1831" spans="1:7" x14ac:dyDescent="0.35">
      <c r="A1831">
        <v>2091</v>
      </c>
      <c r="B1831">
        <f t="shared" si="140"/>
        <v>752.64793617759278</v>
      </c>
      <c r="C1831">
        <f t="shared" si="141"/>
        <v>566478.91583238973</v>
      </c>
      <c r="D1831">
        <v>37733</v>
      </c>
      <c r="E1831">
        <f t="shared" si="142"/>
        <v>3.7732999999999999</v>
      </c>
      <c r="F1831">
        <f t="shared" si="143"/>
        <v>0.39344401664932738</v>
      </c>
      <c r="G1831">
        <f t="shared" si="144"/>
        <v>0.15479819423715621</v>
      </c>
    </row>
    <row r="1832" spans="1:7" x14ac:dyDescent="0.35">
      <c r="A1832">
        <v>2091</v>
      </c>
      <c r="B1832">
        <f t="shared" si="140"/>
        <v>752.64793617759278</v>
      </c>
      <c r="C1832">
        <f t="shared" si="141"/>
        <v>566478.91583238973</v>
      </c>
      <c r="D1832">
        <v>37512</v>
      </c>
      <c r="E1832">
        <f t="shared" si="142"/>
        <v>3.7511999999999999</v>
      </c>
      <c r="F1832">
        <f t="shared" si="143"/>
        <v>0.37134401664932737</v>
      </c>
      <c r="G1832">
        <f t="shared" si="144"/>
        <v>0.13789637870125593</v>
      </c>
    </row>
    <row r="1833" spans="1:7" x14ac:dyDescent="0.35">
      <c r="A1833">
        <v>2091</v>
      </c>
      <c r="B1833">
        <f t="shared" si="140"/>
        <v>752.64793617759278</v>
      </c>
      <c r="C1833">
        <f t="shared" si="141"/>
        <v>566478.91583238973</v>
      </c>
      <c r="D1833">
        <v>37930</v>
      </c>
      <c r="E1833">
        <f t="shared" si="142"/>
        <v>3.7930000000000001</v>
      </c>
      <c r="F1833">
        <f t="shared" si="143"/>
        <v>0.41314401664932765</v>
      </c>
      <c r="G1833">
        <f t="shared" si="144"/>
        <v>0.17068797849313994</v>
      </c>
    </row>
    <row r="1834" spans="1:7" x14ac:dyDescent="0.35">
      <c r="A1834">
        <v>2091</v>
      </c>
      <c r="B1834">
        <f t="shared" si="140"/>
        <v>752.64793617759278</v>
      </c>
      <c r="C1834">
        <f t="shared" si="141"/>
        <v>566478.91583238973</v>
      </c>
      <c r="D1834">
        <v>38464</v>
      </c>
      <c r="E1834">
        <f t="shared" si="142"/>
        <v>3.8464</v>
      </c>
      <c r="F1834">
        <f t="shared" si="143"/>
        <v>0.46654401664932754</v>
      </c>
      <c r="G1834">
        <f t="shared" si="144"/>
        <v>0.217663319471288</v>
      </c>
    </row>
    <row r="1835" spans="1:7" x14ac:dyDescent="0.35">
      <c r="A1835">
        <v>2091</v>
      </c>
      <c r="B1835">
        <f t="shared" si="140"/>
        <v>752.64793617759278</v>
      </c>
      <c r="C1835">
        <f t="shared" si="141"/>
        <v>566478.91583238973</v>
      </c>
      <c r="D1835">
        <v>38718</v>
      </c>
      <c r="E1835">
        <f t="shared" si="142"/>
        <v>3.8717999999999999</v>
      </c>
      <c r="F1835">
        <f t="shared" si="143"/>
        <v>0.49194401664932741</v>
      </c>
      <c r="G1835">
        <f t="shared" si="144"/>
        <v>0.24200891551707374</v>
      </c>
    </row>
    <row r="1836" spans="1:7" x14ac:dyDescent="0.35">
      <c r="A1836">
        <v>2091</v>
      </c>
      <c r="B1836">
        <f t="shared" si="140"/>
        <v>752.64793617759278</v>
      </c>
      <c r="C1836">
        <f t="shared" si="141"/>
        <v>566478.91583238973</v>
      </c>
      <c r="D1836">
        <v>38181</v>
      </c>
      <c r="E1836">
        <f t="shared" si="142"/>
        <v>3.8180999999999998</v>
      </c>
      <c r="F1836">
        <f t="shared" si="143"/>
        <v>0.43824401664932733</v>
      </c>
      <c r="G1836">
        <f t="shared" si="144"/>
        <v>0.19205781812893588</v>
      </c>
    </row>
    <row r="1837" spans="1:7" x14ac:dyDescent="0.35">
      <c r="A1837">
        <v>1500</v>
      </c>
      <c r="B1837">
        <f t="shared" si="140"/>
        <v>161.64793617759278</v>
      </c>
      <c r="C1837">
        <f t="shared" si="141"/>
        <v>26130.05527047511</v>
      </c>
      <c r="D1837">
        <v>20161</v>
      </c>
      <c r="E1837">
        <f t="shared" si="142"/>
        <v>2.0160999999999998</v>
      </c>
      <c r="F1837">
        <f t="shared" si="143"/>
        <v>-1.3637559833506727</v>
      </c>
      <c r="G1837">
        <f t="shared" si="144"/>
        <v>1.8598303821247604</v>
      </c>
    </row>
    <row r="1838" spans="1:7" x14ac:dyDescent="0.35">
      <c r="A1838">
        <v>1500</v>
      </c>
      <c r="B1838">
        <f t="shared" si="140"/>
        <v>161.64793617759278</v>
      </c>
      <c r="C1838">
        <f t="shared" si="141"/>
        <v>26130.05527047511</v>
      </c>
      <c r="D1838">
        <v>17790</v>
      </c>
      <c r="E1838">
        <f t="shared" si="142"/>
        <v>1.7789999999999999</v>
      </c>
      <c r="F1838">
        <f t="shared" si="143"/>
        <v>-1.6008559833506726</v>
      </c>
      <c r="G1838">
        <f t="shared" si="144"/>
        <v>2.5627398794296488</v>
      </c>
    </row>
    <row r="1839" spans="1:7" x14ac:dyDescent="0.35">
      <c r="A1839">
        <v>1500</v>
      </c>
      <c r="B1839">
        <f t="shared" si="140"/>
        <v>161.64793617759278</v>
      </c>
      <c r="C1839">
        <f t="shared" si="141"/>
        <v>26130.05527047511</v>
      </c>
      <c r="D1839">
        <v>20950</v>
      </c>
      <c r="E1839">
        <f t="shared" si="142"/>
        <v>2.0950000000000002</v>
      </c>
      <c r="F1839">
        <f t="shared" si="143"/>
        <v>-1.2848559833506723</v>
      </c>
      <c r="G1839">
        <f t="shared" si="144"/>
        <v>1.650854897952023</v>
      </c>
    </row>
    <row r="1840" spans="1:7" x14ac:dyDescent="0.35">
      <c r="A1840">
        <v>1500</v>
      </c>
      <c r="B1840">
        <f t="shared" si="140"/>
        <v>161.64793617759278</v>
      </c>
      <c r="C1840">
        <f t="shared" si="141"/>
        <v>26130.05527047511</v>
      </c>
      <c r="D1840">
        <v>23657</v>
      </c>
      <c r="E1840">
        <f t="shared" si="142"/>
        <v>2.3656999999999999</v>
      </c>
      <c r="F1840">
        <f t="shared" si="143"/>
        <v>-1.0141559833506726</v>
      </c>
      <c r="G1840">
        <f t="shared" si="144"/>
        <v>1.0285123585659697</v>
      </c>
    </row>
    <row r="1841" spans="1:7" x14ac:dyDescent="0.35">
      <c r="A1841">
        <v>1500</v>
      </c>
      <c r="B1841">
        <f t="shared" si="140"/>
        <v>161.64793617759278</v>
      </c>
      <c r="C1841">
        <f t="shared" si="141"/>
        <v>26130.05527047511</v>
      </c>
      <c r="D1841">
        <v>24067</v>
      </c>
      <c r="E1841">
        <f t="shared" si="142"/>
        <v>2.4066999999999998</v>
      </c>
      <c r="F1841">
        <f t="shared" si="143"/>
        <v>-0.97315598335067266</v>
      </c>
      <c r="G1841">
        <f t="shared" si="144"/>
        <v>0.94703256793121471</v>
      </c>
    </row>
    <row r="1842" spans="1:7" x14ac:dyDescent="0.35">
      <c r="A1842">
        <v>1500</v>
      </c>
      <c r="B1842">
        <f t="shared" si="140"/>
        <v>161.64793617759278</v>
      </c>
      <c r="C1842">
        <f t="shared" si="141"/>
        <v>26130.05527047511</v>
      </c>
      <c r="D1842">
        <v>22826</v>
      </c>
      <c r="E1842">
        <f t="shared" si="142"/>
        <v>2.2826</v>
      </c>
      <c r="F1842">
        <f t="shared" si="143"/>
        <v>-1.0972559833506725</v>
      </c>
      <c r="G1842">
        <f t="shared" si="144"/>
        <v>1.2039706929988514</v>
      </c>
    </row>
    <row r="1843" spans="1:7" x14ac:dyDescent="0.35">
      <c r="A1843">
        <v>1500</v>
      </c>
      <c r="B1843">
        <f t="shared" si="140"/>
        <v>161.64793617759278</v>
      </c>
      <c r="C1843">
        <f t="shared" si="141"/>
        <v>26130.05527047511</v>
      </c>
      <c r="D1843">
        <v>20481</v>
      </c>
      <c r="E1843">
        <f t="shared" si="142"/>
        <v>2.0480999999999998</v>
      </c>
      <c r="F1843">
        <f t="shared" si="143"/>
        <v>-1.3317559833506727</v>
      </c>
      <c r="G1843">
        <f t="shared" si="144"/>
        <v>1.7735739991903172</v>
      </c>
    </row>
    <row r="1844" spans="1:7" x14ac:dyDescent="0.35">
      <c r="A1844">
        <v>1500</v>
      </c>
      <c r="B1844">
        <f t="shared" si="140"/>
        <v>161.64793617759278</v>
      </c>
      <c r="C1844">
        <f t="shared" si="141"/>
        <v>26130.05527047511</v>
      </c>
      <c r="D1844">
        <v>24100</v>
      </c>
      <c r="E1844">
        <f t="shared" si="142"/>
        <v>2.41</v>
      </c>
      <c r="F1844">
        <f t="shared" si="143"/>
        <v>-0.96985598335067236</v>
      </c>
      <c r="G1844">
        <f t="shared" si="144"/>
        <v>0.94062062844109962</v>
      </c>
    </row>
    <row r="1845" spans="1:7" x14ac:dyDescent="0.35">
      <c r="A1845">
        <v>1500</v>
      </c>
      <c r="B1845">
        <f t="shared" si="140"/>
        <v>161.64793617759278</v>
      </c>
      <c r="C1845">
        <f t="shared" si="141"/>
        <v>26130.05527047511</v>
      </c>
      <c r="D1845">
        <v>21237</v>
      </c>
      <c r="E1845">
        <f t="shared" si="142"/>
        <v>2.1236999999999999</v>
      </c>
      <c r="F1845">
        <f t="shared" si="143"/>
        <v>-1.2561559833506726</v>
      </c>
      <c r="G1845">
        <f t="shared" si="144"/>
        <v>1.5779278545076951</v>
      </c>
    </row>
    <row r="1846" spans="1:7" x14ac:dyDescent="0.35">
      <c r="A1846">
        <v>1500</v>
      </c>
      <c r="B1846">
        <f t="shared" si="140"/>
        <v>161.64793617759278</v>
      </c>
      <c r="C1846">
        <f t="shared" si="141"/>
        <v>26130.05527047511</v>
      </c>
      <c r="D1846">
        <v>23910</v>
      </c>
      <c r="E1846">
        <f t="shared" si="142"/>
        <v>2.391</v>
      </c>
      <c r="F1846">
        <f t="shared" si="143"/>
        <v>-0.98885598335067248</v>
      </c>
      <c r="G1846">
        <f t="shared" si="144"/>
        <v>0.97783615580842542</v>
      </c>
    </row>
    <row r="1847" spans="1:7" x14ac:dyDescent="0.35">
      <c r="A1847">
        <v>1500</v>
      </c>
      <c r="B1847">
        <f t="shared" si="140"/>
        <v>161.64793617759278</v>
      </c>
      <c r="C1847">
        <f t="shared" si="141"/>
        <v>26130.05527047511</v>
      </c>
      <c r="D1847">
        <v>24554</v>
      </c>
      <c r="E1847">
        <f t="shared" si="142"/>
        <v>2.4554</v>
      </c>
      <c r="F1847">
        <f t="shared" si="143"/>
        <v>-0.92445598335067247</v>
      </c>
      <c r="G1847">
        <f t="shared" si="144"/>
        <v>0.85461886515285879</v>
      </c>
    </row>
    <row r="1848" spans="1:7" x14ac:dyDescent="0.35">
      <c r="A1848">
        <v>1500</v>
      </c>
      <c r="B1848">
        <f t="shared" si="140"/>
        <v>161.64793617759278</v>
      </c>
      <c r="C1848">
        <f t="shared" si="141"/>
        <v>26130.05527047511</v>
      </c>
      <c r="D1848">
        <v>24170</v>
      </c>
      <c r="E1848">
        <f t="shared" si="142"/>
        <v>2.4169999999999998</v>
      </c>
      <c r="F1848">
        <f t="shared" si="143"/>
        <v>-0.96285598335067268</v>
      </c>
      <c r="G1848">
        <f t="shared" si="144"/>
        <v>0.92709164467419092</v>
      </c>
    </row>
    <row r="1849" spans="1:7" x14ac:dyDescent="0.35">
      <c r="A1849">
        <v>1500</v>
      </c>
      <c r="B1849">
        <f t="shared" si="140"/>
        <v>161.64793617759278</v>
      </c>
      <c r="C1849">
        <f t="shared" si="141"/>
        <v>26130.05527047511</v>
      </c>
      <c r="D1849">
        <v>24434</v>
      </c>
      <c r="E1849">
        <f t="shared" si="142"/>
        <v>2.4434</v>
      </c>
      <c r="F1849">
        <f t="shared" si="143"/>
        <v>-0.93645598335067248</v>
      </c>
      <c r="G1849">
        <f t="shared" si="144"/>
        <v>0.876949808753275</v>
      </c>
    </row>
    <row r="1850" spans="1:7" x14ac:dyDescent="0.35">
      <c r="A1850">
        <v>1500</v>
      </c>
      <c r="B1850">
        <f t="shared" si="140"/>
        <v>161.64793617759278</v>
      </c>
      <c r="C1850">
        <f t="shared" si="141"/>
        <v>26130.05527047511</v>
      </c>
      <c r="D1850">
        <v>24722</v>
      </c>
      <c r="E1850">
        <f t="shared" si="142"/>
        <v>2.4722</v>
      </c>
      <c r="F1850">
        <f t="shared" si="143"/>
        <v>-0.90765598335067255</v>
      </c>
      <c r="G1850">
        <f t="shared" si="144"/>
        <v>0.82383938411227631</v>
      </c>
    </row>
    <row r="1851" spans="1:7" x14ac:dyDescent="0.35">
      <c r="A1851">
        <v>1500</v>
      </c>
      <c r="B1851">
        <f t="shared" si="140"/>
        <v>161.64793617759278</v>
      </c>
      <c r="C1851">
        <f t="shared" si="141"/>
        <v>26130.05527047511</v>
      </c>
      <c r="D1851">
        <v>27028</v>
      </c>
      <c r="E1851">
        <f t="shared" si="142"/>
        <v>2.7027999999999999</v>
      </c>
      <c r="F1851">
        <f t="shared" si="143"/>
        <v>-0.67705598335067263</v>
      </c>
      <c r="G1851">
        <f t="shared" si="144"/>
        <v>0.45840480459094629</v>
      </c>
    </row>
    <row r="1852" spans="1:7" x14ac:dyDescent="0.35">
      <c r="A1852">
        <v>1500</v>
      </c>
      <c r="B1852">
        <f t="shared" si="140"/>
        <v>161.64793617759278</v>
      </c>
      <c r="C1852">
        <f t="shared" si="141"/>
        <v>26130.05527047511</v>
      </c>
      <c r="D1852">
        <v>27454</v>
      </c>
      <c r="E1852">
        <f t="shared" si="142"/>
        <v>2.7454000000000001</v>
      </c>
      <c r="F1852">
        <f t="shared" si="143"/>
        <v>-0.63445598335067244</v>
      </c>
      <c r="G1852">
        <f t="shared" si="144"/>
        <v>0.40253439480946873</v>
      </c>
    </row>
    <row r="1853" spans="1:7" x14ac:dyDescent="0.35">
      <c r="A1853">
        <v>1500</v>
      </c>
      <c r="B1853">
        <f t="shared" si="140"/>
        <v>161.64793617759278</v>
      </c>
      <c r="C1853">
        <f t="shared" si="141"/>
        <v>26130.05527047511</v>
      </c>
      <c r="D1853">
        <v>26754</v>
      </c>
      <c r="E1853">
        <f t="shared" si="142"/>
        <v>2.6753999999999998</v>
      </c>
      <c r="F1853">
        <f t="shared" si="143"/>
        <v>-0.70445598335067272</v>
      </c>
      <c r="G1853">
        <f t="shared" si="144"/>
        <v>0.49625823247856327</v>
      </c>
    </row>
    <row r="1854" spans="1:7" x14ac:dyDescent="0.35">
      <c r="A1854">
        <v>1500</v>
      </c>
      <c r="B1854">
        <f t="shared" si="140"/>
        <v>161.64793617759278</v>
      </c>
      <c r="C1854">
        <f t="shared" si="141"/>
        <v>26130.05527047511</v>
      </c>
      <c r="D1854">
        <v>28573</v>
      </c>
      <c r="E1854">
        <f t="shared" si="142"/>
        <v>2.8573</v>
      </c>
      <c r="F1854">
        <f t="shared" si="143"/>
        <v>-0.52255598335067255</v>
      </c>
      <c r="G1854">
        <f t="shared" si="144"/>
        <v>0.27306475573558836</v>
      </c>
    </row>
    <row r="1855" spans="1:7" x14ac:dyDescent="0.35">
      <c r="A1855">
        <v>1500</v>
      </c>
      <c r="B1855">
        <f t="shared" si="140"/>
        <v>161.64793617759278</v>
      </c>
      <c r="C1855">
        <f t="shared" si="141"/>
        <v>26130.05527047511</v>
      </c>
      <c r="D1855">
        <v>27825</v>
      </c>
      <c r="E1855">
        <f t="shared" si="142"/>
        <v>2.7825000000000002</v>
      </c>
      <c r="F1855">
        <f t="shared" si="143"/>
        <v>-0.5973559833506723</v>
      </c>
      <c r="G1855">
        <f t="shared" si="144"/>
        <v>0.3568341708448487</v>
      </c>
    </row>
    <row r="1856" spans="1:7" x14ac:dyDescent="0.35">
      <c r="A1856">
        <v>1500</v>
      </c>
      <c r="B1856">
        <f t="shared" si="140"/>
        <v>161.64793617759278</v>
      </c>
      <c r="C1856">
        <f t="shared" si="141"/>
        <v>26130.05527047511</v>
      </c>
      <c r="D1856">
        <v>27166</v>
      </c>
      <c r="E1856">
        <f t="shared" si="142"/>
        <v>2.7166000000000001</v>
      </c>
      <c r="F1856">
        <f t="shared" si="143"/>
        <v>-0.66325598335067237</v>
      </c>
      <c r="G1856">
        <f t="shared" si="144"/>
        <v>0.43990849945046739</v>
      </c>
    </row>
    <row r="1857" spans="1:7" x14ac:dyDescent="0.35">
      <c r="A1857">
        <v>1500</v>
      </c>
      <c r="B1857">
        <f t="shared" si="140"/>
        <v>161.64793617759278</v>
      </c>
      <c r="C1857">
        <f t="shared" si="141"/>
        <v>26130.05527047511</v>
      </c>
      <c r="D1857">
        <v>25570</v>
      </c>
      <c r="E1857">
        <f t="shared" si="142"/>
        <v>2.5569999999999999</v>
      </c>
      <c r="F1857">
        <f t="shared" si="143"/>
        <v>-0.82285598335067256</v>
      </c>
      <c r="G1857">
        <f t="shared" si="144"/>
        <v>0.67709196933600235</v>
      </c>
    </row>
    <row r="1858" spans="1:7" x14ac:dyDescent="0.35">
      <c r="A1858">
        <v>1500</v>
      </c>
      <c r="B1858">
        <f t="shared" si="140"/>
        <v>161.64793617759278</v>
      </c>
      <c r="C1858">
        <f t="shared" si="141"/>
        <v>26130.05527047511</v>
      </c>
      <c r="D1858">
        <v>27750</v>
      </c>
      <c r="E1858">
        <f t="shared" si="142"/>
        <v>2.7749999999999999</v>
      </c>
      <c r="F1858">
        <f t="shared" si="143"/>
        <v>-0.60485598335067259</v>
      </c>
      <c r="G1858">
        <f t="shared" si="144"/>
        <v>0.36585076059510913</v>
      </c>
    </row>
    <row r="1859" spans="1:7" x14ac:dyDescent="0.35">
      <c r="A1859">
        <v>1500</v>
      </c>
      <c r="B1859">
        <f t="shared" ref="B1859:B1922" si="145">A1859-$J$1</f>
        <v>161.64793617759278</v>
      </c>
      <c r="C1859">
        <f t="shared" ref="C1859:C1922" si="146">B1859^2</f>
        <v>26130.05527047511</v>
      </c>
      <c r="D1859">
        <v>29074</v>
      </c>
      <c r="E1859">
        <f t="shared" ref="E1859:E1922" si="147">D1859/10000</f>
        <v>2.9074</v>
      </c>
      <c r="F1859">
        <f t="shared" ref="F1859:F1922" si="148">E1859-$J$2</f>
        <v>-0.47245598335067251</v>
      </c>
      <c r="G1859">
        <f t="shared" ref="G1859:G1922" si="149">F1859^2</f>
        <v>0.22321465620385095</v>
      </c>
    </row>
    <row r="1860" spans="1:7" x14ac:dyDescent="0.35">
      <c r="A1860">
        <v>1500</v>
      </c>
      <c r="B1860">
        <f t="shared" si="145"/>
        <v>161.64793617759278</v>
      </c>
      <c r="C1860">
        <f t="shared" si="146"/>
        <v>26130.05527047511</v>
      </c>
      <c r="D1860">
        <v>27164</v>
      </c>
      <c r="E1860">
        <f t="shared" si="147"/>
        <v>2.7164000000000001</v>
      </c>
      <c r="F1860">
        <f t="shared" si="148"/>
        <v>-0.66345598335067235</v>
      </c>
      <c r="G1860">
        <f t="shared" si="149"/>
        <v>0.44017384184380765</v>
      </c>
    </row>
    <row r="1861" spans="1:7" x14ac:dyDescent="0.35">
      <c r="A1861">
        <v>1500</v>
      </c>
      <c r="B1861">
        <f t="shared" si="145"/>
        <v>161.64793617759278</v>
      </c>
      <c r="C1861">
        <f t="shared" si="146"/>
        <v>26130.05527047511</v>
      </c>
      <c r="D1861">
        <v>29805</v>
      </c>
      <c r="E1861">
        <f t="shared" si="147"/>
        <v>2.9805000000000001</v>
      </c>
      <c r="F1861">
        <f t="shared" si="148"/>
        <v>-0.39935598335067235</v>
      </c>
      <c r="G1861">
        <f t="shared" si="149"/>
        <v>0.1594852014379825</v>
      </c>
    </row>
    <row r="1862" spans="1:7" x14ac:dyDescent="0.35">
      <c r="A1862">
        <v>1500</v>
      </c>
      <c r="B1862">
        <f t="shared" si="145"/>
        <v>161.64793617759278</v>
      </c>
      <c r="C1862">
        <f t="shared" si="146"/>
        <v>26130.05527047511</v>
      </c>
      <c r="D1862">
        <v>33120</v>
      </c>
      <c r="E1862">
        <f t="shared" si="147"/>
        <v>3.3119999999999998</v>
      </c>
      <c r="F1862">
        <f t="shared" si="148"/>
        <v>-6.7855983350672666E-2</v>
      </c>
      <c r="G1862">
        <f t="shared" si="149"/>
        <v>4.604434476486766E-3</v>
      </c>
    </row>
    <row r="1863" spans="1:7" x14ac:dyDescent="0.35">
      <c r="A1863">
        <v>1500</v>
      </c>
      <c r="B1863">
        <f t="shared" si="145"/>
        <v>161.64793617759278</v>
      </c>
      <c r="C1863">
        <f t="shared" si="146"/>
        <v>26130.05527047511</v>
      </c>
      <c r="D1863">
        <v>31709</v>
      </c>
      <c r="E1863">
        <f t="shared" si="147"/>
        <v>3.1709000000000001</v>
      </c>
      <c r="F1863">
        <f t="shared" si="148"/>
        <v>-0.20895598335067245</v>
      </c>
      <c r="G1863">
        <f t="shared" si="149"/>
        <v>4.36626029780465E-2</v>
      </c>
    </row>
    <row r="1864" spans="1:7" x14ac:dyDescent="0.35">
      <c r="A1864">
        <v>1500</v>
      </c>
      <c r="B1864">
        <f t="shared" si="145"/>
        <v>161.64793617759278</v>
      </c>
      <c r="C1864">
        <f t="shared" si="146"/>
        <v>26130.05527047511</v>
      </c>
      <c r="D1864">
        <v>33942</v>
      </c>
      <c r="E1864">
        <f t="shared" si="147"/>
        <v>3.3942000000000001</v>
      </c>
      <c r="F1864">
        <f t="shared" si="148"/>
        <v>1.4344016649327607E-2</v>
      </c>
      <c r="G1864">
        <f t="shared" si="149"/>
        <v>2.0575081363618757E-4</v>
      </c>
    </row>
    <row r="1865" spans="1:7" x14ac:dyDescent="0.35">
      <c r="A1865">
        <v>1500</v>
      </c>
      <c r="B1865">
        <f t="shared" si="145"/>
        <v>161.64793617759278</v>
      </c>
      <c r="C1865">
        <f t="shared" si="146"/>
        <v>26130.05527047511</v>
      </c>
      <c r="D1865">
        <v>33596</v>
      </c>
      <c r="E1865">
        <f t="shared" si="147"/>
        <v>3.3595999999999999</v>
      </c>
      <c r="F1865">
        <f t="shared" si="148"/>
        <v>-2.0255983350672579E-2</v>
      </c>
      <c r="G1865">
        <f t="shared" si="149"/>
        <v>4.1030486150272474E-4</v>
      </c>
    </row>
    <row r="1866" spans="1:7" x14ac:dyDescent="0.35">
      <c r="A1866">
        <v>1500</v>
      </c>
      <c r="B1866">
        <f t="shared" si="145"/>
        <v>161.64793617759278</v>
      </c>
      <c r="C1866">
        <f t="shared" si="146"/>
        <v>26130.05527047511</v>
      </c>
      <c r="D1866">
        <v>31543</v>
      </c>
      <c r="E1866">
        <f t="shared" si="147"/>
        <v>3.1543000000000001</v>
      </c>
      <c r="F1866">
        <f t="shared" si="148"/>
        <v>-0.2255559833506724</v>
      </c>
      <c r="G1866">
        <f t="shared" si="149"/>
        <v>5.0875501625288803E-2</v>
      </c>
    </row>
    <row r="1867" spans="1:7" x14ac:dyDescent="0.35">
      <c r="A1867">
        <v>2280</v>
      </c>
      <c r="B1867">
        <f t="shared" si="145"/>
        <v>941.64793617759278</v>
      </c>
      <c r="C1867">
        <f t="shared" si="146"/>
        <v>886700.8357075199</v>
      </c>
      <c r="D1867">
        <v>35284</v>
      </c>
      <c r="E1867">
        <f t="shared" si="147"/>
        <v>3.5284</v>
      </c>
      <c r="F1867">
        <f t="shared" si="148"/>
        <v>0.14854401664932748</v>
      </c>
      <c r="G1867">
        <f t="shared" si="149"/>
        <v>2.206532488231568E-2</v>
      </c>
    </row>
    <row r="1868" spans="1:7" x14ac:dyDescent="0.35">
      <c r="A1868">
        <v>2280</v>
      </c>
      <c r="B1868">
        <f t="shared" si="145"/>
        <v>941.64793617759278</v>
      </c>
      <c r="C1868">
        <f t="shared" si="146"/>
        <v>886700.8357075199</v>
      </c>
      <c r="D1868">
        <v>30530</v>
      </c>
      <c r="E1868">
        <f t="shared" si="147"/>
        <v>3.0529999999999999</v>
      </c>
      <c r="F1868">
        <f t="shared" si="148"/>
        <v>-0.32685598335067256</v>
      </c>
      <c r="G1868">
        <f t="shared" si="149"/>
        <v>0.10683483385213514</v>
      </c>
    </row>
    <row r="1869" spans="1:7" x14ac:dyDescent="0.35">
      <c r="A1869">
        <v>2280</v>
      </c>
      <c r="B1869">
        <f t="shared" si="145"/>
        <v>941.64793617759278</v>
      </c>
      <c r="C1869">
        <f t="shared" si="146"/>
        <v>886700.8357075199</v>
      </c>
      <c r="D1869">
        <v>32883</v>
      </c>
      <c r="E1869">
        <f t="shared" si="147"/>
        <v>3.2883</v>
      </c>
      <c r="F1869">
        <f t="shared" si="148"/>
        <v>-9.1555983350672498E-2</v>
      </c>
      <c r="G1869">
        <f t="shared" si="149"/>
        <v>8.382498087308619E-3</v>
      </c>
    </row>
    <row r="1870" spans="1:7" x14ac:dyDescent="0.35">
      <c r="A1870">
        <v>2280</v>
      </c>
      <c r="B1870">
        <f t="shared" si="145"/>
        <v>941.64793617759278</v>
      </c>
      <c r="C1870">
        <f t="shared" si="146"/>
        <v>886700.8357075199</v>
      </c>
      <c r="D1870">
        <v>26374</v>
      </c>
      <c r="E1870">
        <f t="shared" si="147"/>
        <v>2.6374</v>
      </c>
      <c r="F1870">
        <f t="shared" si="148"/>
        <v>-0.74245598335067253</v>
      </c>
      <c r="G1870">
        <f t="shared" si="149"/>
        <v>0.55124088721321418</v>
      </c>
    </row>
    <row r="1871" spans="1:7" x14ac:dyDescent="0.35">
      <c r="A1871">
        <v>2280</v>
      </c>
      <c r="B1871">
        <f t="shared" si="145"/>
        <v>941.64793617759278</v>
      </c>
      <c r="C1871">
        <f t="shared" si="146"/>
        <v>886700.8357075199</v>
      </c>
      <c r="D1871">
        <v>26326</v>
      </c>
      <c r="E1871">
        <f t="shared" si="147"/>
        <v>2.6326000000000001</v>
      </c>
      <c r="F1871">
        <f t="shared" si="148"/>
        <v>-0.74725598335067245</v>
      </c>
      <c r="G1871">
        <f t="shared" si="149"/>
        <v>0.5583915046533805</v>
      </c>
    </row>
    <row r="1872" spans="1:7" x14ac:dyDescent="0.35">
      <c r="A1872">
        <v>2280</v>
      </c>
      <c r="B1872">
        <f t="shared" si="145"/>
        <v>941.64793617759278</v>
      </c>
      <c r="C1872">
        <f t="shared" si="146"/>
        <v>886700.8357075199</v>
      </c>
      <c r="D1872">
        <v>32527</v>
      </c>
      <c r="E1872">
        <f t="shared" si="147"/>
        <v>3.2526999999999999</v>
      </c>
      <c r="F1872">
        <f t="shared" si="148"/>
        <v>-0.12715598335067257</v>
      </c>
      <c r="G1872">
        <f t="shared" si="149"/>
        <v>1.616864410187652E-2</v>
      </c>
    </row>
    <row r="1873" spans="1:7" x14ac:dyDescent="0.35">
      <c r="A1873">
        <v>2280</v>
      </c>
      <c r="B1873">
        <f t="shared" si="145"/>
        <v>941.64793617759278</v>
      </c>
      <c r="C1873">
        <f t="shared" si="146"/>
        <v>886700.8357075199</v>
      </c>
      <c r="D1873">
        <v>29255</v>
      </c>
      <c r="E1873">
        <f t="shared" si="147"/>
        <v>2.9255</v>
      </c>
      <c r="F1873">
        <f t="shared" si="148"/>
        <v>-0.45435598335067251</v>
      </c>
      <c r="G1873">
        <f t="shared" si="149"/>
        <v>0.2064393596065566</v>
      </c>
    </row>
    <row r="1874" spans="1:7" x14ac:dyDescent="0.35">
      <c r="A1874">
        <v>2280</v>
      </c>
      <c r="B1874">
        <f t="shared" si="145"/>
        <v>941.64793617759278</v>
      </c>
      <c r="C1874">
        <f t="shared" si="146"/>
        <v>886700.8357075199</v>
      </c>
      <c r="D1874">
        <v>35450</v>
      </c>
      <c r="E1874">
        <f t="shared" si="147"/>
        <v>3.5449999999999999</v>
      </c>
      <c r="F1874">
        <f t="shared" si="148"/>
        <v>0.16514401664932743</v>
      </c>
      <c r="G1874">
        <f t="shared" si="149"/>
        <v>2.7272546235073334E-2</v>
      </c>
    </row>
    <row r="1875" spans="1:7" x14ac:dyDescent="0.35">
      <c r="A1875">
        <v>2280</v>
      </c>
      <c r="B1875">
        <f t="shared" si="145"/>
        <v>941.64793617759278</v>
      </c>
      <c r="C1875">
        <f t="shared" si="146"/>
        <v>886700.8357075199</v>
      </c>
      <c r="D1875">
        <v>32528</v>
      </c>
      <c r="E1875">
        <f t="shared" si="147"/>
        <v>3.2528000000000001</v>
      </c>
      <c r="F1875">
        <f t="shared" si="148"/>
        <v>-0.12705598335067236</v>
      </c>
      <c r="G1875">
        <f t="shared" si="149"/>
        <v>1.6143222905206332E-2</v>
      </c>
    </row>
    <row r="1876" spans="1:7" x14ac:dyDescent="0.35">
      <c r="A1876">
        <v>2280</v>
      </c>
      <c r="B1876">
        <f t="shared" si="145"/>
        <v>941.64793617759278</v>
      </c>
      <c r="C1876">
        <f t="shared" si="146"/>
        <v>886700.8357075199</v>
      </c>
      <c r="D1876">
        <v>37084</v>
      </c>
      <c r="E1876">
        <f t="shared" si="147"/>
        <v>3.7084000000000001</v>
      </c>
      <c r="F1876">
        <f t="shared" si="148"/>
        <v>0.32854401664932764</v>
      </c>
      <c r="G1876">
        <f t="shared" si="149"/>
        <v>0.10794117087607367</v>
      </c>
    </row>
    <row r="1877" spans="1:7" x14ac:dyDescent="0.35">
      <c r="A1877">
        <v>2280</v>
      </c>
      <c r="B1877">
        <f t="shared" si="145"/>
        <v>941.64793617759278</v>
      </c>
      <c r="C1877">
        <f t="shared" si="146"/>
        <v>886700.8357075199</v>
      </c>
      <c r="D1877">
        <v>34195</v>
      </c>
      <c r="E1877">
        <f t="shared" si="147"/>
        <v>3.4195000000000002</v>
      </c>
      <c r="F1877">
        <f t="shared" si="148"/>
        <v>3.9644016649327707E-2</v>
      </c>
      <c r="G1877">
        <f t="shared" si="149"/>
        <v>1.5716480560921725E-3</v>
      </c>
    </row>
    <row r="1878" spans="1:7" x14ac:dyDescent="0.35">
      <c r="A1878">
        <v>2280</v>
      </c>
      <c r="B1878">
        <f t="shared" si="145"/>
        <v>941.64793617759278</v>
      </c>
      <c r="C1878">
        <f t="shared" si="146"/>
        <v>886700.8357075199</v>
      </c>
      <c r="D1878">
        <v>34389</v>
      </c>
      <c r="E1878">
        <f t="shared" si="147"/>
        <v>3.4388999999999998</v>
      </c>
      <c r="F1878">
        <f t="shared" si="148"/>
        <v>5.9044016649327347E-2</v>
      </c>
      <c r="G1878">
        <f t="shared" si="149"/>
        <v>3.4861959020860448E-3</v>
      </c>
    </row>
    <row r="1879" spans="1:7" x14ac:dyDescent="0.35">
      <c r="A1879">
        <v>2280</v>
      </c>
      <c r="B1879">
        <f t="shared" si="145"/>
        <v>941.64793617759278</v>
      </c>
      <c r="C1879">
        <f t="shared" si="146"/>
        <v>886700.8357075199</v>
      </c>
      <c r="D1879">
        <v>34730</v>
      </c>
      <c r="E1879">
        <f t="shared" si="147"/>
        <v>3.4729999999999999</v>
      </c>
      <c r="F1879">
        <f t="shared" si="148"/>
        <v>9.3144016649327366E-2</v>
      </c>
      <c r="G1879">
        <f t="shared" si="149"/>
        <v>8.6758078375701736E-3</v>
      </c>
    </row>
    <row r="1880" spans="1:7" x14ac:dyDescent="0.35">
      <c r="A1880">
        <v>2280</v>
      </c>
      <c r="B1880">
        <f t="shared" si="145"/>
        <v>941.64793617759278</v>
      </c>
      <c r="C1880">
        <f t="shared" si="146"/>
        <v>886700.8357075199</v>
      </c>
      <c r="D1880">
        <v>36568</v>
      </c>
      <c r="E1880">
        <f t="shared" si="147"/>
        <v>3.6568000000000001</v>
      </c>
      <c r="F1880">
        <f t="shared" si="148"/>
        <v>0.27694401664932755</v>
      </c>
      <c r="G1880">
        <f t="shared" si="149"/>
        <v>7.6697988357863012E-2</v>
      </c>
    </row>
    <row r="1881" spans="1:7" x14ac:dyDescent="0.35">
      <c r="A1881">
        <v>2280</v>
      </c>
      <c r="B1881">
        <f t="shared" si="145"/>
        <v>941.64793617759278</v>
      </c>
      <c r="C1881">
        <f t="shared" si="146"/>
        <v>886700.8357075199</v>
      </c>
      <c r="D1881">
        <v>31201</v>
      </c>
      <c r="E1881">
        <f t="shared" si="147"/>
        <v>3.1200999999999999</v>
      </c>
      <c r="F1881">
        <f t="shared" si="148"/>
        <v>-0.25975598335067263</v>
      </c>
      <c r="G1881">
        <f t="shared" si="149"/>
        <v>6.747317088647492E-2</v>
      </c>
    </row>
    <row r="1882" spans="1:7" x14ac:dyDescent="0.35">
      <c r="A1882">
        <v>2280</v>
      </c>
      <c r="B1882">
        <f t="shared" si="145"/>
        <v>941.64793617759278</v>
      </c>
      <c r="C1882">
        <f t="shared" si="146"/>
        <v>886700.8357075199</v>
      </c>
      <c r="D1882">
        <v>29281</v>
      </c>
      <c r="E1882">
        <f t="shared" si="147"/>
        <v>2.9281000000000001</v>
      </c>
      <c r="F1882">
        <f t="shared" si="148"/>
        <v>-0.45175598335067235</v>
      </c>
      <c r="G1882">
        <f t="shared" si="149"/>
        <v>0.20408346849313297</v>
      </c>
    </row>
    <row r="1883" spans="1:7" x14ac:dyDescent="0.35">
      <c r="A1883">
        <v>2280</v>
      </c>
      <c r="B1883">
        <f t="shared" si="145"/>
        <v>941.64793617759278</v>
      </c>
      <c r="C1883">
        <f t="shared" si="146"/>
        <v>886700.8357075199</v>
      </c>
      <c r="D1883">
        <v>31853</v>
      </c>
      <c r="E1883">
        <f t="shared" si="147"/>
        <v>3.1852999999999998</v>
      </c>
      <c r="F1883">
        <f t="shared" si="148"/>
        <v>-0.1945559833506727</v>
      </c>
      <c r="G1883">
        <f t="shared" si="149"/>
        <v>3.7852030657547234E-2</v>
      </c>
    </row>
    <row r="1884" spans="1:7" x14ac:dyDescent="0.35">
      <c r="A1884">
        <v>2280</v>
      </c>
      <c r="B1884">
        <f t="shared" si="145"/>
        <v>941.64793617759278</v>
      </c>
      <c r="C1884">
        <f t="shared" si="146"/>
        <v>886700.8357075199</v>
      </c>
      <c r="D1884">
        <v>35103</v>
      </c>
      <c r="E1884">
        <f t="shared" si="147"/>
        <v>3.5103</v>
      </c>
      <c r="F1884">
        <f t="shared" si="148"/>
        <v>0.13044401664932748</v>
      </c>
      <c r="G1884">
        <f t="shared" si="149"/>
        <v>1.7015641479610023E-2</v>
      </c>
    </row>
    <row r="1885" spans="1:7" x14ac:dyDescent="0.35">
      <c r="A1885">
        <v>2280</v>
      </c>
      <c r="B1885">
        <f t="shared" si="145"/>
        <v>941.64793617759278</v>
      </c>
      <c r="C1885">
        <f t="shared" si="146"/>
        <v>886700.8357075199</v>
      </c>
      <c r="D1885">
        <v>33106</v>
      </c>
      <c r="E1885">
        <f t="shared" si="147"/>
        <v>3.3106</v>
      </c>
      <c r="F1885">
        <f t="shared" si="148"/>
        <v>-6.9255983350672512E-2</v>
      </c>
      <c r="G1885">
        <f t="shared" si="149"/>
        <v>4.7963912298686281E-3</v>
      </c>
    </row>
    <row r="1886" spans="1:7" x14ac:dyDescent="0.35">
      <c r="A1886">
        <v>2280</v>
      </c>
      <c r="B1886">
        <f t="shared" si="145"/>
        <v>941.64793617759278</v>
      </c>
      <c r="C1886">
        <f t="shared" si="146"/>
        <v>886700.8357075199</v>
      </c>
      <c r="D1886">
        <v>36392</v>
      </c>
      <c r="E1886">
        <f t="shared" si="147"/>
        <v>3.6392000000000002</v>
      </c>
      <c r="F1886">
        <f t="shared" si="148"/>
        <v>0.25934401664932771</v>
      </c>
      <c r="G1886">
        <f t="shared" si="149"/>
        <v>6.7259318971806772E-2</v>
      </c>
    </row>
    <row r="1887" spans="1:7" x14ac:dyDescent="0.35">
      <c r="A1887">
        <v>2280</v>
      </c>
      <c r="B1887">
        <f t="shared" si="145"/>
        <v>941.64793617759278</v>
      </c>
      <c r="C1887">
        <f t="shared" si="146"/>
        <v>886700.8357075199</v>
      </c>
      <c r="D1887">
        <v>39482</v>
      </c>
      <c r="E1887">
        <f t="shared" si="147"/>
        <v>3.9481999999999999</v>
      </c>
      <c r="F1887">
        <f t="shared" si="148"/>
        <v>0.56834401664932743</v>
      </c>
      <c r="G1887">
        <f t="shared" si="149"/>
        <v>0.32301492126109099</v>
      </c>
    </row>
    <row r="1888" spans="1:7" x14ac:dyDescent="0.35">
      <c r="A1888">
        <v>2280</v>
      </c>
      <c r="B1888">
        <f t="shared" si="145"/>
        <v>941.64793617759278</v>
      </c>
      <c r="C1888">
        <f t="shared" si="146"/>
        <v>886700.8357075199</v>
      </c>
      <c r="D1888">
        <v>40055</v>
      </c>
      <c r="E1888">
        <f t="shared" si="147"/>
        <v>4.0054999999999996</v>
      </c>
      <c r="F1888">
        <f t="shared" si="148"/>
        <v>0.62564401664932712</v>
      </c>
      <c r="G1888">
        <f t="shared" si="149"/>
        <v>0.39143043556910351</v>
      </c>
    </row>
    <row r="1889" spans="1:7" x14ac:dyDescent="0.35">
      <c r="A1889">
        <v>2280</v>
      </c>
      <c r="B1889">
        <f t="shared" si="145"/>
        <v>941.64793617759278</v>
      </c>
      <c r="C1889">
        <f t="shared" si="146"/>
        <v>886700.8357075199</v>
      </c>
      <c r="D1889">
        <v>45355</v>
      </c>
      <c r="E1889">
        <f t="shared" si="147"/>
        <v>4.5354999999999999</v>
      </c>
      <c r="F1889">
        <f t="shared" si="148"/>
        <v>1.1556440166493274</v>
      </c>
      <c r="G1889">
        <f t="shared" si="149"/>
        <v>1.3355130932173909</v>
      </c>
    </row>
    <row r="1890" spans="1:7" x14ac:dyDescent="0.35">
      <c r="A1890">
        <v>2280</v>
      </c>
      <c r="B1890">
        <f t="shared" si="145"/>
        <v>941.64793617759278</v>
      </c>
      <c r="C1890">
        <f t="shared" si="146"/>
        <v>886700.8357075199</v>
      </c>
      <c r="D1890">
        <v>51406</v>
      </c>
      <c r="E1890">
        <f t="shared" si="147"/>
        <v>5.1406000000000001</v>
      </c>
      <c r="F1890">
        <f t="shared" si="148"/>
        <v>1.7607440166493276</v>
      </c>
      <c r="G1890">
        <f t="shared" si="149"/>
        <v>3.1002194921664077</v>
      </c>
    </row>
    <row r="1891" spans="1:7" x14ac:dyDescent="0.35">
      <c r="A1891">
        <v>2280</v>
      </c>
      <c r="B1891">
        <f t="shared" si="145"/>
        <v>941.64793617759278</v>
      </c>
      <c r="C1891">
        <f t="shared" si="146"/>
        <v>886700.8357075199</v>
      </c>
      <c r="D1891">
        <v>41177</v>
      </c>
      <c r="E1891">
        <f t="shared" si="147"/>
        <v>4.1177000000000001</v>
      </c>
      <c r="F1891">
        <f t="shared" si="148"/>
        <v>0.73784401664932764</v>
      </c>
      <c r="G1891">
        <f t="shared" si="149"/>
        <v>0.5444137929052133</v>
      </c>
    </row>
    <row r="1892" spans="1:7" x14ac:dyDescent="0.35">
      <c r="A1892">
        <v>2280</v>
      </c>
      <c r="B1892">
        <f t="shared" si="145"/>
        <v>941.64793617759278</v>
      </c>
      <c r="C1892">
        <f t="shared" si="146"/>
        <v>886700.8357075199</v>
      </c>
      <c r="D1892">
        <v>37753</v>
      </c>
      <c r="E1892">
        <f t="shared" si="147"/>
        <v>3.7753000000000001</v>
      </c>
      <c r="F1892">
        <f t="shared" si="148"/>
        <v>0.3954440166493276</v>
      </c>
      <c r="G1892">
        <f t="shared" si="149"/>
        <v>0.15637597030375369</v>
      </c>
    </row>
    <row r="1893" spans="1:7" x14ac:dyDescent="0.35">
      <c r="A1893">
        <v>2280</v>
      </c>
      <c r="B1893">
        <f t="shared" si="145"/>
        <v>941.64793617759278</v>
      </c>
      <c r="C1893">
        <f t="shared" si="146"/>
        <v>886700.8357075199</v>
      </c>
      <c r="D1893">
        <v>49680</v>
      </c>
      <c r="E1893">
        <f t="shared" si="147"/>
        <v>4.968</v>
      </c>
      <c r="F1893">
        <f t="shared" si="148"/>
        <v>1.5881440166493275</v>
      </c>
      <c r="G1893">
        <f t="shared" si="149"/>
        <v>2.5222014176190592</v>
      </c>
    </row>
    <row r="1894" spans="1:7" x14ac:dyDescent="0.35">
      <c r="A1894">
        <v>2280</v>
      </c>
      <c r="B1894">
        <f t="shared" si="145"/>
        <v>941.64793617759278</v>
      </c>
      <c r="C1894">
        <f t="shared" si="146"/>
        <v>886700.8357075199</v>
      </c>
      <c r="D1894">
        <v>55764</v>
      </c>
      <c r="E1894">
        <f t="shared" si="147"/>
        <v>5.5763999999999996</v>
      </c>
      <c r="F1894">
        <f t="shared" si="148"/>
        <v>2.1965440166493271</v>
      </c>
      <c r="G1894">
        <f t="shared" si="149"/>
        <v>4.824805617077959</v>
      </c>
    </row>
    <row r="1895" spans="1:7" x14ac:dyDescent="0.35">
      <c r="A1895">
        <v>2280</v>
      </c>
      <c r="B1895">
        <f t="shared" si="145"/>
        <v>941.64793617759278</v>
      </c>
      <c r="C1895">
        <f t="shared" si="146"/>
        <v>886700.8357075199</v>
      </c>
      <c r="D1895">
        <v>56648</v>
      </c>
      <c r="E1895">
        <f t="shared" si="147"/>
        <v>5.6647999999999996</v>
      </c>
      <c r="F1895">
        <f t="shared" si="148"/>
        <v>2.2849440166493271</v>
      </c>
      <c r="G1895">
        <f t="shared" si="149"/>
        <v>5.2209691592215606</v>
      </c>
    </row>
    <row r="1896" spans="1:7" x14ac:dyDescent="0.35">
      <c r="A1896">
        <v>2280</v>
      </c>
      <c r="B1896">
        <f t="shared" si="145"/>
        <v>941.64793617759278</v>
      </c>
      <c r="C1896">
        <f t="shared" si="146"/>
        <v>886700.8357075199</v>
      </c>
      <c r="D1896">
        <v>50217</v>
      </c>
      <c r="E1896">
        <f t="shared" si="147"/>
        <v>5.0217000000000001</v>
      </c>
      <c r="F1896">
        <f t="shared" si="148"/>
        <v>1.6418440166493276</v>
      </c>
      <c r="G1896">
        <f t="shared" si="149"/>
        <v>2.6956517750071973</v>
      </c>
    </row>
    <row r="1897" spans="1:7" x14ac:dyDescent="0.35">
      <c r="A1897">
        <v>151</v>
      </c>
      <c r="B1897">
        <f t="shared" si="145"/>
        <v>-1187.3520638224072</v>
      </c>
      <c r="C1897">
        <f t="shared" si="146"/>
        <v>1409804.9234633297</v>
      </c>
      <c r="D1897">
        <v>27524</v>
      </c>
      <c r="E1897">
        <f t="shared" si="147"/>
        <v>2.7524000000000002</v>
      </c>
      <c r="F1897">
        <f t="shared" si="148"/>
        <v>-0.62745598335067232</v>
      </c>
      <c r="G1897">
        <f t="shared" si="149"/>
        <v>0.39370101104255917</v>
      </c>
    </row>
    <row r="1898" spans="1:7" x14ac:dyDescent="0.35">
      <c r="A1898">
        <v>151</v>
      </c>
      <c r="B1898">
        <f t="shared" si="145"/>
        <v>-1187.3520638224072</v>
      </c>
      <c r="C1898">
        <f t="shared" si="146"/>
        <v>1409804.9234633297</v>
      </c>
      <c r="D1898">
        <v>27283</v>
      </c>
      <c r="E1898">
        <f t="shared" si="147"/>
        <v>2.7282999999999999</v>
      </c>
      <c r="F1898">
        <f t="shared" si="148"/>
        <v>-0.65155598335067255</v>
      </c>
      <c r="G1898">
        <f t="shared" si="149"/>
        <v>0.4245251994400619</v>
      </c>
    </row>
    <row r="1899" spans="1:7" x14ac:dyDescent="0.35">
      <c r="A1899">
        <v>151</v>
      </c>
      <c r="B1899">
        <f t="shared" si="145"/>
        <v>-1187.3520638224072</v>
      </c>
      <c r="C1899">
        <f t="shared" si="146"/>
        <v>1409804.9234633297</v>
      </c>
      <c r="D1899">
        <v>24498</v>
      </c>
      <c r="E1899">
        <f t="shared" si="147"/>
        <v>2.4498000000000002</v>
      </c>
      <c r="F1899">
        <f t="shared" si="148"/>
        <v>-0.9300559833506723</v>
      </c>
      <c r="G1899">
        <f t="shared" si="149"/>
        <v>0.86500413216638605</v>
      </c>
    </row>
    <row r="1900" spans="1:7" x14ac:dyDescent="0.35">
      <c r="A1900">
        <v>151</v>
      </c>
      <c r="B1900">
        <f t="shared" si="145"/>
        <v>-1187.3520638224072</v>
      </c>
      <c r="C1900">
        <f t="shared" si="146"/>
        <v>1409804.9234633297</v>
      </c>
      <c r="D1900">
        <v>34147</v>
      </c>
      <c r="E1900">
        <f t="shared" si="147"/>
        <v>3.4146999999999998</v>
      </c>
      <c r="F1900">
        <f t="shared" si="148"/>
        <v>3.4844016649327347E-2</v>
      </c>
      <c r="G1900">
        <f t="shared" si="149"/>
        <v>1.2141054962586013E-3</v>
      </c>
    </row>
    <row r="1901" spans="1:7" x14ac:dyDescent="0.35">
      <c r="A1901">
        <v>151</v>
      </c>
      <c r="B1901">
        <f t="shared" si="145"/>
        <v>-1187.3520638224072</v>
      </c>
      <c r="C1901">
        <f t="shared" si="146"/>
        <v>1409804.9234633297</v>
      </c>
      <c r="D1901">
        <v>31432</v>
      </c>
      <c r="E1901">
        <f t="shared" si="147"/>
        <v>3.1432000000000002</v>
      </c>
      <c r="F1901">
        <f t="shared" si="148"/>
        <v>-0.23665598335067228</v>
      </c>
      <c r="G1901">
        <f t="shared" si="149"/>
        <v>5.6006054455673679E-2</v>
      </c>
    </row>
    <row r="1902" spans="1:7" x14ac:dyDescent="0.35">
      <c r="A1902">
        <v>151</v>
      </c>
      <c r="B1902">
        <f t="shared" si="145"/>
        <v>-1187.3520638224072</v>
      </c>
      <c r="C1902">
        <f t="shared" si="146"/>
        <v>1409804.9234633297</v>
      </c>
      <c r="D1902">
        <v>35605</v>
      </c>
      <c r="E1902">
        <f t="shared" si="147"/>
        <v>3.5605000000000002</v>
      </c>
      <c r="F1902">
        <f t="shared" si="148"/>
        <v>0.18064401664932772</v>
      </c>
      <c r="G1902">
        <f t="shared" si="149"/>
        <v>3.2632260751202589E-2</v>
      </c>
    </row>
    <row r="1903" spans="1:7" x14ac:dyDescent="0.35">
      <c r="A1903">
        <v>151</v>
      </c>
      <c r="B1903">
        <f t="shared" si="145"/>
        <v>-1187.3520638224072</v>
      </c>
      <c r="C1903">
        <f t="shared" si="146"/>
        <v>1409804.9234633297</v>
      </c>
      <c r="D1903">
        <v>32828</v>
      </c>
      <c r="E1903">
        <f t="shared" si="147"/>
        <v>3.2827999999999999</v>
      </c>
      <c r="F1903">
        <f t="shared" si="148"/>
        <v>-9.7055983350672559E-2</v>
      </c>
      <c r="G1903">
        <f t="shared" si="149"/>
        <v>9.419863904166029E-3</v>
      </c>
    </row>
    <row r="1904" spans="1:7" x14ac:dyDescent="0.35">
      <c r="A1904">
        <v>151</v>
      </c>
      <c r="B1904">
        <f t="shared" si="145"/>
        <v>-1187.3520638224072</v>
      </c>
      <c r="C1904">
        <f t="shared" si="146"/>
        <v>1409804.9234633297</v>
      </c>
      <c r="D1904">
        <v>26233</v>
      </c>
      <c r="E1904">
        <f t="shared" si="147"/>
        <v>2.6233</v>
      </c>
      <c r="F1904">
        <f t="shared" si="148"/>
        <v>-0.75655598335067253</v>
      </c>
      <c r="G1904">
        <f t="shared" si="149"/>
        <v>0.57237695594370308</v>
      </c>
    </row>
    <row r="1905" spans="1:7" x14ac:dyDescent="0.35">
      <c r="A1905">
        <v>151</v>
      </c>
      <c r="B1905">
        <f t="shared" si="145"/>
        <v>-1187.3520638224072</v>
      </c>
      <c r="C1905">
        <f t="shared" si="146"/>
        <v>1409804.9234633297</v>
      </c>
      <c r="D1905">
        <v>22143</v>
      </c>
      <c r="E1905">
        <f t="shared" si="147"/>
        <v>2.2143000000000002</v>
      </c>
      <c r="F1905">
        <f t="shared" si="148"/>
        <v>-1.1655559833506723</v>
      </c>
      <c r="G1905">
        <f t="shared" si="149"/>
        <v>1.3585207503245529</v>
      </c>
    </row>
    <row r="1906" spans="1:7" x14ac:dyDescent="0.35">
      <c r="A1906">
        <v>151</v>
      </c>
      <c r="B1906">
        <f t="shared" si="145"/>
        <v>-1187.3520638224072</v>
      </c>
      <c r="C1906">
        <f t="shared" si="146"/>
        <v>1409804.9234633297</v>
      </c>
      <c r="D1906">
        <v>24286</v>
      </c>
      <c r="E1906">
        <f t="shared" si="147"/>
        <v>2.4285999999999999</v>
      </c>
      <c r="F1906">
        <f t="shared" si="148"/>
        <v>-0.95125598335067263</v>
      </c>
      <c r="G1906">
        <f t="shared" si="149"/>
        <v>0.90488794586045518</v>
      </c>
    </row>
    <row r="1907" spans="1:7" x14ac:dyDescent="0.35">
      <c r="A1907">
        <v>151</v>
      </c>
      <c r="B1907">
        <f t="shared" si="145"/>
        <v>-1187.3520638224072</v>
      </c>
      <c r="C1907">
        <f t="shared" si="146"/>
        <v>1409804.9234633297</v>
      </c>
      <c r="D1907">
        <v>16254</v>
      </c>
      <c r="E1907">
        <f t="shared" si="147"/>
        <v>1.6254</v>
      </c>
      <c r="F1907">
        <f t="shared" si="148"/>
        <v>-1.7544559833506725</v>
      </c>
      <c r="G1907">
        <f t="shared" si="149"/>
        <v>3.0781157975149753</v>
      </c>
    </row>
    <row r="1908" spans="1:7" x14ac:dyDescent="0.35">
      <c r="A1908">
        <v>151</v>
      </c>
      <c r="B1908">
        <f t="shared" si="145"/>
        <v>-1187.3520638224072</v>
      </c>
      <c r="C1908">
        <f t="shared" si="146"/>
        <v>1409804.9234633297</v>
      </c>
      <c r="D1908">
        <v>20244</v>
      </c>
      <c r="E1908">
        <f t="shared" si="147"/>
        <v>2.0244</v>
      </c>
      <c r="F1908">
        <f t="shared" si="148"/>
        <v>-1.3554559833506725</v>
      </c>
      <c r="G1908">
        <f t="shared" si="149"/>
        <v>1.8372609228011387</v>
      </c>
    </row>
    <row r="1909" spans="1:7" x14ac:dyDescent="0.35">
      <c r="A1909">
        <v>151</v>
      </c>
      <c r="B1909">
        <f t="shared" si="145"/>
        <v>-1187.3520638224072</v>
      </c>
      <c r="C1909">
        <f t="shared" si="146"/>
        <v>1409804.9234633297</v>
      </c>
      <c r="D1909">
        <v>29100</v>
      </c>
      <c r="E1909">
        <f t="shared" si="147"/>
        <v>2.91</v>
      </c>
      <c r="F1909">
        <f t="shared" si="148"/>
        <v>-0.46985598335067236</v>
      </c>
      <c r="G1909">
        <f t="shared" si="149"/>
        <v>0.22076464509042729</v>
      </c>
    </row>
    <row r="1910" spans="1:7" x14ac:dyDescent="0.35">
      <c r="A1910">
        <v>151</v>
      </c>
      <c r="B1910">
        <f t="shared" si="145"/>
        <v>-1187.3520638224072</v>
      </c>
      <c r="C1910">
        <f t="shared" si="146"/>
        <v>1409804.9234633297</v>
      </c>
      <c r="D1910">
        <v>41112</v>
      </c>
      <c r="E1910">
        <f t="shared" si="147"/>
        <v>4.1112000000000002</v>
      </c>
      <c r="F1910">
        <f t="shared" si="148"/>
        <v>0.73134401664932769</v>
      </c>
      <c r="G1910">
        <f t="shared" si="149"/>
        <v>0.53486407068877206</v>
      </c>
    </row>
    <row r="1911" spans="1:7" x14ac:dyDescent="0.35">
      <c r="A1911">
        <v>151</v>
      </c>
      <c r="B1911">
        <f t="shared" si="145"/>
        <v>-1187.3520638224072</v>
      </c>
      <c r="C1911">
        <f t="shared" si="146"/>
        <v>1409804.9234633297</v>
      </c>
      <c r="D1911">
        <v>27479</v>
      </c>
      <c r="E1911">
        <f t="shared" si="147"/>
        <v>2.7479</v>
      </c>
      <c r="F1911">
        <f t="shared" si="148"/>
        <v>-0.63195598335067249</v>
      </c>
      <c r="G1911">
        <f t="shared" si="149"/>
        <v>0.39936836489271543</v>
      </c>
    </row>
    <row r="1912" spans="1:7" x14ac:dyDescent="0.35">
      <c r="A1912">
        <v>151</v>
      </c>
      <c r="B1912">
        <f t="shared" si="145"/>
        <v>-1187.3520638224072</v>
      </c>
      <c r="C1912">
        <f t="shared" si="146"/>
        <v>1409804.9234633297</v>
      </c>
      <c r="D1912">
        <v>27565</v>
      </c>
      <c r="E1912">
        <f t="shared" si="147"/>
        <v>2.7565</v>
      </c>
      <c r="F1912">
        <f t="shared" si="148"/>
        <v>-0.62335598335067255</v>
      </c>
      <c r="G1912">
        <f t="shared" si="149"/>
        <v>0.38857268197908396</v>
      </c>
    </row>
    <row r="1913" spans="1:7" x14ac:dyDescent="0.35">
      <c r="A1913">
        <v>151</v>
      </c>
      <c r="B1913">
        <f t="shared" si="145"/>
        <v>-1187.3520638224072</v>
      </c>
      <c r="C1913">
        <f t="shared" si="146"/>
        <v>1409804.9234633297</v>
      </c>
      <c r="D1913">
        <v>31638</v>
      </c>
      <c r="E1913">
        <f t="shared" si="147"/>
        <v>3.1638000000000002</v>
      </c>
      <c r="F1913">
        <f t="shared" si="148"/>
        <v>-0.21605598335067233</v>
      </c>
      <c r="G1913">
        <f t="shared" si="149"/>
        <v>4.6680187941625997E-2</v>
      </c>
    </row>
    <row r="1914" spans="1:7" x14ac:dyDescent="0.35">
      <c r="A1914">
        <v>151</v>
      </c>
      <c r="B1914">
        <f t="shared" si="145"/>
        <v>-1187.3520638224072</v>
      </c>
      <c r="C1914">
        <f t="shared" si="146"/>
        <v>1409804.9234633297</v>
      </c>
      <c r="D1914">
        <v>30949</v>
      </c>
      <c r="E1914">
        <f t="shared" si="147"/>
        <v>3.0949</v>
      </c>
      <c r="F1914">
        <f t="shared" si="148"/>
        <v>-0.28495598335067251</v>
      </c>
      <c r="G1914">
        <f t="shared" si="149"/>
        <v>8.1199912447348754E-2</v>
      </c>
    </row>
    <row r="1915" spans="1:7" x14ac:dyDescent="0.35">
      <c r="A1915">
        <v>151</v>
      </c>
      <c r="B1915">
        <f t="shared" si="145"/>
        <v>-1187.3520638224072</v>
      </c>
      <c r="C1915">
        <f t="shared" si="146"/>
        <v>1409804.9234633297</v>
      </c>
      <c r="D1915">
        <v>38290</v>
      </c>
      <c r="E1915">
        <f t="shared" si="147"/>
        <v>3.8290000000000002</v>
      </c>
      <c r="F1915">
        <f t="shared" si="148"/>
        <v>0.44914401664932768</v>
      </c>
      <c r="G1915">
        <f t="shared" si="149"/>
        <v>0.20173034769189155</v>
      </c>
    </row>
    <row r="1916" spans="1:7" x14ac:dyDescent="0.35">
      <c r="A1916">
        <v>151</v>
      </c>
      <c r="B1916">
        <f t="shared" si="145"/>
        <v>-1187.3520638224072</v>
      </c>
      <c r="C1916">
        <f t="shared" si="146"/>
        <v>1409804.9234633297</v>
      </c>
      <c r="D1916">
        <v>36637</v>
      </c>
      <c r="E1916">
        <f t="shared" si="147"/>
        <v>3.6637</v>
      </c>
      <c r="F1916">
        <f t="shared" si="148"/>
        <v>0.28384401664932746</v>
      </c>
      <c r="G1916">
        <f t="shared" si="149"/>
        <v>8.0567425787623687E-2</v>
      </c>
    </row>
    <row r="1917" spans="1:7" x14ac:dyDescent="0.35">
      <c r="A1917">
        <v>151</v>
      </c>
      <c r="B1917">
        <f t="shared" si="145"/>
        <v>-1187.3520638224072</v>
      </c>
      <c r="C1917">
        <f t="shared" si="146"/>
        <v>1409804.9234633297</v>
      </c>
      <c r="D1917">
        <v>35900</v>
      </c>
      <c r="E1917">
        <f t="shared" si="147"/>
        <v>3.59</v>
      </c>
      <c r="F1917">
        <f t="shared" si="148"/>
        <v>0.21014401664932736</v>
      </c>
      <c r="G1917">
        <f t="shared" si="149"/>
        <v>4.4160507733512773E-2</v>
      </c>
    </row>
    <row r="1918" spans="1:7" x14ac:dyDescent="0.35">
      <c r="A1918">
        <v>151</v>
      </c>
      <c r="B1918">
        <f t="shared" si="145"/>
        <v>-1187.3520638224072</v>
      </c>
      <c r="C1918">
        <f t="shared" si="146"/>
        <v>1409804.9234633297</v>
      </c>
      <c r="D1918">
        <v>38110</v>
      </c>
      <c r="E1918">
        <f t="shared" si="147"/>
        <v>3.8109999999999999</v>
      </c>
      <c r="F1918">
        <f t="shared" si="148"/>
        <v>0.43114401664932744</v>
      </c>
      <c r="G1918">
        <f t="shared" si="149"/>
        <v>0.18588516309251554</v>
      </c>
    </row>
    <row r="1919" spans="1:7" x14ac:dyDescent="0.35">
      <c r="A1919">
        <v>151</v>
      </c>
      <c r="B1919">
        <f t="shared" si="145"/>
        <v>-1187.3520638224072</v>
      </c>
      <c r="C1919">
        <f t="shared" si="146"/>
        <v>1409804.9234633297</v>
      </c>
      <c r="D1919">
        <v>43571</v>
      </c>
      <c r="E1919">
        <f t="shared" si="147"/>
        <v>4.3571</v>
      </c>
      <c r="F1919">
        <f t="shared" si="148"/>
        <v>0.97724401664932747</v>
      </c>
      <c r="G1919">
        <f t="shared" si="149"/>
        <v>0.95500586807691101</v>
      </c>
    </row>
    <row r="1920" spans="1:7" x14ac:dyDescent="0.35">
      <c r="A1920">
        <v>151</v>
      </c>
      <c r="B1920">
        <f t="shared" si="145"/>
        <v>-1187.3520638224072</v>
      </c>
      <c r="C1920">
        <f t="shared" si="146"/>
        <v>1409804.9234633297</v>
      </c>
      <c r="D1920">
        <v>54407</v>
      </c>
      <c r="E1920">
        <f t="shared" si="147"/>
        <v>5.4406999999999996</v>
      </c>
      <c r="F1920">
        <f t="shared" si="148"/>
        <v>2.0608440166493271</v>
      </c>
      <c r="G1920">
        <f t="shared" si="149"/>
        <v>4.2470780609593319</v>
      </c>
    </row>
    <row r="1921" spans="1:7" x14ac:dyDescent="0.35">
      <c r="A1921">
        <v>151</v>
      </c>
      <c r="B1921">
        <f t="shared" si="145"/>
        <v>-1187.3520638224072</v>
      </c>
      <c r="C1921">
        <f t="shared" si="146"/>
        <v>1409804.9234633297</v>
      </c>
      <c r="D1921">
        <v>54739</v>
      </c>
      <c r="E1921">
        <f t="shared" si="147"/>
        <v>5.4739000000000004</v>
      </c>
      <c r="F1921">
        <f t="shared" si="148"/>
        <v>2.0940440166493279</v>
      </c>
      <c r="G1921">
        <f t="shared" si="149"/>
        <v>4.3850203436648512</v>
      </c>
    </row>
    <row r="1922" spans="1:7" x14ac:dyDescent="0.35">
      <c r="A1922">
        <v>151</v>
      </c>
      <c r="B1922">
        <f t="shared" si="145"/>
        <v>-1187.3520638224072</v>
      </c>
      <c r="C1922">
        <f t="shared" si="146"/>
        <v>1409804.9234633297</v>
      </c>
      <c r="D1922">
        <v>57490</v>
      </c>
      <c r="E1922">
        <f t="shared" si="147"/>
        <v>5.7489999999999997</v>
      </c>
      <c r="F1922">
        <f t="shared" si="148"/>
        <v>2.3691440166493272</v>
      </c>
      <c r="G1922">
        <f t="shared" si="149"/>
        <v>5.6128433716253072</v>
      </c>
    </row>
    <row r="1923" spans="1:7" x14ac:dyDescent="0.35">
      <c r="A1923">
        <v>151</v>
      </c>
      <c r="B1923">
        <f t="shared" ref="B1923:B1986" si="150">A1923-$J$1</f>
        <v>-1187.3520638224072</v>
      </c>
      <c r="C1923">
        <f t="shared" ref="C1923:C1986" si="151">B1923^2</f>
        <v>1409804.9234633297</v>
      </c>
      <c r="D1923">
        <v>62834</v>
      </c>
      <c r="E1923">
        <f t="shared" ref="E1923:E1986" si="152">D1923/10000</f>
        <v>6.2834000000000003</v>
      </c>
      <c r="F1923">
        <f t="shared" ref="F1923:F1986" si="153">E1923-$J$2</f>
        <v>2.9035440166493278</v>
      </c>
      <c r="G1923">
        <f t="shared" ref="G1923:G1986" si="154">F1923^2</f>
        <v>8.4305678566201117</v>
      </c>
    </row>
    <row r="1924" spans="1:7" x14ac:dyDescent="0.35">
      <c r="A1924">
        <v>151</v>
      </c>
      <c r="B1924">
        <f t="shared" si="150"/>
        <v>-1187.3520638224072</v>
      </c>
      <c r="C1924">
        <f t="shared" si="151"/>
        <v>1409804.9234633297</v>
      </c>
      <c r="D1924">
        <v>61350</v>
      </c>
      <c r="E1924">
        <f t="shared" si="152"/>
        <v>6.1349999999999998</v>
      </c>
      <c r="F1924">
        <f t="shared" si="153"/>
        <v>2.7551440166493273</v>
      </c>
      <c r="G1924">
        <f t="shared" si="154"/>
        <v>7.5908185524785887</v>
      </c>
    </row>
    <row r="1925" spans="1:7" x14ac:dyDescent="0.35">
      <c r="A1925">
        <v>151</v>
      </c>
      <c r="B1925">
        <f t="shared" si="150"/>
        <v>-1187.3520638224072</v>
      </c>
      <c r="C1925">
        <f t="shared" si="151"/>
        <v>1409804.9234633297</v>
      </c>
      <c r="D1925">
        <v>44383</v>
      </c>
      <c r="E1925">
        <f t="shared" si="152"/>
        <v>4.4382999999999999</v>
      </c>
      <c r="F1925">
        <f t="shared" si="153"/>
        <v>1.0584440166493274</v>
      </c>
      <c r="G1925">
        <f t="shared" si="154"/>
        <v>1.1203037363807617</v>
      </c>
    </row>
    <row r="1926" spans="1:7" x14ac:dyDescent="0.35">
      <c r="A1926">
        <v>151</v>
      </c>
      <c r="B1926">
        <f t="shared" si="150"/>
        <v>-1187.3520638224072</v>
      </c>
      <c r="C1926">
        <f t="shared" si="151"/>
        <v>1409804.9234633297</v>
      </c>
      <c r="D1926">
        <v>26372</v>
      </c>
      <c r="E1926">
        <f t="shared" si="152"/>
        <v>2.6372</v>
      </c>
      <c r="F1926">
        <f t="shared" si="153"/>
        <v>-0.74265598335067251</v>
      </c>
      <c r="G1926">
        <f t="shared" si="154"/>
        <v>0.55153790960655436</v>
      </c>
    </row>
    <row r="1927" spans="1:7" x14ac:dyDescent="0.35">
      <c r="A1927">
        <v>1150</v>
      </c>
      <c r="B1927">
        <f t="shared" si="150"/>
        <v>-188.35206382240722</v>
      </c>
      <c r="C1927">
        <f t="shared" si="151"/>
        <v>35476.499946160162</v>
      </c>
      <c r="D1927">
        <v>21343</v>
      </c>
      <c r="E1927">
        <f t="shared" si="152"/>
        <v>2.1343000000000001</v>
      </c>
      <c r="F1927">
        <f t="shared" si="153"/>
        <v>-1.2455559833506724</v>
      </c>
      <c r="G1927">
        <f t="shared" si="154"/>
        <v>1.5514097076606606</v>
      </c>
    </row>
    <row r="1928" spans="1:7" x14ac:dyDescent="0.35">
      <c r="A1928">
        <v>1150</v>
      </c>
      <c r="B1928">
        <f t="shared" si="150"/>
        <v>-188.35206382240722</v>
      </c>
      <c r="C1928">
        <f t="shared" si="151"/>
        <v>35476.499946160162</v>
      </c>
      <c r="D1928">
        <v>20233</v>
      </c>
      <c r="E1928">
        <f t="shared" si="152"/>
        <v>2.0232999999999999</v>
      </c>
      <c r="F1928">
        <f t="shared" si="153"/>
        <v>-1.3565559833506726</v>
      </c>
      <c r="G1928">
        <f t="shared" si="154"/>
        <v>1.8402441359645103</v>
      </c>
    </row>
    <row r="1929" spans="1:7" x14ac:dyDescent="0.35">
      <c r="A1929">
        <v>1150</v>
      </c>
      <c r="B1929">
        <f t="shared" si="150"/>
        <v>-188.35206382240722</v>
      </c>
      <c r="C1929">
        <f t="shared" si="151"/>
        <v>35476.499946160162</v>
      </c>
      <c r="D1929">
        <v>23893</v>
      </c>
      <c r="E1929">
        <f t="shared" si="152"/>
        <v>2.3893</v>
      </c>
      <c r="F1929">
        <f t="shared" si="153"/>
        <v>-0.99055598335067252</v>
      </c>
      <c r="G1929">
        <f t="shared" si="154"/>
        <v>0.9812011561518178</v>
      </c>
    </row>
    <row r="1930" spans="1:7" x14ac:dyDescent="0.35">
      <c r="A1930">
        <v>1150</v>
      </c>
      <c r="B1930">
        <f t="shared" si="150"/>
        <v>-188.35206382240722</v>
      </c>
      <c r="C1930">
        <f t="shared" si="151"/>
        <v>35476.499946160162</v>
      </c>
      <c r="D1930">
        <v>19994</v>
      </c>
      <c r="E1930">
        <f t="shared" si="152"/>
        <v>1.9994000000000001</v>
      </c>
      <c r="F1930">
        <f t="shared" si="153"/>
        <v>-1.3804559833506724</v>
      </c>
      <c r="G1930">
        <f t="shared" si="154"/>
        <v>1.905658721968672</v>
      </c>
    </row>
    <row r="1931" spans="1:7" x14ac:dyDescent="0.35">
      <c r="A1931">
        <v>1150</v>
      </c>
      <c r="B1931">
        <f t="shared" si="150"/>
        <v>-188.35206382240722</v>
      </c>
      <c r="C1931">
        <f t="shared" si="151"/>
        <v>35476.499946160162</v>
      </c>
      <c r="D1931">
        <v>20695</v>
      </c>
      <c r="E1931">
        <f t="shared" si="152"/>
        <v>2.0695000000000001</v>
      </c>
      <c r="F1931">
        <f t="shared" si="153"/>
        <v>-1.3103559833506724</v>
      </c>
      <c r="G1931">
        <f t="shared" si="154"/>
        <v>1.7170328031029076</v>
      </c>
    </row>
    <row r="1932" spans="1:7" x14ac:dyDescent="0.35">
      <c r="A1932">
        <v>1150</v>
      </c>
      <c r="B1932">
        <f t="shared" si="150"/>
        <v>-188.35206382240722</v>
      </c>
      <c r="C1932">
        <f t="shared" si="151"/>
        <v>35476.499946160162</v>
      </c>
      <c r="D1932">
        <v>19528</v>
      </c>
      <c r="E1932">
        <f t="shared" si="152"/>
        <v>1.9528000000000001</v>
      </c>
      <c r="F1932">
        <f t="shared" si="153"/>
        <v>-1.4270559833506724</v>
      </c>
      <c r="G1932">
        <f t="shared" si="154"/>
        <v>2.0364887796169544</v>
      </c>
    </row>
    <row r="1933" spans="1:7" x14ac:dyDescent="0.35">
      <c r="A1933">
        <v>1150</v>
      </c>
      <c r="B1933">
        <f t="shared" si="150"/>
        <v>-188.35206382240722</v>
      </c>
      <c r="C1933">
        <f t="shared" si="151"/>
        <v>35476.499946160162</v>
      </c>
      <c r="D1933">
        <v>19591</v>
      </c>
      <c r="E1933">
        <f t="shared" si="152"/>
        <v>1.9591000000000001</v>
      </c>
      <c r="F1933">
        <f t="shared" si="153"/>
        <v>-1.4207559833506724</v>
      </c>
      <c r="G1933">
        <f t="shared" si="154"/>
        <v>2.0185475642267363</v>
      </c>
    </row>
    <row r="1934" spans="1:7" x14ac:dyDescent="0.35">
      <c r="A1934">
        <v>1150</v>
      </c>
      <c r="B1934">
        <f t="shared" si="150"/>
        <v>-188.35206382240722</v>
      </c>
      <c r="C1934">
        <f t="shared" si="151"/>
        <v>35476.499946160162</v>
      </c>
      <c r="D1934">
        <v>19597</v>
      </c>
      <c r="E1934">
        <f t="shared" si="152"/>
        <v>1.9597</v>
      </c>
      <c r="F1934">
        <f t="shared" si="153"/>
        <v>-1.4201559833506725</v>
      </c>
      <c r="G1934">
        <f t="shared" si="154"/>
        <v>2.0168430170467158</v>
      </c>
    </row>
    <row r="1935" spans="1:7" x14ac:dyDescent="0.35">
      <c r="A1935">
        <v>1150</v>
      </c>
      <c r="B1935">
        <f t="shared" si="150"/>
        <v>-188.35206382240722</v>
      </c>
      <c r="C1935">
        <f t="shared" si="151"/>
        <v>35476.499946160162</v>
      </c>
      <c r="D1935">
        <v>14160</v>
      </c>
      <c r="E1935">
        <f t="shared" si="152"/>
        <v>1.4159999999999999</v>
      </c>
      <c r="F1935">
        <f t="shared" si="153"/>
        <v>-1.9638559833506726</v>
      </c>
      <c r="G1935">
        <f t="shared" si="154"/>
        <v>3.8567303233422372</v>
      </c>
    </row>
    <row r="1936" spans="1:7" x14ac:dyDescent="0.35">
      <c r="A1936">
        <v>1150</v>
      </c>
      <c r="B1936">
        <f t="shared" si="150"/>
        <v>-188.35206382240722</v>
      </c>
      <c r="C1936">
        <f t="shared" si="151"/>
        <v>35476.499946160162</v>
      </c>
      <c r="D1936">
        <v>16258</v>
      </c>
      <c r="E1936">
        <f t="shared" si="152"/>
        <v>1.6257999999999999</v>
      </c>
      <c r="F1936">
        <f t="shared" si="153"/>
        <v>-1.7540559833506726</v>
      </c>
      <c r="G1936">
        <f t="shared" si="154"/>
        <v>3.0767123927282949</v>
      </c>
    </row>
    <row r="1937" spans="1:7" x14ac:dyDescent="0.35">
      <c r="A1937">
        <v>1150</v>
      </c>
      <c r="B1937">
        <f t="shared" si="150"/>
        <v>-188.35206382240722</v>
      </c>
      <c r="C1937">
        <f t="shared" si="151"/>
        <v>35476.499946160162</v>
      </c>
      <c r="D1937">
        <v>17498</v>
      </c>
      <c r="E1937">
        <f t="shared" si="152"/>
        <v>1.7498</v>
      </c>
      <c r="F1937">
        <f t="shared" si="153"/>
        <v>-1.6300559833506725</v>
      </c>
      <c r="G1937">
        <f t="shared" si="154"/>
        <v>2.6570825088573278</v>
      </c>
    </row>
    <row r="1938" spans="1:7" x14ac:dyDescent="0.35">
      <c r="A1938">
        <v>1150</v>
      </c>
      <c r="B1938">
        <f t="shared" si="150"/>
        <v>-188.35206382240722</v>
      </c>
      <c r="C1938">
        <f t="shared" si="151"/>
        <v>35476.499946160162</v>
      </c>
      <c r="D1938">
        <v>15957</v>
      </c>
      <c r="E1938">
        <f t="shared" si="152"/>
        <v>1.5956999999999999</v>
      </c>
      <c r="F1938">
        <f t="shared" si="153"/>
        <v>-1.7841559833506726</v>
      </c>
      <c r="G1938">
        <f t="shared" si="154"/>
        <v>3.1832125729260055</v>
      </c>
    </row>
    <row r="1939" spans="1:7" x14ac:dyDescent="0.35">
      <c r="A1939">
        <v>1150</v>
      </c>
      <c r="B1939">
        <f t="shared" si="150"/>
        <v>-188.35206382240722</v>
      </c>
      <c r="C1939">
        <f t="shared" si="151"/>
        <v>35476.499946160162</v>
      </c>
      <c r="D1939">
        <v>16023</v>
      </c>
      <c r="E1939">
        <f t="shared" si="152"/>
        <v>1.6023000000000001</v>
      </c>
      <c r="F1939">
        <f t="shared" si="153"/>
        <v>-1.7775559833506724</v>
      </c>
      <c r="G1939">
        <f t="shared" si="154"/>
        <v>3.159705273945776</v>
      </c>
    </row>
    <row r="1940" spans="1:7" x14ac:dyDescent="0.35">
      <c r="A1940">
        <v>1150</v>
      </c>
      <c r="B1940">
        <f t="shared" si="150"/>
        <v>-188.35206382240722</v>
      </c>
      <c r="C1940">
        <f t="shared" si="151"/>
        <v>35476.499946160162</v>
      </c>
      <c r="D1940">
        <v>14957</v>
      </c>
      <c r="E1940">
        <f t="shared" si="152"/>
        <v>1.4957</v>
      </c>
      <c r="F1940">
        <f t="shared" si="153"/>
        <v>-1.8841559833506725</v>
      </c>
      <c r="G1940">
        <f t="shared" si="154"/>
        <v>3.5500437695961398</v>
      </c>
    </row>
    <row r="1941" spans="1:7" x14ac:dyDescent="0.35">
      <c r="A1941">
        <v>1150</v>
      </c>
      <c r="B1941">
        <f t="shared" si="150"/>
        <v>-188.35206382240722</v>
      </c>
      <c r="C1941">
        <f t="shared" si="151"/>
        <v>35476.499946160162</v>
      </c>
      <c r="D1941">
        <v>14998</v>
      </c>
      <c r="E1941">
        <f t="shared" si="152"/>
        <v>1.4998</v>
      </c>
      <c r="F1941">
        <f t="shared" si="153"/>
        <v>-1.8800559833506725</v>
      </c>
      <c r="G1941">
        <f t="shared" si="154"/>
        <v>3.534610500532664</v>
      </c>
    </row>
    <row r="1942" spans="1:7" x14ac:dyDescent="0.35">
      <c r="A1942">
        <v>1150</v>
      </c>
      <c r="B1942">
        <f t="shared" si="150"/>
        <v>-188.35206382240722</v>
      </c>
      <c r="C1942">
        <f t="shared" si="151"/>
        <v>35476.499946160162</v>
      </c>
      <c r="D1942">
        <v>13000</v>
      </c>
      <c r="E1942">
        <f t="shared" si="152"/>
        <v>1.3</v>
      </c>
      <c r="F1942">
        <f t="shared" si="153"/>
        <v>-2.0798559833506722</v>
      </c>
      <c r="G1942">
        <f t="shared" si="154"/>
        <v>4.3258009114795914</v>
      </c>
    </row>
    <row r="1943" spans="1:7" x14ac:dyDescent="0.35">
      <c r="A1943">
        <v>1150</v>
      </c>
      <c r="B1943">
        <f t="shared" si="150"/>
        <v>-188.35206382240722</v>
      </c>
      <c r="C1943">
        <f t="shared" si="151"/>
        <v>35476.499946160162</v>
      </c>
      <c r="D1943">
        <v>13400</v>
      </c>
      <c r="E1943">
        <f t="shared" si="152"/>
        <v>1.34</v>
      </c>
      <c r="F1943">
        <f t="shared" si="153"/>
        <v>-2.0398559833506722</v>
      </c>
      <c r="G1943">
        <f t="shared" si="154"/>
        <v>4.1610124328115381</v>
      </c>
    </row>
    <row r="1944" spans="1:7" x14ac:dyDescent="0.35">
      <c r="A1944">
        <v>1150</v>
      </c>
      <c r="B1944">
        <f t="shared" si="150"/>
        <v>-188.35206382240722</v>
      </c>
      <c r="C1944">
        <f t="shared" si="151"/>
        <v>35476.499946160162</v>
      </c>
      <c r="D1944">
        <v>14199</v>
      </c>
      <c r="E1944">
        <f t="shared" si="152"/>
        <v>1.4198999999999999</v>
      </c>
      <c r="F1944">
        <f t="shared" si="153"/>
        <v>-1.9599559833506726</v>
      </c>
      <c r="G1944">
        <f t="shared" si="154"/>
        <v>3.8414274566721018</v>
      </c>
    </row>
    <row r="1945" spans="1:7" x14ac:dyDescent="0.35">
      <c r="A1945">
        <v>1150</v>
      </c>
      <c r="B1945">
        <f t="shared" si="150"/>
        <v>-188.35206382240722</v>
      </c>
      <c r="C1945">
        <f t="shared" si="151"/>
        <v>35476.499946160162</v>
      </c>
      <c r="D1945">
        <v>14302</v>
      </c>
      <c r="E1945">
        <f t="shared" si="152"/>
        <v>1.4301999999999999</v>
      </c>
      <c r="F1945">
        <f t="shared" si="153"/>
        <v>-1.9496559833506726</v>
      </c>
      <c r="G1945">
        <f t="shared" si="154"/>
        <v>3.801158453415078</v>
      </c>
    </row>
    <row r="1946" spans="1:7" x14ac:dyDescent="0.35">
      <c r="A1946">
        <v>1150</v>
      </c>
      <c r="B1946">
        <f t="shared" si="150"/>
        <v>-188.35206382240722</v>
      </c>
      <c r="C1946">
        <f t="shared" si="151"/>
        <v>35476.499946160162</v>
      </c>
      <c r="D1946">
        <v>14833</v>
      </c>
      <c r="E1946">
        <f t="shared" si="152"/>
        <v>1.4833000000000001</v>
      </c>
      <c r="F1946">
        <f t="shared" si="153"/>
        <v>-1.8965559833506724</v>
      </c>
      <c r="G1946">
        <f t="shared" si="154"/>
        <v>3.5969245979832363</v>
      </c>
    </row>
    <row r="1947" spans="1:7" x14ac:dyDescent="0.35">
      <c r="A1947">
        <v>1150</v>
      </c>
      <c r="B1947">
        <f t="shared" si="150"/>
        <v>-188.35206382240722</v>
      </c>
      <c r="C1947">
        <f t="shared" si="151"/>
        <v>35476.499946160162</v>
      </c>
      <c r="D1947">
        <v>12999</v>
      </c>
      <c r="E1947">
        <f t="shared" si="152"/>
        <v>1.2999000000000001</v>
      </c>
      <c r="F1947">
        <f t="shared" si="153"/>
        <v>-2.0799559833506724</v>
      </c>
      <c r="G1947">
        <f t="shared" si="154"/>
        <v>4.3262168926762632</v>
      </c>
    </row>
    <row r="1948" spans="1:7" x14ac:dyDescent="0.35">
      <c r="A1948">
        <v>1150</v>
      </c>
      <c r="B1948">
        <f t="shared" si="150"/>
        <v>-188.35206382240722</v>
      </c>
      <c r="C1948">
        <f t="shared" si="151"/>
        <v>35476.499946160162</v>
      </c>
      <c r="D1948">
        <v>17544</v>
      </c>
      <c r="E1948">
        <f t="shared" si="152"/>
        <v>1.7544</v>
      </c>
      <c r="F1948">
        <f t="shared" si="153"/>
        <v>-1.6254559833506725</v>
      </c>
      <c r="G1948">
        <f t="shared" si="154"/>
        <v>2.6421071538105019</v>
      </c>
    </row>
    <row r="1949" spans="1:7" x14ac:dyDescent="0.35">
      <c r="A1949">
        <v>1150</v>
      </c>
      <c r="B1949">
        <f t="shared" si="150"/>
        <v>-188.35206382240722</v>
      </c>
      <c r="C1949">
        <f t="shared" si="151"/>
        <v>35476.499946160162</v>
      </c>
      <c r="D1949">
        <v>19306</v>
      </c>
      <c r="E1949">
        <f t="shared" si="152"/>
        <v>1.9306000000000001</v>
      </c>
      <c r="F1949">
        <f t="shared" si="153"/>
        <v>-1.4492559833506724</v>
      </c>
      <c r="G1949">
        <f t="shared" si="154"/>
        <v>2.1003429052777243</v>
      </c>
    </row>
    <row r="1950" spans="1:7" x14ac:dyDescent="0.35">
      <c r="A1950">
        <v>1150</v>
      </c>
      <c r="B1950">
        <f t="shared" si="150"/>
        <v>-188.35206382240722</v>
      </c>
      <c r="C1950">
        <f t="shared" si="151"/>
        <v>35476.499946160162</v>
      </c>
      <c r="D1950">
        <v>18386</v>
      </c>
      <c r="E1950">
        <f t="shared" si="152"/>
        <v>1.8386</v>
      </c>
      <c r="F1950">
        <f t="shared" si="153"/>
        <v>-1.5412559833506725</v>
      </c>
      <c r="G1950">
        <f t="shared" si="154"/>
        <v>2.3754700062142486</v>
      </c>
    </row>
    <row r="1951" spans="1:7" x14ac:dyDescent="0.35">
      <c r="A1951">
        <v>1150</v>
      </c>
      <c r="B1951">
        <f t="shared" si="150"/>
        <v>-188.35206382240722</v>
      </c>
      <c r="C1951">
        <f t="shared" si="151"/>
        <v>35476.499946160162</v>
      </c>
      <c r="D1951">
        <v>20325</v>
      </c>
      <c r="E1951">
        <f t="shared" si="152"/>
        <v>2.0325000000000002</v>
      </c>
      <c r="F1951">
        <f t="shared" si="153"/>
        <v>-1.3473559833506723</v>
      </c>
      <c r="G1951">
        <f t="shared" si="154"/>
        <v>1.815368145870857</v>
      </c>
    </row>
    <row r="1952" spans="1:7" x14ac:dyDescent="0.35">
      <c r="A1952">
        <v>1150</v>
      </c>
      <c r="B1952">
        <f t="shared" si="150"/>
        <v>-188.35206382240722</v>
      </c>
      <c r="C1952">
        <f t="shared" si="151"/>
        <v>35476.499946160162</v>
      </c>
      <c r="D1952">
        <v>18971</v>
      </c>
      <c r="E1952">
        <f t="shared" si="152"/>
        <v>1.8971</v>
      </c>
      <c r="F1952">
        <f t="shared" si="153"/>
        <v>-1.4827559833506725</v>
      </c>
      <c r="G1952">
        <f t="shared" si="154"/>
        <v>2.1985653061622199</v>
      </c>
    </row>
    <row r="1953" spans="1:7" x14ac:dyDescent="0.35">
      <c r="A1953">
        <v>1150</v>
      </c>
      <c r="B1953">
        <f t="shared" si="150"/>
        <v>-188.35206382240722</v>
      </c>
      <c r="C1953">
        <f t="shared" si="151"/>
        <v>35476.499946160162</v>
      </c>
      <c r="D1953">
        <v>16454</v>
      </c>
      <c r="E1953">
        <f t="shared" si="152"/>
        <v>1.6454</v>
      </c>
      <c r="F1953">
        <f t="shared" si="153"/>
        <v>-1.7344559833506725</v>
      </c>
      <c r="G1953">
        <f t="shared" si="154"/>
        <v>3.0083375581809486</v>
      </c>
    </row>
    <row r="1954" spans="1:7" x14ac:dyDescent="0.35">
      <c r="A1954">
        <v>1150</v>
      </c>
      <c r="B1954">
        <f t="shared" si="150"/>
        <v>-188.35206382240722</v>
      </c>
      <c r="C1954">
        <f t="shared" si="151"/>
        <v>35476.499946160162</v>
      </c>
      <c r="D1954">
        <v>19478</v>
      </c>
      <c r="E1954">
        <f t="shared" si="152"/>
        <v>1.9478</v>
      </c>
      <c r="F1954">
        <f t="shared" si="153"/>
        <v>-1.4320559833506725</v>
      </c>
      <c r="G1954">
        <f t="shared" si="154"/>
        <v>2.0507843394504617</v>
      </c>
    </row>
    <row r="1955" spans="1:7" x14ac:dyDescent="0.35">
      <c r="A1955">
        <v>1150</v>
      </c>
      <c r="B1955">
        <f t="shared" si="150"/>
        <v>-188.35206382240722</v>
      </c>
      <c r="C1955">
        <f t="shared" si="151"/>
        <v>35476.499946160162</v>
      </c>
      <c r="D1955">
        <v>20042</v>
      </c>
      <c r="E1955">
        <f t="shared" si="152"/>
        <v>2.0042</v>
      </c>
      <c r="F1955">
        <f t="shared" si="153"/>
        <v>-1.3756559833506725</v>
      </c>
      <c r="G1955">
        <f t="shared" si="154"/>
        <v>1.8924293845285058</v>
      </c>
    </row>
    <row r="1956" spans="1:7" x14ac:dyDescent="0.35">
      <c r="A1956">
        <v>1150</v>
      </c>
      <c r="B1956">
        <f t="shared" si="150"/>
        <v>-188.35206382240722</v>
      </c>
      <c r="C1956">
        <f t="shared" si="151"/>
        <v>35476.499946160162</v>
      </c>
      <c r="D1956">
        <v>20265</v>
      </c>
      <c r="E1956">
        <f t="shared" si="152"/>
        <v>2.0265</v>
      </c>
      <c r="F1956">
        <f t="shared" si="153"/>
        <v>-1.3533559833506725</v>
      </c>
      <c r="G1956">
        <f t="shared" si="154"/>
        <v>1.8315724176710659</v>
      </c>
    </row>
    <row r="1957" spans="1:7" x14ac:dyDescent="0.35">
      <c r="A1957">
        <v>494</v>
      </c>
      <c r="B1957">
        <f t="shared" si="150"/>
        <v>-844.35206382240722</v>
      </c>
      <c r="C1957">
        <f t="shared" si="151"/>
        <v>712930.40768115839</v>
      </c>
      <c r="D1957">
        <v>23499</v>
      </c>
      <c r="E1957">
        <f t="shared" si="152"/>
        <v>2.3498999999999999</v>
      </c>
      <c r="F1957">
        <f t="shared" si="153"/>
        <v>-1.0299559833506726</v>
      </c>
      <c r="G1957">
        <f t="shared" si="154"/>
        <v>1.0608093276398509</v>
      </c>
    </row>
    <row r="1958" spans="1:7" x14ac:dyDescent="0.35">
      <c r="A1958">
        <v>494</v>
      </c>
      <c r="B1958">
        <f t="shared" si="150"/>
        <v>-844.35206382240722</v>
      </c>
      <c r="C1958">
        <f t="shared" si="151"/>
        <v>712930.40768115839</v>
      </c>
      <c r="D1958">
        <v>25320</v>
      </c>
      <c r="E1958">
        <f t="shared" si="152"/>
        <v>2.532</v>
      </c>
      <c r="F1958">
        <f t="shared" si="153"/>
        <v>-0.84785598335067247</v>
      </c>
      <c r="G1958">
        <f t="shared" si="154"/>
        <v>0.71885976850353583</v>
      </c>
    </row>
    <row r="1959" spans="1:7" x14ac:dyDescent="0.35">
      <c r="A1959">
        <v>494</v>
      </c>
      <c r="B1959">
        <f t="shared" si="150"/>
        <v>-844.35206382240722</v>
      </c>
      <c r="C1959">
        <f t="shared" si="151"/>
        <v>712930.40768115839</v>
      </c>
      <c r="D1959">
        <v>24765</v>
      </c>
      <c r="E1959">
        <f t="shared" si="152"/>
        <v>2.4765000000000001</v>
      </c>
      <c r="F1959">
        <f t="shared" si="153"/>
        <v>-0.90335598335067235</v>
      </c>
      <c r="G1959">
        <f t="shared" si="154"/>
        <v>0.81605203265546022</v>
      </c>
    </row>
    <row r="1960" spans="1:7" x14ac:dyDescent="0.35">
      <c r="A1960">
        <v>494</v>
      </c>
      <c r="B1960">
        <f t="shared" si="150"/>
        <v>-844.35206382240722</v>
      </c>
      <c r="C1960">
        <f t="shared" si="151"/>
        <v>712930.40768115839</v>
      </c>
      <c r="D1960">
        <v>22925</v>
      </c>
      <c r="E1960">
        <f t="shared" si="152"/>
        <v>2.2925</v>
      </c>
      <c r="F1960">
        <f t="shared" si="153"/>
        <v>-1.0873559833506725</v>
      </c>
      <c r="G1960">
        <f t="shared" si="154"/>
        <v>1.182343034528508</v>
      </c>
    </row>
    <row r="1961" spans="1:7" x14ac:dyDescent="0.35">
      <c r="A1961">
        <v>494</v>
      </c>
      <c r="B1961">
        <f t="shared" si="150"/>
        <v>-844.35206382240722</v>
      </c>
      <c r="C1961">
        <f t="shared" si="151"/>
        <v>712930.40768115839</v>
      </c>
      <c r="D1961">
        <v>23151</v>
      </c>
      <c r="E1961">
        <f t="shared" si="152"/>
        <v>2.3151000000000002</v>
      </c>
      <c r="F1961">
        <f t="shared" si="153"/>
        <v>-1.0647559833506723</v>
      </c>
      <c r="G1961">
        <f t="shared" si="154"/>
        <v>1.1337053040810572</v>
      </c>
    </row>
    <row r="1962" spans="1:7" x14ac:dyDescent="0.35">
      <c r="A1962">
        <v>494</v>
      </c>
      <c r="B1962">
        <f t="shared" si="150"/>
        <v>-844.35206382240722</v>
      </c>
      <c r="C1962">
        <f t="shared" si="151"/>
        <v>712930.40768115839</v>
      </c>
      <c r="D1962">
        <v>23199</v>
      </c>
      <c r="E1962">
        <f t="shared" si="152"/>
        <v>2.3199000000000001</v>
      </c>
      <c r="F1962">
        <f t="shared" si="153"/>
        <v>-1.0599559833506724</v>
      </c>
      <c r="G1962">
        <f t="shared" si="154"/>
        <v>1.1235066866408909</v>
      </c>
    </row>
    <row r="1963" spans="1:7" x14ac:dyDescent="0.35">
      <c r="A1963">
        <v>494</v>
      </c>
      <c r="B1963">
        <f t="shared" si="150"/>
        <v>-844.35206382240722</v>
      </c>
      <c r="C1963">
        <f t="shared" si="151"/>
        <v>712930.40768115839</v>
      </c>
      <c r="D1963">
        <v>23686</v>
      </c>
      <c r="E1963">
        <f t="shared" si="152"/>
        <v>2.3685999999999998</v>
      </c>
      <c r="F1963">
        <f t="shared" si="153"/>
        <v>-1.0112559833506727</v>
      </c>
      <c r="G1963">
        <f t="shared" si="154"/>
        <v>1.022638663862536</v>
      </c>
    </row>
    <row r="1964" spans="1:7" x14ac:dyDescent="0.35">
      <c r="A1964">
        <v>494</v>
      </c>
      <c r="B1964">
        <f t="shared" si="150"/>
        <v>-844.35206382240722</v>
      </c>
      <c r="C1964">
        <f t="shared" si="151"/>
        <v>712930.40768115839</v>
      </c>
      <c r="D1964">
        <v>27397</v>
      </c>
      <c r="E1964">
        <f t="shared" si="152"/>
        <v>2.7397</v>
      </c>
      <c r="F1964">
        <f t="shared" si="153"/>
        <v>-0.64015598335067248</v>
      </c>
      <c r="G1964">
        <f t="shared" si="154"/>
        <v>0.40979968301966646</v>
      </c>
    </row>
    <row r="1965" spans="1:7" x14ac:dyDescent="0.35">
      <c r="A1965">
        <v>494</v>
      </c>
      <c r="B1965">
        <f t="shared" si="150"/>
        <v>-844.35206382240722</v>
      </c>
      <c r="C1965">
        <f t="shared" si="151"/>
        <v>712930.40768115839</v>
      </c>
      <c r="D1965">
        <v>24333</v>
      </c>
      <c r="E1965">
        <f t="shared" si="152"/>
        <v>2.4333</v>
      </c>
      <c r="F1965">
        <f t="shared" si="153"/>
        <v>-0.94655598335067248</v>
      </c>
      <c r="G1965">
        <f t="shared" si="154"/>
        <v>0.89596822961695854</v>
      </c>
    </row>
    <row r="1966" spans="1:7" x14ac:dyDescent="0.35">
      <c r="A1966">
        <v>494</v>
      </c>
      <c r="B1966">
        <f t="shared" si="150"/>
        <v>-844.35206382240722</v>
      </c>
      <c r="C1966">
        <f t="shared" si="151"/>
        <v>712930.40768115839</v>
      </c>
      <c r="D1966">
        <v>27522</v>
      </c>
      <c r="E1966">
        <f t="shared" si="152"/>
        <v>2.7522000000000002</v>
      </c>
      <c r="F1966">
        <f t="shared" si="153"/>
        <v>-0.6276559833506723</v>
      </c>
      <c r="G1966">
        <f t="shared" si="154"/>
        <v>0.39395203343589941</v>
      </c>
    </row>
    <row r="1967" spans="1:7" x14ac:dyDescent="0.35">
      <c r="A1967">
        <v>494</v>
      </c>
      <c r="B1967">
        <f t="shared" si="150"/>
        <v>-844.35206382240722</v>
      </c>
      <c r="C1967">
        <f t="shared" si="151"/>
        <v>712930.40768115839</v>
      </c>
      <c r="D1967">
        <v>28685</v>
      </c>
      <c r="E1967">
        <f t="shared" si="152"/>
        <v>2.8685</v>
      </c>
      <c r="F1967">
        <f t="shared" si="153"/>
        <v>-0.51135598335067245</v>
      </c>
      <c r="G1967">
        <f t="shared" si="154"/>
        <v>0.2614849417085332</v>
      </c>
    </row>
    <row r="1968" spans="1:7" x14ac:dyDescent="0.35">
      <c r="A1968">
        <v>494</v>
      </c>
      <c r="B1968">
        <f t="shared" si="150"/>
        <v>-844.35206382240722</v>
      </c>
      <c r="C1968">
        <f t="shared" si="151"/>
        <v>712930.40768115839</v>
      </c>
      <c r="D1968">
        <v>28048</v>
      </c>
      <c r="E1968">
        <f t="shared" si="152"/>
        <v>2.8048000000000002</v>
      </c>
      <c r="F1968">
        <f t="shared" si="153"/>
        <v>-0.57505598335067232</v>
      </c>
      <c r="G1968">
        <f t="shared" si="154"/>
        <v>0.33068938398740871</v>
      </c>
    </row>
    <row r="1969" spans="1:7" x14ac:dyDescent="0.35">
      <c r="A1969">
        <v>494</v>
      </c>
      <c r="B1969">
        <f t="shared" si="150"/>
        <v>-844.35206382240722</v>
      </c>
      <c r="C1969">
        <f t="shared" si="151"/>
        <v>712930.40768115839</v>
      </c>
      <c r="D1969">
        <v>28930</v>
      </c>
      <c r="E1969">
        <f t="shared" si="152"/>
        <v>2.8929999999999998</v>
      </c>
      <c r="F1969">
        <f t="shared" si="153"/>
        <v>-0.48685598335067271</v>
      </c>
      <c r="G1969">
        <f t="shared" si="154"/>
        <v>0.23702874852435049</v>
      </c>
    </row>
    <row r="1970" spans="1:7" x14ac:dyDescent="0.35">
      <c r="A1970">
        <v>494</v>
      </c>
      <c r="B1970">
        <f t="shared" si="150"/>
        <v>-844.35206382240722</v>
      </c>
      <c r="C1970">
        <f t="shared" si="151"/>
        <v>712930.40768115839</v>
      </c>
      <c r="D1970">
        <v>30744</v>
      </c>
      <c r="E1970">
        <f t="shared" si="152"/>
        <v>3.0743999999999998</v>
      </c>
      <c r="F1970">
        <f t="shared" si="153"/>
        <v>-0.3054559833506727</v>
      </c>
      <c r="G1970">
        <f t="shared" si="154"/>
        <v>9.3303357764726438E-2</v>
      </c>
    </row>
    <row r="1971" spans="1:7" x14ac:dyDescent="0.35">
      <c r="A1971">
        <v>494</v>
      </c>
      <c r="B1971">
        <f t="shared" si="150"/>
        <v>-844.35206382240722</v>
      </c>
      <c r="C1971">
        <f t="shared" si="151"/>
        <v>712930.40768115839</v>
      </c>
      <c r="D1971">
        <v>30312</v>
      </c>
      <c r="E1971">
        <f t="shared" si="152"/>
        <v>3.0312000000000001</v>
      </c>
      <c r="F1971">
        <f t="shared" si="153"/>
        <v>-0.34865598335067238</v>
      </c>
      <c r="G1971">
        <f t="shared" si="154"/>
        <v>0.12156099472622434</v>
      </c>
    </row>
    <row r="1972" spans="1:7" x14ac:dyDescent="0.35">
      <c r="A1972">
        <v>494</v>
      </c>
      <c r="B1972">
        <f t="shared" si="150"/>
        <v>-844.35206382240722</v>
      </c>
      <c r="C1972">
        <f t="shared" si="151"/>
        <v>712930.40768115839</v>
      </c>
      <c r="D1972">
        <v>27542</v>
      </c>
      <c r="E1972">
        <f t="shared" si="152"/>
        <v>2.7542</v>
      </c>
      <c r="F1972">
        <f t="shared" si="153"/>
        <v>-0.62565598335067252</v>
      </c>
      <c r="G1972">
        <f t="shared" si="154"/>
        <v>0.39144540950249701</v>
      </c>
    </row>
    <row r="1973" spans="1:7" x14ac:dyDescent="0.35">
      <c r="A1973">
        <v>494</v>
      </c>
      <c r="B1973">
        <f t="shared" si="150"/>
        <v>-844.35206382240722</v>
      </c>
      <c r="C1973">
        <f t="shared" si="151"/>
        <v>712930.40768115839</v>
      </c>
      <c r="D1973">
        <v>30192</v>
      </c>
      <c r="E1973">
        <f t="shared" si="152"/>
        <v>3.0192000000000001</v>
      </c>
      <c r="F1973">
        <f t="shared" si="153"/>
        <v>-0.36065598335067239</v>
      </c>
      <c r="G1973">
        <f t="shared" si="154"/>
        <v>0.13007273832664049</v>
      </c>
    </row>
    <row r="1974" spans="1:7" x14ac:dyDescent="0.35">
      <c r="A1974">
        <v>494</v>
      </c>
      <c r="B1974">
        <f t="shared" si="150"/>
        <v>-844.35206382240722</v>
      </c>
      <c r="C1974">
        <f t="shared" si="151"/>
        <v>712930.40768115839</v>
      </c>
      <c r="D1974">
        <v>29914</v>
      </c>
      <c r="E1974">
        <f t="shared" si="152"/>
        <v>2.9914000000000001</v>
      </c>
      <c r="F1974">
        <f t="shared" si="153"/>
        <v>-0.38845598335067244</v>
      </c>
      <c r="G1974">
        <f t="shared" si="154"/>
        <v>0.15089805100093789</v>
      </c>
    </row>
    <row r="1975" spans="1:7" x14ac:dyDescent="0.35">
      <c r="A1975">
        <v>494</v>
      </c>
      <c r="B1975">
        <f t="shared" si="150"/>
        <v>-844.35206382240722</v>
      </c>
      <c r="C1975">
        <f t="shared" si="151"/>
        <v>712930.40768115839</v>
      </c>
      <c r="D1975">
        <v>31742</v>
      </c>
      <c r="E1975">
        <f t="shared" si="152"/>
        <v>3.1741999999999999</v>
      </c>
      <c r="F1975">
        <f t="shared" si="153"/>
        <v>-0.20565598335067259</v>
      </c>
      <c r="G1975">
        <f t="shared" si="154"/>
        <v>4.2294383487932123E-2</v>
      </c>
    </row>
    <row r="1976" spans="1:7" x14ac:dyDescent="0.35">
      <c r="A1976">
        <v>494</v>
      </c>
      <c r="B1976">
        <f t="shared" si="150"/>
        <v>-844.35206382240722</v>
      </c>
      <c r="C1976">
        <f t="shared" si="151"/>
        <v>712930.40768115839</v>
      </c>
      <c r="D1976">
        <v>31604</v>
      </c>
      <c r="E1976">
        <f t="shared" si="152"/>
        <v>3.1604000000000001</v>
      </c>
      <c r="F1976">
        <f t="shared" si="153"/>
        <v>-0.2194559833506724</v>
      </c>
      <c r="G1976">
        <f t="shared" si="154"/>
        <v>4.81609286284106E-2</v>
      </c>
    </row>
    <row r="1977" spans="1:7" x14ac:dyDescent="0.35">
      <c r="A1977">
        <v>494</v>
      </c>
      <c r="B1977">
        <f t="shared" si="150"/>
        <v>-844.35206382240722</v>
      </c>
      <c r="C1977">
        <f t="shared" si="151"/>
        <v>712930.40768115839</v>
      </c>
      <c r="D1977">
        <v>33176</v>
      </c>
      <c r="E1977">
        <f t="shared" si="152"/>
        <v>3.3176000000000001</v>
      </c>
      <c r="F1977">
        <f t="shared" si="153"/>
        <v>-6.2255983350672395E-2</v>
      </c>
      <c r="G1977">
        <f t="shared" si="154"/>
        <v>3.8758074629591985E-3</v>
      </c>
    </row>
    <row r="1978" spans="1:7" x14ac:dyDescent="0.35">
      <c r="A1978">
        <v>494</v>
      </c>
      <c r="B1978">
        <f t="shared" si="150"/>
        <v>-844.35206382240722</v>
      </c>
      <c r="C1978">
        <f t="shared" si="151"/>
        <v>712930.40768115839</v>
      </c>
      <c r="D1978">
        <v>35199</v>
      </c>
      <c r="E1978">
        <f t="shared" si="152"/>
        <v>3.5198999999999998</v>
      </c>
      <c r="F1978">
        <f t="shared" si="153"/>
        <v>0.14004401664932731</v>
      </c>
      <c r="G1978">
        <f t="shared" si="154"/>
        <v>1.9612326599277065E-2</v>
      </c>
    </row>
    <row r="1979" spans="1:7" x14ac:dyDescent="0.35">
      <c r="A1979">
        <v>494</v>
      </c>
      <c r="B1979">
        <f t="shared" si="150"/>
        <v>-844.35206382240722</v>
      </c>
      <c r="C1979">
        <f t="shared" si="151"/>
        <v>712930.40768115839</v>
      </c>
      <c r="D1979">
        <v>35809</v>
      </c>
      <c r="E1979">
        <f t="shared" si="152"/>
        <v>3.5809000000000002</v>
      </c>
      <c r="F1979">
        <f t="shared" si="153"/>
        <v>0.20104401664932769</v>
      </c>
      <c r="G1979">
        <f t="shared" si="154"/>
        <v>4.0418696630495153E-2</v>
      </c>
    </row>
    <row r="1980" spans="1:7" x14ac:dyDescent="0.35">
      <c r="A1980">
        <v>494</v>
      </c>
      <c r="B1980">
        <f t="shared" si="150"/>
        <v>-844.35206382240722</v>
      </c>
      <c r="C1980">
        <f t="shared" si="151"/>
        <v>712930.40768115839</v>
      </c>
      <c r="D1980">
        <v>30588</v>
      </c>
      <c r="E1980">
        <f t="shared" si="152"/>
        <v>3.0588000000000002</v>
      </c>
      <c r="F1980">
        <f t="shared" si="153"/>
        <v>-0.32105598335067231</v>
      </c>
      <c r="G1980">
        <f t="shared" si="154"/>
        <v>0.10307694444526717</v>
      </c>
    </row>
    <row r="1981" spans="1:7" x14ac:dyDescent="0.35">
      <c r="A1981">
        <v>494</v>
      </c>
      <c r="B1981">
        <f t="shared" si="150"/>
        <v>-844.35206382240722</v>
      </c>
      <c r="C1981">
        <f t="shared" si="151"/>
        <v>712930.40768115839</v>
      </c>
      <c r="D1981">
        <v>35939</v>
      </c>
      <c r="E1981">
        <f t="shared" si="152"/>
        <v>3.5939000000000001</v>
      </c>
      <c r="F1981">
        <f t="shared" si="153"/>
        <v>0.2140440166493276</v>
      </c>
      <c r="G1981">
        <f t="shared" si="154"/>
        <v>4.5814841063377632E-2</v>
      </c>
    </row>
    <row r="1982" spans="1:7" x14ac:dyDescent="0.35">
      <c r="A1982">
        <v>494</v>
      </c>
      <c r="B1982">
        <f t="shared" si="150"/>
        <v>-844.35206382240722</v>
      </c>
      <c r="C1982">
        <f t="shared" si="151"/>
        <v>712930.40768115839</v>
      </c>
      <c r="D1982">
        <v>35966</v>
      </c>
      <c r="E1982">
        <f t="shared" si="152"/>
        <v>3.5966</v>
      </c>
      <c r="F1982">
        <f t="shared" si="153"/>
        <v>0.21674401664932752</v>
      </c>
      <c r="G1982">
        <f t="shared" si="154"/>
        <v>4.6977968753283965E-2</v>
      </c>
    </row>
    <row r="1983" spans="1:7" x14ac:dyDescent="0.35">
      <c r="A1983">
        <v>494</v>
      </c>
      <c r="B1983">
        <f t="shared" si="150"/>
        <v>-844.35206382240722</v>
      </c>
      <c r="C1983">
        <f t="shared" si="151"/>
        <v>712930.40768115839</v>
      </c>
      <c r="D1983">
        <v>37528</v>
      </c>
      <c r="E1983">
        <f t="shared" si="152"/>
        <v>3.7528000000000001</v>
      </c>
      <c r="F1983">
        <f t="shared" si="153"/>
        <v>0.37294401664932764</v>
      </c>
      <c r="G1983">
        <f t="shared" si="154"/>
        <v>0.13908723955453398</v>
      </c>
    </row>
    <row r="1984" spans="1:7" x14ac:dyDescent="0.35">
      <c r="A1984">
        <v>494</v>
      </c>
      <c r="B1984">
        <f t="shared" si="150"/>
        <v>-844.35206382240722</v>
      </c>
      <c r="C1984">
        <f t="shared" si="151"/>
        <v>712930.40768115839</v>
      </c>
      <c r="D1984">
        <v>36339</v>
      </c>
      <c r="E1984">
        <f t="shared" si="152"/>
        <v>3.6339000000000001</v>
      </c>
      <c r="F1984">
        <f t="shared" si="153"/>
        <v>0.25404401664932763</v>
      </c>
      <c r="G1984">
        <f t="shared" si="154"/>
        <v>6.4538362395323859E-2</v>
      </c>
    </row>
    <row r="1985" spans="1:7" x14ac:dyDescent="0.35">
      <c r="A1985">
        <v>494</v>
      </c>
      <c r="B1985">
        <f t="shared" si="150"/>
        <v>-844.35206382240722</v>
      </c>
      <c r="C1985">
        <f t="shared" si="151"/>
        <v>712930.40768115839</v>
      </c>
      <c r="D1985">
        <v>37240</v>
      </c>
      <c r="E1985">
        <f t="shared" si="152"/>
        <v>3.7240000000000002</v>
      </c>
      <c r="F1985">
        <f t="shared" si="153"/>
        <v>0.3441440166493277</v>
      </c>
      <c r="G1985">
        <f t="shared" si="154"/>
        <v>0.11843510419553274</v>
      </c>
    </row>
    <row r="1986" spans="1:7" x14ac:dyDescent="0.35">
      <c r="A1986">
        <v>494</v>
      </c>
      <c r="B1986">
        <f t="shared" si="150"/>
        <v>-844.35206382240722</v>
      </c>
      <c r="C1986">
        <f t="shared" si="151"/>
        <v>712930.40768115839</v>
      </c>
      <c r="D1986">
        <v>37649</v>
      </c>
      <c r="E1986">
        <f t="shared" si="152"/>
        <v>3.7648999999999999</v>
      </c>
      <c r="F1986">
        <f t="shared" si="153"/>
        <v>0.38504401664932741</v>
      </c>
      <c r="G1986">
        <f t="shared" si="154"/>
        <v>0.14825889475744752</v>
      </c>
    </row>
    <row r="1987" spans="1:7" x14ac:dyDescent="0.35">
      <c r="A1987">
        <v>2928</v>
      </c>
      <c r="B1987">
        <f t="shared" ref="B1987:B2050" si="155">A1987-$J$1</f>
        <v>1589.6479361775928</v>
      </c>
      <c r="C1987">
        <f t="shared" ref="C1987:C2050" si="156">B1987^2</f>
        <v>2526980.5609936803</v>
      </c>
      <c r="D1987">
        <v>20648</v>
      </c>
      <c r="E1987">
        <f t="shared" ref="E1987:E2050" si="157">D1987/10000</f>
        <v>2.0648</v>
      </c>
      <c r="F1987">
        <f t="shared" ref="F1987:F2050" si="158">E1987-$J$2</f>
        <v>-1.3150559833506725</v>
      </c>
      <c r="G1987">
        <f t="shared" ref="G1987:G2050" si="159">F1987^2</f>
        <v>1.7293722393464044</v>
      </c>
    </row>
    <row r="1988" spans="1:7" x14ac:dyDescent="0.35">
      <c r="A1988">
        <v>2928</v>
      </c>
      <c r="B1988">
        <f t="shared" si="155"/>
        <v>1589.6479361775928</v>
      </c>
      <c r="C1988">
        <f t="shared" si="156"/>
        <v>2526980.5609936803</v>
      </c>
      <c r="D1988">
        <v>20925</v>
      </c>
      <c r="E1988">
        <f t="shared" si="157"/>
        <v>2.0924999999999998</v>
      </c>
      <c r="F1988">
        <f t="shared" si="158"/>
        <v>-1.2873559833506727</v>
      </c>
      <c r="G1988">
        <f t="shared" si="159"/>
        <v>1.6572854278687774</v>
      </c>
    </row>
    <row r="1989" spans="1:7" x14ac:dyDescent="0.35">
      <c r="A1989">
        <v>2928</v>
      </c>
      <c r="B1989">
        <f t="shared" si="155"/>
        <v>1589.6479361775928</v>
      </c>
      <c r="C1989">
        <f t="shared" si="156"/>
        <v>2526980.5609936803</v>
      </c>
      <c r="D1989">
        <v>21712</v>
      </c>
      <c r="E1989">
        <f t="shared" si="157"/>
        <v>2.1711999999999998</v>
      </c>
      <c r="F1989">
        <f t="shared" si="158"/>
        <v>-1.2086559833506727</v>
      </c>
      <c r="G1989">
        <f t="shared" si="159"/>
        <v>1.4608492860893816</v>
      </c>
    </row>
    <row r="1990" spans="1:7" x14ac:dyDescent="0.35">
      <c r="A1990">
        <v>2928</v>
      </c>
      <c r="B1990">
        <f t="shared" si="155"/>
        <v>1589.6479361775928</v>
      </c>
      <c r="C1990">
        <f t="shared" si="156"/>
        <v>2526980.5609936803</v>
      </c>
      <c r="D1990">
        <v>23565</v>
      </c>
      <c r="E1990">
        <f t="shared" si="157"/>
        <v>2.3565</v>
      </c>
      <c r="F1990">
        <f t="shared" si="158"/>
        <v>-1.0233559833506725</v>
      </c>
      <c r="G1990">
        <f t="shared" si="159"/>
        <v>1.0472574686596219</v>
      </c>
    </row>
    <row r="1991" spans="1:7" x14ac:dyDescent="0.35">
      <c r="A1991">
        <v>2928</v>
      </c>
      <c r="B1991">
        <f t="shared" si="155"/>
        <v>1589.6479361775928</v>
      </c>
      <c r="C1991">
        <f t="shared" si="156"/>
        <v>2526980.5609936803</v>
      </c>
      <c r="D1991">
        <v>22600</v>
      </c>
      <c r="E1991">
        <f t="shared" si="157"/>
        <v>2.2599999999999998</v>
      </c>
      <c r="F1991">
        <f t="shared" si="158"/>
        <v>-1.1198559833506727</v>
      </c>
      <c r="G1991">
        <f t="shared" si="159"/>
        <v>1.2540774234463021</v>
      </c>
    </row>
    <row r="1992" spans="1:7" x14ac:dyDescent="0.35">
      <c r="A1992">
        <v>2928</v>
      </c>
      <c r="B1992">
        <f t="shared" si="155"/>
        <v>1589.6479361775928</v>
      </c>
      <c r="C1992">
        <f t="shared" si="156"/>
        <v>2526980.5609936803</v>
      </c>
      <c r="D1992">
        <v>20940</v>
      </c>
      <c r="E1992">
        <f t="shared" si="157"/>
        <v>2.0939999999999999</v>
      </c>
      <c r="F1992">
        <f t="shared" si="158"/>
        <v>-1.2858559833506726</v>
      </c>
      <c r="G1992">
        <f t="shared" si="159"/>
        <v>1.6534256099187252</v>
      </c>
    </row>
    <row r="1993" spans="1:7" x14ac:dyDescent="0.35">
      <c r="A1993">
        <v>2928</v>
      </c>
      <c r="B1993">
        <f t="shared" si="155"/>
        <v>1589.6479361775928</v>
      </c>
      <c r="C1993">
        <f t="shared" si="156"/>
        <v>2526980.5609936803</v>
      </c>
      <c r="D1993">
        <v>21316</v>
      </c>
      <c r="E1993">
        <f t="shared" si="157"/>
        <v>2.1316000000000002</v>
      </c>
      <c r="F1993">
        <f t="shared" si="158"/>
        <v>-1.2482559833506723</v>
      </c>
      <c r="G1993">
        <f t="shared" si="159"/>
        <v>1.5581429999707539</v>
      </c>
    </row>
    <row r="1994" spans="1:7" x14ac:dyDescent="0.35">
      <c r="A1994">
        <v>2928</v>
      </c>
      <c r="B1994">
        <f t="shared" si="155"/>
        <v>1589.6479361775928</v>
      </c>
      <c r="C1994">
        <f t="shared" si="156"/>
        <v>2526980.5609936803</v>
      </c>
      <c r="D1994">
        <v>22460</v>
      </c>
      <c r="E1994">
        <f t="shared" si="157"/>
        <v>2.246</v>
      </c>
      <c r="F1994">
        <f t="shared" si="158"/>
        <v>-1.1338559833506725</v>
      </c>
      <c r="G1994">
        <f t="shared" si="159"/>
        <v>1.2856293909801204</v>
      </c>
    </row>
    <row r="1995" spans="1:7" x14ac:dyDescent="0.35">
      <c r="A1995">
        <v>2928</v>
      </c>
      <c r="B1995">
        <f t="shared" si="155"/>
        <v>1589.6479361775928</v>
      </c>
      <c r="C1995">
        <f t="shared" si="156"/>
        <v>2526980.5609936803</v>
      </c>
      <c r="D1995">
        <v>22921</v>
      </c>
      <c r="E1995">
        <f t="shared" si="157"/>
        <v>2.2921</v>
      </c>
      <c r="F1995">
        <f t="shared" si="158"/>
        <v>-1.0877559833506725</v>
      </c>
      <c r="G1995">
        <f t="shared" si="159"/>
        <v>1.1832130793151885</v>
      </c>
    </row>
    <row r="1996" spans="1:7" x14ac:dyDescent="0.35">
      <c r="A1996">
        <v>2928</v>
      </c>
      <c r="B1996">
        <f t="shared" si="155"/>
        <v>1589.6479361775928</v>
      </c>
      <c r="C1996">
        <f t="shared" si="156"/>
        <v>2526980.5609936803</v>
      </c>
      <c r="D1996">
        <v>22413</v>
      </c>
      <c r="E1996">
        <f t="shared" si="157"/>
        <v>2.2412999999999998</v>
      </c>
      <c r="F1996">
        <f t="shared" si="158"/>
        <v>-1.1385559833506727</v>
      </c>
      <c r="G1996">
        <f t="shared" si="159"/>
        <v>1.2963097272236173</v>
      </c>
    </row>
    <row r="1997" spans="1:7" x14ac:dyDescent="0.35">
      <c r="A1997">
        <v>2928</v>
      </c>
      <c r="B1997">
        <f t="shared" si="155"/>
        <v>1589.6479361775928</v>
      </c>
      <c r="C1997">
        <f t="shared" si="156"/>
        <v>2526980.5609936803</v>
      </c>
      <c r="D1997">
        <v>24683</v>
      </c>
      <c r="E1997">
        <f t="shared" si="157"/>
        <v>2.4683000000000002</v>
      </c>
      <c r="F1997">
        <f t="shared" si="158"/>
        <v>-0.91155598335067234</v>
      </c>
      <c r="G1997">
        <f t="shared" si="159"/>
        <v>0.8309343107824112</v>
      </c>
    </row>
    <row r="1998" spans="1:7" x14ac:dyDescent="0.35">
      <c r="A1998">
        <v>2928</v>
      </c>
      <c r="B1998">
        <f t="shared" si="155"/>
        <v>1589.6479361775928</v>
      </c>
      <c r="C1998">
        <f t="shared" si="156"/>
        <v>2526980.5609936803</v>
      </c>
      <c r="D1998">
        <v>22046</v>
      </c>
      <c r="E1998">
        <f t="shared" si="157"/>
        <v>2.2046000000000001</v>
      </c>
      <c r="F1998">
        <f t="shared" si="158"/>
        <v>-1.1752559833506724</v>
      </c>
      <c r="G1998">
        <f t="shared" si="159"/>
        <v>1.381226626401556</v>
      </c>
    </row>
    <row r="1999" spans="1:7" x14ac:dyDescent="0.35">
      <c r="A1999">
        <v>2928</v>
      </c>
      <c r="B1999">
        <f t="shared" si="155"/>
        <v>1589.6479361775928</v>
      </c>
      <c r="C1999">
        <f t="shared" si="156"/>
        <v>2526980.5609936803</v>
      </c>
      <c r="D1999">
        <v>26337</v>
      </c>
      <c r="E1999">
        <f t="shared" si="157"/>
        <v>2.6337000000000002</v>
      </c>
      <c r="F1999">
        <f t="shared" si="158"/>
        <v>-0.74615598335067235</v>
      </c>
      <c r="G1999">
        <f t="shared" si="159"/>
        <v>0.5567487514900088</v>
      </c>
    </row>
    <row r="2000" spans="1:7" x14ac:dyDescent="0.35">
      <c r="A2000">
        <v>2928</v>
      </c>
      <c r="B2000">
        <f t="shared" si="155"/>
        <v>1589.6479361775928</v>
      </c>
      <c r="C2000">
        <f t="shared" si="156"/>
        <v>2526980.5609936803</v>
      </c>
      <c r="D2000">
        <v>28776</v>
      </c>
      <c r="E2000">
        <f t="shared" si="157"/>
        <v>2.8776000000000002</v>
      </c>
      <c r="F2000">
        <f t="shared" si="158"/>
        <v>-0.50225598335067234</v>
      </c>
      <c r="G2000">
        <f t="shared" si="159"/>
        <v>0.25226107281155086</v>
      </c>
    </row>
    <row r="2001" spans="1:7" x14ac:dyDescent="0.35">
      <c r="A2001">
        <v>2928</v>
      </c>
      <c r="B2001">
        <f t="shared" si="155"/>
        <v>1589.6479361775928</v>
      </c>
      <c r="C2001">
        <f t="shared" si="156"/>
        <v>2526980.5609936803</v>
      </c>
      <c r="D2001">
        <v>26600</v>
      </c>
      <c r="E2001">
        <f t="shared" si="157"/>
        <v>2.66</v>
      </c>
      <c r="F2001">
        <f t="shared" si="158"/>
        <v>-0.71985598335067236</v>
      </c>
      <c r="G2001">
        <f t="shared" si="159"/>
        <v>0.51819263676576344</v>
      </c>
    </row>
    <row r="2002" spans="1:7" x14ac:dyDescent="0.35">
      <c r="A2002">
        <v>2928</v>
      </c>
      <c r="B2002">
        <f t="shared" si="155"/>
        <v>1589.6479361775928</v>
      </c>
      <c r="C2002">
        <f t="shared" si="156"/>
        <v>2526980.5609936803</v>
      </c>
      <c r="D2002">
        <v>31699</v>
      </c>
      <c r="E2002">
        <f t="shared" si="157"/>
        <v>3.1699000000000002</v>
      </c>
      <c r="F2002">
        <f t="shared" si="158"/>
        <v>-0.20995598335067234</v>
      </c>
      <c r="G2002">
        <f t="shared" si="159"/>
        <v>4.4081514944747803E-2</v>
      </c>
    </row>
    <row r="2003" spans="1:7" x14ac:dyDescent="0.35">
      <c r="A2003">
        <v>2928</v>
      </c>
      <c r="B2003">
        <f t="shared" si="155"/>
        <v>1589.6479361775928</v>
      </c>
      <c r="C2003">
        <f t="shared" si="156"/>
        <v>2526980.5609936803</v>
      </c>
      <c r="D2003">
        <v>30832</v>
      </c>
      <c r="E2003">
        <f t="shared" si="157"/>
        <v>3.0832000000000002</v>
      </c>
      <c r="F2003">
        <f t="shared" si="158"/>
        <v>-0.29665598335067234</v>
      </c>
      <c r="G2003">
        <f t="shared" si="159"/>
        <v>8.8004772457754385E-2</v>
      </c>
    </row>
    <row r="2004" spans="1:7" x14ac:dyDescent="0.35">
      <c r="A2004">
        <v>2928</v>
      </c>
      <c r="B2004">
        <f t="shared" si="155"/>
        <v>1589.6479361775928</v>
      </c>
      <c r="C2004">
        <f t="shared" si="156"/>
        <v>2526980.5609936803</v>
      </c>
      <c r="D2004">
        <v>24600</v>
      </c>
      <c r="E2004">
        <f t="shared" si="157"/>
        <v>2.46</v>
      </c>
      <c r="F2004">
        <f t="shared" si="158"/>
        <v>-0.91985598335067253</v>
      </c>
      <c r="G2004">
        <f t="shared" si="159"/>
        <v>0.84613503010603275</v>
      </c>
    </row>
    <row r="2005" spans="1:7" x14ac:dyDescent="0.35">
      <c r="A2005">
        <v>2928</v>
      </c>
      <c r="B2005">
        <f t="shared" si="155"/>
        <v>1589.6479361775928</v>
      </c>
      <c r="C2005">
        <f t="shared" si="156"/>
        <v>2526980.5609936803</v>
      </c>
      <c r="D2005">
        <v>30229</v>
      </c>
      <c r="E2005">
        <f t="shared" si="157"/>
        <v>3.0228999999999999</v>
      </c>
      <c r="F2005">
        <f t="shared" si="158"/>
        <v>-0.35695598335067258</v>
      </c>
      <c r="G2005">
        <f t="shared" si="159"/>
        <v>0.12741757404984563</v>
      </c>
    </row>
    <row r="2006" spans="1:7" x14ac:dyDescent="0.35">
      <c r="A2006">
        <v>2928</v>
      </c>
      <c r="B2006">
        <f t="shared" si="155"/>
        <v>1589.6479361775928</v>
      </c>
      <c r="C2006">
        <f t="shared" si="156"/>
        <v>2526980.5609936803</v>
      </c>
      <c r="D2006">
        <v>26414</v>
      </c>
      <c r="E2006">
        <f t="shared" si="157"/>
        <v>2.6414</v>
      </c>
      <c r="F2006">
        <f t="shared" si="158"/>
        <v>-0.73845598335067253</v>
      </c>
      <c r="G2006">
        <f t="shared" si="159"/>
        <v>0.54531723934640874</v>
      </c>
    </row>
    <row r="2007" spans="1:7" x14ac:dyDescent="0.35">
      <c r="A2007">
        <v>2928</v>
      </c>
      <c r="B2007">
        <f t="shared" si="155"/>
        <v>1589.6479361775928</v>
      </c>
      <c r="C2007">
        <f t="shared" si="156"/>
        <v>2526980.5609936803</v>
      </c>
      <c r="D2007">
        <v>29451</v>
      </c>
      <c r="E2007">
        <f t="shared" si="157"/>
        <v>2.9451000000000001</v>
      </c>
      <c r="F2007">
        <f t="shared" si="158"/>
        <v>-0.43475598335067245</v>
      </c>
      <c r="G2007">
        <f t="shared" si="159"/>
        <v>0.18901276505921019</v>
      </c>
    </row>
    <row r="2008" spans="1:7" x14ac:dyDescent="0.35">
      <c r="A2008">
        <v>2928</v>
      </c>
      <c r="B2008">
        <f t="shared" si="155"/>
        <v>1589.6479361775928</v>
      </c>
      <c r="C2008">
        <f t="shared" si="156"/>
        <v>2526980.5609936803</v>
      </c>
      <c r="D2008">
        <v>31209</v>
      </c>
      <c r="E2008">
        <f t="shared" si="157"/>
        <v>3.1208999999999998</v>
      </c>
      <c r="F2008">
        <f t="shared" si="158"/>
        <v>-0.25895598335067271</v>
      </c>
      <c r="G2008">
        <f t="shared" si="159"/>
        <v>6.705820131311388E-2</v>
      </c>
    </row>
    <row r="2009" spans="1:7" x14ac:dyDescent="0.35">
      <c r="A2009">
        <v>2928</v>
      </c>
      <c r="B2009">
        <f t="shared" si="155"/>
        <v>1589.6479361775928</v>
      </c>
      <c r="C2009">
        <f t="shared" si="156"/>
        <v>2526980.5609936803</v>
      </c>
      <c r="D2009">
        <v>29846</v>
      </c>
      <c r="E2009">
        <f t="shared" si="157"/>
        <v>2.9845999999999999</v>
      </c>
      <c r="F2009">
        <f t="shared" si="158"/>
        <v>-0.39525598335067258</v>
      </c>
      <c r="G2009">
        <f t="shared" si="159"/>
        <v>0.15622729237450717</v>
      </c>
    </row>
    <row r="2010" spans="1:7" x14ac:dyDescent="0.35">
      <c r="A2010">
        <v>2928</v>
      </c>
      <c r="B2010">
        <f t="shared" si="155"/>
        <v>1589.6479361775928</v>
      </c>
      <c r="C2010">
        <f t="shared" si="156"/>
        <v>2526980.5609936803</v>
      </c>
      <c r="D2010">
        <v>26130</v>
      </c>
      <c r="E2010">
        <f t="shared" si="157"/>
        <v>2.613</v>
      </c>
      <c r="F2010">
        <f t="shared" si="158"/>
        <v>-0.76685598335067251</v>
      </c>
      <c r="G2010">
        <f t="shared" si="159"/>
        <v>0.58806809920072689</v>
      </c>
    </row>
    <row r="2011" spans="1:7" x14ac:dyDescent="0.35">
      <c r="A2011">
        <v>2928</v>
      </c>
      <c r="B2011">
        <f t="shared" si="155"/>
        <v>1589.6479361775928</v>
      </c>
      <c r="C2011">
        <f t="shared" si="156"/>
        <v>2526980.5609936803</v>
      </c>
      <c r="D2011">
        <v>29504</v>
      </c>
      <c r="E2011">
        <f t="shared" si="157"/>
        <v>2.9504000000000001</v>
      </c>
      <c r="F2011">
        <f t="shared" si="158"/>
        <v>-0.42945598335067237</v>
      </c>
      <c r="G2011">
        <f t="shared" si="159"/>
        <v>0.18443244163569297</v>
      </c>
    </row>
    <row r="2012" spans="1:7" x14ac:dyDescent="0.35">
      <c r="A2012">
        <v>2928</v>
      </c>
      <c r="B2012">
        <f t="shared" si="155"/>
        <v>1589.6479361775928</v>
      </c>
      <c r="C2012">
        <f t="shared" si="156"/>
        <v>2526980.5609936803</v>
      </c>
      <c r="D2012">
        <v>28751</v>
      </c>
      <c r="E2012">
        <f t="shared" si="157"/>
        <v>2.8751000000000002</v>
      </c>
      <c r="F2012">
        <f t="shared" si="158"/>
        <v>-0.50475598335067229</v>
      </c>
      <c r="G2012">
        <f t="shared" si="159"/>
        <v>0.25477860272830416</v>
      </c>
    </row>
    <row r="2013" spans="1:7" x14ac:dyDescent="0.35">
      <c r="A2013">
        <v>2928</v>
      </c>
      <c r="B2013">
        <f t="shared" si="155"/>
        <v>1589.6479361775928</v>
      </c>
      <c r="C2013">
        <f t="shared" si="156"/>
        <v>2526980.5609936803</v>
      </c>
      <c r="D2013">
        <v>30886</v>
      </c>
      <c r="E2013">
        <f t="shared" si="157"/>
        <v>3.0886</v>
      </c>
      <c r="F2013">
        <f t="shared" si="158"/>
        <v>-0.29125598335067249</v>
      </c>
      <c r="G2013">
        <f t="shared" si="159"/>
        <v>8.4830047837567216E-2</v>
      </c>
    </row>
    <row r="2014" spans="1:7" x14ac:dyDescent="0.35">
      <c r="A2014">
        <v>2928</v>
      </c>
      <c r="B2014">
        <f t="shared" si="155"/>
        <v>1589.6479361775928</v>
      </c>
      <c r="C2014">
        <f t="shared" si="156"/>
        <v>2526980.5609936803</v>
      </c>
      <c r="D2014">
        <v>32618</v>
      </c>
      <c r="E2014">
        <f t="shared" si="157"/>
        <v>3.2618</v>
      </c>
      <c r="F2014">
        <f t="shared" si="158"/>
        <v>-0.11805598335067247</v>
      </c>
      <c r="G2014">
        <f t="shared" si="159"/>
        <v>1.3937215204894255E-2</v>
      </c>
    </row>
    <row r="2015" spans="1:7" x14ac:dyDescent="0.35">
      <c r="A2015">
        <v>2928</v>
      </c>
      <c r="B2015">
        <f t="shared" si="155"/>
        <v>1589.6479361775928</v>
      </c>
      <c r="C2015">
        <f t="shared" si="156"/>
        <v>2526980.5609936803</v>
      </c>
      <c r="D2015">
        <v>30524</v>
      </c>
      <c r="E2015">
        <f t="shared" si="157"/>
        <v>3.0524</v>
      </c>
      <c r="F2015">
        <f t="shared" si="158"/>
        <v>-0.3274559833506725</v>
      </c>
      <c r="G2015">
        <f t="shared" si="159"/>
        <v>0.10722742103215591</v>
      </c>
    </row>
    <row r="2016" spans="1:7" x14ac:dyDescent="0.35">
      <c r="A2016">
        <v>2928</v>
      </c>
      <c r="B2016">
        <f t="shared" si="155"/>
        <v>1589.6479361775928</v>
      </c>
      <c r="C2016">
        <f t="shared" si="156"/>
        <v>2526980.5609936803</v>
      </c>
      <c r="D2016">
        <v>30417</v>
      </c>
      <c r="E2016">
        <f t="shared" si="157"/>
        <v>3.0417000000000001</v>
      </c>
      <c r="F2016">
        <f t="shared" si="158"/>
        <v>-0.33815598335067243</v>
      </c>
      <c r="G2016">
        <f t="shared" si="159"/>
        <v>0.11434946907586024</v>
      </c>
    </row>
    <row r="2017" spans="1:7" x14ac:dyDescent="0.35">
      <c r="A2017">
        <v>3142</v>
      </c>
      <c r="B2017">
        <f t="shared" si="155"/>
        <v>1803.6479361775928</v>
      </c>
      <c r="C2017">
        <f t="shared" si="156"/>
        <v>3253145.8776776898</v>
      </c>
      <c r="D2017">
        <v>20000</v>
      </c>
      <c r="E2017">
        <f t="shared" si="157"/>
        <v>2</v>
      </c>
      <c r="F2017">
        <f t="shared" si="158"/>
        <v>-1.3798559833506725</v>
      </c>
      <c r="G2017">
        <f t="shared" si="159"/>
        <v>1.9040025347886513</v>
      </c>
    </row>
    <row r="2018" spans="1:7" x14ac:dyDescent="0.35">
      <c r="A2018">
        <v>3142</v>
      </c>
      <c r="B2018">
        <f t="shared" si="155"/>
        <v>1803.6479361775928</v>
      </c>
      <c r="C2018">
        <f t="shared" si="156"/>
        <v>3253145.8776776898</v>
      </c>
      <c r="D2018">
        <v>18182</v>
      </c>
      <c r="E2018">
        <f t="shared" si="157"/>
        <v>1.8182</v>
      </c>
      <c r="F2018">
        <f t="shared" si="158"/>
        <v>-1.5616559833506725</v>
      </c>
      <c r="G2018">
        <f t="shared" si="159"/>
        <v>2.438769410334956</v>
      </c>
    </row>
    <row r="2019" spans="1:7" x14ac:dyDescent="0.35">
      <c r="A2019">
        <v>3142</v>
      </c>
      <c r="B2019">
        <f t="shared" si="155"/>
        <v>1803.6479361775928</v>
      </c>
      <c r="C2019">
        <f t="shared" si="156"/>
        <v>3253145.8776776898</v>
      </c>
      <c r="D2019">
        <v>18182</v>
      </c>
      <c r="E2019">
        <f t="shared" si="157"/>
        <v>1.8182</v>
      </c>
      <c r="F2019">
        <f t="shared" si="158"/>
        <v>-1.5616559833506725</v>
      </c>
      <c r="G2019">
        <f t="shared" si="159"/>
        <v>2.438769410334956</v>
      </c>
    </row>
    <row r="2020" spans="1:7" x14ac:dyDescent="0.35">
      <c r="A2020">
        <v>3142</v>
      </c>
      <c r="B2020">
        <f t="shared" si="155"/>
        <v>1803.6479361775928</v>
      </c>
      <c r="C2020">
        <f t="shared" si="156"/>
        <v>3253145.8776776898</v>
      </c>
      <c r="D2020">
        <v>18750</v>
      </c>
      <c r="E2020">
        <f t="shared" si="157"/>
        <v>1.875</v>
      </c>
      <c r="F2020">
        <f t="shared" si="158"/>
        <v>-1.5048559833506725</v>
      </c>
      <c r="G2020">
        <f t="shared" si="159"/>
        <v>2.2645915306263196</v>
      </c>
    </row>
    <row r="2021" spans="1:7" x14ac:dyDescent="0.35">
      <c r="A2021">
        <v>3142</v>
      </c>
      <c r="B2021">
        <f t="shared" si="155"/>
        <v>1803.6479361775928</v>
      </c>
      <c r="C2021">
        <f t="shared" si="156"/>
        <v>3253145.8776776898</v>
      </c>
      <c r="D2021">
        <v>18235</v>
      </c>
      <c r="E2021">
        <f t="shared" si="157"/>
        <v>1.8234999999999999</v>
      </c>
      <c r="F2021">
        <f t="shared" si="158"/>
        <v>-1.5563559833506726</v>
      </c>
      <c r="G2021">
        <f t="shared" si="159"/>
        <v>2.422243946911439</v>
      </c>
    </row>
    <row r="2022" spans="1:7" x14ac:dyDescent="0.35">
      <c r="A2022">
        <v>3142</v>
      </c>
      <c r="B2022">
        <f t="shared" si="155"/>
        <v>1803.6479361775928</v>
      </c>
      <c r="C2022">
        <f t="shared" si="156"/>
        <v>3253145.8776776898</v>
      </c>
      <c r="D2022">
        <v>17458</v>
      </c>
      <c r="E2022">
        <f t="shared" si="157"/>
        <v>1.7458</v>
      </c>
      <c r="F2022">
        <f t="shared" si="158"/>
        <v>-1.6340559833506725</v>
      </c>
      <c r="G2022">
        <f t="shared" si="159"/>
        <v>2.6701389567241334</v>
      </c>
    </row>
    <row r="2023" spans="1:7" x14ac:dyDescent="0.35">
      <c r="A2023">
        <v>3142</v>
      </c>
      <c r="B2023">
        <f t="shared" si="155"/>
        <v>1803.6479361775928</v>
      </c>
      <c r="C2023">
        <f t="shared" si="156"/>
        <v>3253145.8776776898</v>
      </c>
      <c r="D2023">
        <v>17695</v>
      </c>
      <c r="E2023">
        <f t="shared" si="157"/>
        <v>1.7695000000000001</v>
      </c>
      <c r="F2023">
        <f t="shared" si="158"/>
        <v>-1.6103559833506724</v>
      </c>
      <c r="G2023">
        <f t="shared" si="159"/>
        <v>2.593246393113311</v>
      </c>
    </row>
    <row r="2024" spans="1:7" x14ac:dyDescent="0.35">
      <c r="A2024">
        <v>3142</v>
      </c>
      <c r="B2024">
        <f t="shared" si="155"/>
        <v>1803.6479361775928</v>
      </c>
      <c r="C2024">
        <f t="shared" si="156"/>
        <v>3253145.8776776898</v>
      </c>
      <c r="D2024">
        <v>18000</v>
      </c>
      <c r="E2024">
        <f t="shared" si="157"/>
        <v>1.8</v>
      </c>
      <c r="F2024">
        <f t="shared" si="158"/>
        <v>-1.5798559833506725</v>
      </c>
      <c r="G2024">
        <f t="shared" si="159"/>
        <v>2.4959449281289201</v>
      </c>
    </row>
    <row r="2025" spans="1:7" x14ac:dyDescent="0.35">
      <c r="A2025">
        <v>3142</v>
      </c>
      <c r="B2025">
        <f t="shared" si="155"/>
        <v>1803.6479361775928</v>
      </c>
      <c r="C2025">
        <f t="shared" si="156"/>
        <v>3253145.8776776898</v>
      </c>
      <c r="D2025">
        <v>17844</v>
      </c>
      <c r="E2025">
        <f t="shared" si="157"/>
        <v>1.7844</v>
      </c>
      <c r="F2025">
        <f t="shared" si="158"/>
        <v>-1.5954559833506725</v>
      </c>
      <c r="G2025">
        <f t="shared" si="159"/>
        <v>2.5454797948094616</v>
      </c>
    </row>
    <row r="2026" spans="1:7" x14ac:dyDescent="0.35">
      <c r="A2026">
        <v>3142</v>
      </c>
      <c r="B2026">
        <f t="shared" si="155"/>
        <v>1803.6479361775928</v>
      </c>
      <c r="C2026">
        <f t="shared" si="156"/>
        <v>3253145.8776776898</v>
      </c>
      <c r="D2026">
        <v>17872</v>
      </c>
      <c r="E2026">
        <f t="shared" si="157"/>
        <v>1.7871999999999999</v>
      </c>
      <c r="F2026">
        <f t="shared" si="158"/>
        <v>-1.5926559833506726</v>
      </c>
      <c r="G2026">
        <f t="shared" si="159"/>
        <v>2.536553081302698</v>
      </c>
    </row>
    <row r="2027" spans="1:7" x14ac:dyDescent="0.35">
      <c r="A2027">
        <v>3142</v>
      </c>
      <c r="B2027">
        <f t="shared" si="155"/>
        <v>1803.6479361775928</v>
      </c>
      <c r="C2027">
        <f t="shared" si="156"/>
        <v>3253145.8776776898</v>
      </c>
      <c r="D2027">
        <v>17914</v>
      </c>
      <c r="E2027">
        <f t="shared" si="157"/>
        <v>1.7914000000000001</v>
      </c>
      <c r="F2027">
        <f t="shared" si="158"/>
        <v>-1.5884559833506724</v>
      </c>
      <c r="G2027">
        <f t="shared" si="159"/>
        <v>2.5231924110425514</v>
      </c>
    </row>
    <row r="2028" spans="1:7" x14ac:dyDescent="0.35">
      <c r="A2028">
        <v>3142</v>
      </c>
      <c r="B2028">
        <f t="shared" si="155"/>
        <v>1803.6479361775928</v>
      </c>
      <c r="C2028">
        <f t="shared" si="156"/>
        <v>3253145.8776776898</v>
      </c>
      <c r="D2028">
        <v>17143</v>
      </c>
      <c r="E2028">
        <f t="shared" si="157"/>
        <v>1.7142999999999999</v>
      </c>
      <c r="F2028">
        <f t="shared" si="158"/>
        <v>-1.6655559833506726</v>
      </c>
      <c r="G2028">
        <f t="shared" si="159"/>
        <v>2.7740767336752259</v>
      </c>
    </row>
    <row r="2029" spans="1:7" x14ac:dyDescent="0.35">
      <c r="A2029">
        <v>3142</v>
      </c>
      <c r="B2029">
        <f t="shared" si="155"/>
        <v>1803.6479361775928</v>
      </c>
      <c r="C2029">
        <f t="shared" si="156"/>
        <v>3253145.8776776898</v>
      </c>
      <c r="D2029">
        <v>18270</v>
      </c>
      <c r="E2029">
        <f t="shared" si="157"/>
        <v>1.827</v>
      </c>
      <c r="F2029">
        <f t="shared" si="158"/>
        <v>-1.5528559833506725</v>
      </c>
      <c r="G2029">
        <f t="shared" si="159"/>
        <v>2.4113617050279843</v>
      </c>
    </row>
    <row r="2030" spans="1:7" x14ac:dyDescent="0.35">
      <c r="A2030">
        <v>3142</v>
      </c>
      <c r="B2030">
        <f t="shared" si="155"/>
        <v>1803.6479361775928</v>
      </c>
      <c r="C2030">
        <f t="shared" si="156"/>
        <v>3253145.8776776898</v>
      </c>
      <c r="D2030">
        <v>18583</v>
      </c>
      <c r="E2030">
        <f t="shared" si="157"/>
        <v>1.8583000000000001</v>
      </c>
      <c r="F2030">
        <f t="shared" si="158"/>
        <v>-1.5215559833506724</v>
      </c>
      <c r="G2030">
        <f t="shared" si="159"/>
        <v>2.3151326104702319</v>
      </c>
    </row>
    <row r="2031" spans="1:7" x14ac:dyDescent="0.35">
      <c r="A2031">
        <v>3142</v>
      </c>
      <c r="B2031">
        <f t="shared" si="155"/>
        <v>1803.6479361775928</v>
      </c>
      <c r="C2031">
        <f t="shared" si="156"/>
        <v>3253145.8776776898</v>
      </c>
      <c r="D2031">
        <v>18910</v>
      </c>
      <c r="E2031">
        <f t="shared" si="157"/>
        <v>1.891</v>
      </c>
      <c r="F2031">
        <f t="shared" si="158"/>
        <v>-1.4888559833506725</v>
      </c>
      <c r="G2031">
        <f t="shared" si="159"/>
        <v>2.2166921391590981</v>
      </c>
    </row>
    <row r="2032" spans="1:7" x14ac:dyDescent="0.35">
      <c r="A2032">
        <v>3142</v>
      </c>
      <c r="B2032">
        <f t="shared" si="155"/>
        <v>1803.6479361775928</v>
      </c>
      <c r="C2032">
        <f t="shared" si="156"/>
        <v>3253145.8776776898</v>
      </c>
      <c r="D2032">
        <v>20000</v>
      </c>
      <c r="E2032">
        <f t="shared" si="157"/>
        <v>2</v>
      </c>
      <c r="F2032">
        <f t="shared" si="158"/>
        <v>-1.3798559833506725</v>
      </c>
      <c r="G2032">
        <f t="shared" si="159"/>
        <v>1.9040025347886513</v>
      </c>
    </row>
    <row r="2033" spans="1:7" x14ac:dyDescent="0.35">
      <c r="A2033">
        <v>3142</v>
      </c>
      <c r="B2033">
        <f t="shared" si="155"/>
        <v>1803.6479361775928</v>
      </c>
      <c r="C2033">
        <f t="shared" si="156"/>
        <v>3253145.8776776898</v>
      </c>
      <c r="D2033">
        <v>19276</v>
      </c>
      <c r="E2033">
        <f t="shared" si="157"/>
        <v>1.9276</v>
      </c>
      <c r="F2033">
        <f t="shared" si="158"/>
        <v>-1.4522559833506725</v>
      </c>
      <c r="G2033">
        <f t="shared" si="159"/>
        <v>2.1090474411778288</v>
      </c>
    </row>
    <row r="2034" spans="1:7" x14ac:dyDescent="0.35">
      <c r="A2034">
        <v>3142</v>
      </c>
      <c r="B2034">
        <f t="shared" si="155"/>
        <v>1803.6479361775928</v>
      </c>
      <c r="C2034">
        <f t="shared" si="156"/>
        <v>3253145.8776776898</v>
      </c>
      <c r="D2034">
        <v>19266</v>
      </c>
      <c r="E2034">
        <f t="shared" si="157"/>
        <v>1.9266000000000001</v>
      </c>
      <c r="F2034">
        <f t="shared" si="158"/>
        <v>-1.4532559833506724</v>
      </c>
      <c r="G2034">
        <f t="shared" si="159"/>
        <v>2.11195295314453</v>
      </c>
    </row>
    <row r="2035" spans="1:7" x14ac:dyDescent="0.35">
      <c r="A2035">
        <v>3142</v>
      </c>
      <c r="B2035">
        <f t="shared" si="155"/>
        <v>1803.6479361775928</v>
      </c>
      <c r="C2035">
        <f t="shared" si="156"/>
        <v>3253145.8776776898</v>
      </c>
      <c r="D2035">
        <v>19409</v>
      </c>
      <c r="E2035">
        <f t="shared" si="157"/>
        <v>1.9409000000000001</v>
      </c>
      <c r="F2035">
        <f t="shared" si="158"/>
        <v>-1.4389559833506724</v>
      </c>
      <c r="G2035">
        <f t="shared" si="159"/>
        <v>2.0705943220207006</v>
      </c>
    </row>
    <row r="2036" spans="1:7" x14ac:dyDescent="0.35">
      <c r="A2036">
        <v>3142</v>
      </c>
      <c r="B2036">
        <f t="shared" si="155"/>
        <v>1803.6479361775928</v>
      </c>
      <c r="C2036">
        <f t="shared" si="156"/>
        <v>3253145.8776776898</v>
      </c>
      <c r="D2036">
        <v>19552</v>
      </c>
      <c r="E2036">
        <f t="shared" si="157"/>
        <v>1.9552</v>
      </c>
      <c r="F2036">
        <f t="shared" si="158"/>
        <v>-1.4246559833506725</v>
      </c>
      <c r="G2036">
        <f t="shared" si="159"/>
        <v>2.0296446708968716</v>
      </c>
    </row>
    <row r="2037" spans="1:7" x14ac:dyDescent="0.35">
      <c r="A2037">
        <v>3142</v>
      </c>
      <c r="B2037">
        <f t="shared" si="155"/>
        <v>1803.6479361775928</v>
      </c>
      <c r="C2037">
        <f t="shared" si="156"/>
        <v>3253145.8776776898</v>
      </c>
      <c r="D2037">
        <v>19694</v>
      </c>
      <c r="E2037">
        <f t="shared" si="157"/>
        <v>1.9694</v>
      </c>
      <c r="F2037">
        <f t="shared" si="158"/>
        <v>-1.4104559833506725</v>
      </c>
      <c r="G2037">
        <f t="shared" si="159"/>
        <v>1.9893860809697124</v>
      </c>
    </row>
    <row r="2038" spans="1:7" x14ac:dyDescent="0.35">
      <c r="A2038">
        <v>3142</v>
      </c>
      <c r="B2038">
        <f t="shared" si="155"/>
        <v>1803.6479361775928</v>
      </c>
      <c r="C2038">
        <f t="shared" si="156"/>
        <v>3253145.8776776898</v>
      </c>
      <c r="D2038">
        <v>19837</v>
      </c>
      <c r="E2038">
        <f t="shared" si="157"/>
        <v>1.9837</v>
      </c>
      <c r="F2038">
        <f t="shared" si="158"/>
        <v>-1.3961559833506725</v>
      </c>
      <c r="G2038">
        <f t="shared" si="159"/>
        <v>1.9492515298458832</v>
      </c>
    </row>
    <row r="2039" spans="1:7" x14ac:dyDescent="0.35">
      <c r="A2039">
        <v>3142</v>
      </c>
      <c r="B2039">
        <f t="shared" si="155"/>
        <v>1803.6479361775928</v>
      </c>
      <c r="C2039">
        <f t="shared" si="156"/>
        <v>3253145.8776776898</v>
      </c>
      <c r="D2039">
        <v>19979</v>
      </c>
      <c r="E2039">
        <f t="shared" si="157"/>
        <v>1.9979</v>
      </c>
      <c r="F2039">
        <f t="shared" si="158"/>
        <v>-1.3819559833506725</v>
      </c>
      <c r="G2039">
        <f t="shared" si="159"/>
        <v>1.9098023399187243</v>
      </c>
    </row>
    <row r="2040" spans="1:7" x14ac:dyDescent="0.35">
      <c r="A2040">
        <v>3142</v>
      </c>
      <c r="B2040">
        <f t="shared" si="155"/>
        <v>1803.6479361775928</v>
      </c>
      <c r="C2040">
        <f t="shared" si="156"/>
        <v>3253145.8776776898</v>
      </c>
      <c r="D2040">
        <v>20122</v>
      </c>
      <c r="E2040">
        <f t="shared" si="157"/>
        <v>2.0122</v>
      </c>
      <c r="F2040">
        <f t="shared" si="158"/>
        <v>-1.3676559833506725</v>
      </c>
      <c r="G2040">
        <f t="shared" si="159"/>
        <v>1.870482888794895</v>
      </c>
    </row>
    <row r="2041" spans="1:7" x14ac:dyDescent="0.35">
      <c r="A2041">
        <v>3142</v>
      </c>
      <c r="B2041">
        <f t="shared" si="155"/>
        <v>1803.6479361775928</v>
      </c>
      <c r="C2041">
        <f t="shared" si="156"/>
        <v>3253145.8776776898</v>
      </c>
      <c r="D2041">
        <v>20264</v>
      </c>
      <c r="E2041">
        <f t="shared" si="157"/>
        <v>2.0264000000000002</v>
      </c>
      <c r="F2041">
        <f t="shared" si="158"/>
        <v>-1.3534559833506723</v>
      </c>
      <c r="G2041">
        <f t="shared" si="159"/>
        <v>1.8318430988677352</v>
      </c>
    </row>
    <row r="2042" spans="1:7" x14ac:dyDescent="0.35">
      <c r="A2042">
        <v>3142</v>
      </c>
      <c r="B2042">
        <f t="shared" si="155"/>
        <v>1803.6479361775928</v>
      </c>
      <c r="C2042">
        <f t="shared" si="156"/>
        <v>3253145.8776776898</v>
      </c>
      <c r="D2042">
        <v>20407</v>
      </c>
      <c r="E2042">
        <f t="shared" si="157"/>
        <v>2.0407000000000002</v>
      </c>
      <c r="F2042">
        <f t="shared" si="158"/>
        <v>-1.3391559833506723</v>
      </c>
      <c r="G2042">
        <f t="shared" si="159"/>
        <v>1.7933387477439062</v>
      </c>
    </row>
    <row r="2043" spans="1:7" x14ac:dyDescent="0.35">
      <c r="A2043">
        <v>3142</v>
      </c>
      <c r="B2043">
        <f t="shared" si="155"/>
        <v>1803.6479361775928</v>
      </c>
      <c r="C2043">
        <f t="shared" si="156"/>
        <v>3253145.8776776898</v>
      </c>
      <c r="D2043">
        <v>20549</v>
      </c>
      <c r="E2043">
        <f t="shared" si="157"/>
        <v>2.0548999999999999</v>
      </c>
      <c r="F2043">
        <f t="shared" si="158"/>
        <v>-1.3249559833506726</v>
      </c>
      <c r="G2043">
        <f t="shared" si="159"/>
        <v>1.7555083578167476</v>
      </c>
    </row>
    <row r="2044" spans="1:7" x14ac:dyDescent="0.35">
      <c r="A2044">
        <v>3142</v>
      </c>
      <c r="B2044">
        <f t="shared" si="155"/>
        <v>1803.6479361775928</v>
      </c>
      <c r="C2044">
        <f t="shared" si="156"/>
        <v>3253145.8776776898</v>
      </c>
      <c r="D2044">
        <v>20692</v>
      </c>
      <c r="E2044">
        <f t="shared" si="157"/>
        <v>2.0691999999999999</v>
      </c>
      <c r="F2044">
        <f t="shared" si="158"/>
        <v>-1.3106559833506726</v>
      </c>
      <c r="G2044">
        <f t="shared" si="159"/>
        <v>1.7178191066929185</v>
      </c>
    </row>
    <row r="2045" spans="1:7" x14ac:dyDescent="0.35">
      <c r="A2045">
        <v>3142</v>
      </c>
      <c r="B2045">
        <f t="shared" si="155"/>
        <v>1803.6479361775928</v>
      </c>
      <c r="C2045">
        <f t="shared" si="156"/>
        <v>3253145.8776776898</v>
      </c>
      <c r="D2045">
        <v>20835</v>
      </c>
      <c r="E2045">
        <f t="shared" si="157"/>
        <v>2.0834999999999999</v>
      </c>
      <c r="F2045">
        <f t="shared" si="158"/>
        <v>-1.2963559833506726</v>
      </c>
      <c r="G2045">
        <f t="shared" si="159"/>
        <v>1.6805388355690893</v>
      </c>
    </row>
    <row r="2046" spans="1:7" x14ac:dyDescent="0.35">
      <c r="A2046">
        <v>3142</v>
      </c>
      <c r="B2046">
        <f t="shared" si="155"/>
        <v>1803.6479361775928</v>
      </c>
      <c r="C2046">
        <f t="shared" si="156"/>
        <v>3253145.8776776898</v>
      </c>
      <c r="D2046">
        <v>20977</v>
      </c>
      <c r="E2046">
        <f t="shared" si="157"/>
        <v>2.0977000000000001</v>
      </c>
      <c r="F2046">
        <f t="shared" si="158"/>
        <v>-1.2821559833506724</v>
      </c>
      <c r="G2046">
        <f t="shared" si="159"/>
        <v>1.6439239656419298</v>
      </c>
    </row>
    <row r="2047" spans="1:7" x14ac:dyDescent="0.35">
      <c r="A2047">
        <v>3142</v>
      </c>
      <c r="B2047">
        <f t="shared" si="155"/>
        <v>1803.6479361775928</v>
      </c>
      <c r="C2047">
        <f t="shared" si="156"/>
        <v>3253145.8776776898</v>
      </c>
      <c r="D2047">
        <v>24925</v>
      </c>
      <c r="E2047">
        <f t="shared" si="157"/>
        <v>2.4925000000000002</v>
      </c>
      <c r="F2047">
        <f t="shared" si="158"/>
        <v>-0.88735598335067234</v>
      </c>
      <c r="G2047">
        <f t="shared" si="159"/>
        <v>0.78740064118823871</v>
      </c>
    </row>
    <row r="2048" spans="1:7" x14ac:dyDescent="0.35">
      <c r="A2048">
        <v>1130</v>
      </c>
      <c r="B2048">
        <f t="shared" si="155"/>
        <v>-208.35206382240722</v>
      </c>
      <c r="C2048">
        <f t="shared" si="156"/>
        <v>43410.582499056451</v>
      </c>
      <c r="D2048">
        <v>20066</v>
      </c>
      <c r="E2048">
        <f t="shared" si="157"/>
        <v>2.0066000000000002</v>
      </c>
      <c r="F2048">
        <f t="shared" si="158"/>
        <v>-1.3732559833506723</v>
      </c>
      <c r="G2048">
        <f t="shared" si="159"/>
        <v>1.885831995808422</v>
      </c>
    </row>
    <row r="2049" spans="1:7" x14ac:dyDescent="0.35">
      <c r="A2049">
        <v>1130</v>
      </c>
      <c r="B2049">
        <f t="shared" si="155"/>
        <v>-208.35206382240722</v>
      </c>
      <c r="C2049">
        <f t="shared" si="156"/>
        <v>43410.582499056451</v>
      </c>
      <c r="D2049">
        <v>25731</v>
      </c>
      <c r="E2049">
        <f t="shared" si="157"/>
        <v>2.5731000000000002</v>
      </c>
      <c r="F2049">
        <f t="shared" si="158"/>
        <v>-0.80675598335067233</v>
      </c>
      <c r="G2049">
        <f t="shared" si="159"/>
        <v>0.65085521667211033</v>
      </c>
    </row>
    <row r="2050" spans="1:7" x14ac:dyDescent="0.35">
      <c r="A2050">
        <v>1130</v>
      </c>
      <c r="B2050">
        <f t="shared" si="155"/>
        <v>-208.35206382240722</v>
      </c>
      <c r="C2050">
        <f t="shared" si="156"/>
        <v>43410.582499056451</v>
      </c>
      <c r="D2050">
        <v>26996</v>
      </c>
      <c r="E2050">
        <f t="shared" si="157"/>
        <v>2.6996000000000002</v>
      </c>
      <c r="F2050">
        <f t="shared" si="158"/>
        <v>-0.68025598335067228</v>
      </c>
      <c r="G2050">
        <f t="shared" si="159"/>
        <v>0.46274820288439011</v>
      </c>
    </row>
    <row r="2051" spans="1:7" x14ac:dyDescent="0.35">
      <c r="A2051">
        <v>1130</v>
      </c>
      <c r="B2051">
        <f t="shared" ref="B2051:B2114" si="160">A2051-$J$1</f>
        <v>-208.35206382240722</v>
      </c>
      <c r="C2051">
        <f t="shared" ref="C2051:C2114" si="161">B2051^2</f>
        <v>43410.582499056451</v>
      </c>
      <c r="D2051">
        <v>25206</v>
      </c>
      <c r="E2051">
        <f t="shared" ref="E2051:E2114" si="162">D2051/10000</f>
        <v>2.5206</v>
      </c>
      <c r="F2051">
        <f t="shared" ref="F2051:F2114" si="163">E2051-$J$2</f>
        <v>-0.85925598335067255</v>
      </c>
      <c r="G2051">
        <f t="shared" ref="G2051:G2114" si="164">F2051^2</f>
        <v>0.73832084492393124</v>
      </c>
    </row>
    <row r="2052" spans="1:7" x14ac:dyDescent="0.35">
      <c r="A2052">
        <v>1130</v>
      </c>
      <c r="B2052">
        <f t="shared" si="160"/>
        <v>-208.35206382240722</v>
      </c>
      <c r="C2052">
        <f t="shared" si="161"/>
        <v>43410.582499056451</v>
      </c>
      <c r="D2052">
        <v>31698</v>
      </c>
      <c r="E2052">
        <f t="shared" si="162"/>
        <v>3.1698</v>
      </c>
      <c r="F2052">
        <f t="shared" si="163"/>
        <v>-0.21005598335067255</v>
      </c>
      <c r="G2052">
        <f t="shared" si="164"/>
        <v>4.4123516141418025E-2</v>
      </c>
    </row>
    <row r="2053" spans="1:7" x14ac:dyDescent="0.35">
      <c r="A2053">
        <v>1130</v>
      </c>
      <c r="B2053">
        <f t="shared" si="160"/>
        <v>-208.35206382240722</v>
      </c>
      <c r="C2053">
        <f t="shared" si="161"/>
        <v>43410.582499056451</v>
      </c>
      <c r="D2053">
        <v>38317</v>
      </c>
      <c r="E2053">
        <f t="shared" si="162"/>
        <v>3.8317000000000001</v>
      </c>
      <c r="F2053">
        <f t="shared" si="163"/>
        <v>0.45184401664932761</v>
      </c>
      <c r="G2053">
        <f t="shared" si="164"/>
        <v>0.20416301538179785</v>
      </c>
    </row>
    <row r="2054" spans="1:7" x14ac:dyDescent="0.35">
      <c r="A2054">
        <v>1130</v>
      </c>
      <c r="B2054">
        <f t="shared" si="160"/>
        <v>-208.35206382240722</v>
      </c>
      <c r="C2054">
        <f t="shared" si="161"/>
        <v>43410.582499056451</v>
      </c>
      <c r="D2054">
        <v>37715</v>
      </c>
      <c r="E2054">
        <f t="shared" si="162"/>
        <v>3.7715000000000001</v>
      </c>
      <c r="F2054">
        <f t="shared" si="163"/>
        <v>0.39164401664932758</v>
      </c>
      <c r="G2054">
        <f t="shared" si="164"/>
        <v>0.15338503577721876</v>
      </c>
    </row>
    <row r="2055" spans="1:7" x14ac:dyDescent="0.35">
      <c r="A2055">
        <v>1130</v>
      </c>
      <c r="B2055">
        <f t="shared" si="160"/>
        <v>-208.35206382240722</v>
      </c>
      <c r="C2055">
        <f t="shared" si="161"/>
        <v>43410.582499056451</v>
      </c>
      <c r="D2055">
        <v>39785</v>
      </c>
      <c r="E2055">
        <f t="shared" si="162"/>
        <v>3.9784999999999999</v>
      </c>
      <c r="F2055">
        <f t="shared" si="163"/>
        <v>0.59864401664932743</v>
      </c>
      <c r="G2055">
        <f t="shared" si="164"/>
        <v>0.3583746586700402</v>
      </c>
    </row>
    <row r="2056" spans="1:7" x14ac:dyDescent="0.35">
      <c r="A2056">
        <v>1130</v>
      </c>
      <c r="B2056">
        <f t="shared" si="160"/>
        <v>-208.35206382240722</v>
      </c>
      <c r="C2056">
        <f t="shared" si="161"/>
        <v>43410.582499056451</v>
      </c>
      <c r="D2056">
        <v>41143</v>
      </c>
      <c r="E2056">
        <f t="shared" si="162"/>
        <v>4.1143000000000001</v>
      </c>
      <c r="F2056">
        <f t="shared" si="163"/>
        <v>0.73444401664932757</v>
      </c>
      <c r="G2056">
        <f t="shared" si="164"/>
        <v>0.53940801359199775</v>
      </c>
    </row>
    <row r="2057" spans="1:7" x14ac:dyDescent="0.35">
      <c r="A2057">
        <v>1130</v>
      </c>
      <c r="B2057">
        <f t="shared" si="160"/>
        <v>-208.35206382240722</v>
      </c>
      <c r="C2057">
        <f t="shared" si="161"/>
        <v>43410.582499056451</v>
      </c>
      <c r="D2057">
        <v>36692</v>
      </c>
      <c r="E2057">
        <f t="shared" si="162"/>
        <v>3.6692</v>
      </c>
      <c r="F2057">
        <f t="shared" si="163"/>
        <v>0.28934401664932752</v>
      </c>
      <c r="G2057">
        <f t="shared" si="164"/>
        <v>8.3719959970766325E-2</v>
      </c>
    </row>
    <row r="2058" spans="1:7" x14ac:dyDescent="0.35">
      <c r="A2058">
        <v>1130</v>
      </c>
      <c r="B2058">
        <f t="shared" si="160"/>
        <v>-208.35206382240722</v>
      </c>
      <c r="C2058">
        <f t="shared" si="161"/>
        <v>43410.582499056451</v>
      </c>
      <c r="D2058">
        <v>36988</v>
      </c>
      <c r="E2058">
        <f t="shared" si="162"/>
        <v>3.6987999999999999</v>
      </c>
      <c r="F2058">
        <f t="shared" si="163"/>
        <v>0.31894401664932737</v>
      </c>
      <c r="G2058">
        <f t="shared" si="164"/>
        <v>0.10172528575640641</v>
      </c>
    </row>
    <row r="2059" spans="1:7" x14ac:dyDescent="0.35">
      <c r="A2059">
        <v>1130</v>
      </c>
      <c r="B2059">
        <f t="shared" si="160"/>
        <v>-208.35206382240722</v>
      </c>
      <c r="C2059">
        <f t="shared" si="161"/>
        <v>43410.582499056451</v>
      </c>
      <c r="D2059">
        <v>38792</v>
      </c>
      <c r="E2059">
        <f t="shared" si="162"/>
        <v>3.8792</v>
      </c>
      <c r="F2059">
        <f t="shared" si="163"/>
        <v>0.49934401664932748</v>
      </c>
      <c r="G2059">
        <f t="shared" si="164"/>
        <v>0.24934444696348385</v>
      </c>
    </row>
    <row r="2060" spans="1:7" x14ac:dyDescent="0.35">
      <c r="A2060">
        <v>1130</v>
      </c>
      <c r="B2060">
        <f t="shared" si="160"/>
        <v>-208.35206382240722</v>
      </c>
      <c r="C2060">
        <f t="shared" si="161"/>
        <v>43410.582499056451</v>
      </c>
      <c r="D2060">
        <v>46126</v>
      </c>
      <c r="E2060">
        <f t="shared" si="162"/>
        <v>4.6125999999999996</v>
      </c>
      <c r="F2060">
        <f t="shared" si="163"/>
        <v>1.2327440166493271</v>
      </c>
      <c r="G2060">
        <f t="shared" si="164"/>
        <v>1.5196578105847165</v>
      </c>
    </row>
    <row r="2061" spans="1:7" x14ac:dyDescent="0.35">
      <c r="A2061">
        <v>1130</v>
      </c>
      <c r="B2061">
        <f t="shared" si="160"/>
        <v>-208.35206382240722</v>
      </c>
      <c r="C2061">
        <f t="shared" si="161"/>
        <v>43410.582499056451</v>
      </c>
      <c r="D2061">
        <v>38492</v>
      </c>
      <c r="E2061">
        <f t="shared" si="162"/>
        <v>3.8492000000000002</v>
      </c>
      <c r="F2061">
        <f t="shared" si="163"/>
        <v>0.46934401664932768</v>
      </c>
      <c r="G2061">
        <f t="shared" si="164"/>
        <v>0.22028380596452438</v>
      </c>
    </row>
    <row r="2062" spans="1:7" x14ac:dyDescent="0.35">
      <c r="A2062">
        <v>1130</v>
      </c>
      <c r="B2062">
        <f t="shared" si="160"/>
        <v>-208.35206382240722</v>
      </c>
      <c r="C2062">
        <f t="shared" si="161"/>
        <v>43410.582499056451</v>
      </c>
      <c r="D2062">
        <v>39797</v>
      </c>
      <c r="E2062">
        <f t="shared" si="162"/>
        <v>3.9796999999999998</v>
      </c>
      <c r="F2062">
        <f t="shared" si="163"/>
        <v>0.59984401664932729</v>
      </c>
      <c r="G2062">
        <f t="shared" si="164"/>
        <v>0.35981284430999844</v>
      </c>
    </row>
    <row r="2063" spans="1:7" x14ac:dyDescent="0.35">
      <c r="A2063">
        <v>1130</v>
      </c>
      <c r="B2063">
        <f t="shared" si="160"/>
        <v>-208.35206382240722</v>
      </c>
      <c r="C2063">
        <f t="shared" si="161"/>
        <v>43410.582499056451</v>
      </c>
      <c r="D2063">
        <v>38841</v>
      </c>
      <c r="E2063">
        <f t="shared" si="162"/>
        <v>3.8841000000000001</v>
      </c>
      <c r="F2063">
        <f t="shared" si="163"/>
        <v>0.50424401664932761</v>
      </c>
      <c r="G2063">
        <f t="shared" si="164"/>
        <v>0.2542620283266474</v>
      </c>
    </row>
    <row r="2064" spans="1:7" x14ac:dyDescent="0.35">
      <c r="A2064">
        <v>1130</v>
      </c>
      <c r="B2064">
        <f t="shared" si="160"/>
        <v>-208.35206382240722</v>
      </c>
      <c r="C2064">
        <f t="shared" si="161"/>
        <v>43410.582499056451</v>
      </c>
      <c r="D2064">
        <v>40323</v>
      </c>
      <c r="E2064">
        <f t="shared" si="162"/>
        <v>4.0323000000000002</v>
      </c>
      <c r="F2064">
        <f t="shared" si="163"/>
        <v>0.65244401664932772</v>
      </c>
      <c r="G2064">
        <f t="shared" si="164"/>
        <v>0.42568319486150824</v>
      </c>
    </row>
    <row r="2065" spans="1:7" x14ac:dyDescent="0.35">
      <c r="A2065">
        <v>1130</v>
      </c>
      <c r="B2065">
        <f t="shared" si="160"/>
        <v>-208.35206382240722</v>
      </c>
      <c r="C2065">
        <f t="shared" si="161"/>
        <v>43410.582499056451</v>
      </c>
      <c r="D2065">
        <v>30448</v>
      </c>
      <c r="E2065">
        <f t="shared" si="162"/>
        <v>3.0448</v>
      </c>
      <c r="F2065">
        <f t="shared" si="163"/>
        <v>-0.33505598335067255</v>
      </c>
      <c r="G2065">
        <f t="shared" si="164"/>
        <v>0.11226251197908615</v>
      </c>
    </row>
    <row r="2066" spans="1:7" x14ac:dyDescent="0.35">
      <c r="A2066">
        <v>1130</v>
      </c>
      <c r="B2066">
        <f t="shared" si="160"/>
        <v>-208.35206382240722</v>
      </c>
      <c r="C2066">
        <f t="shared" si="161"/>
        <v>43410.582499056451</v>
      </c>
      <c r="D2066">
        <v>30000</v>
      </c>
      <c r="E2066">
        <f t="shared" si="162"/>
        <v>3</v>
      </c>
      <c r="F2066">
        <f t="shared" si="163"/>
        <v>-0.3798559833506725</v>
      </c>
      <c r="G2066">
        <f t="shared" si="164"/>
        <v>0.14429056808730639</v>
      </c>
    </row>
    <row r="2067" spans="1:7" x14ac:dyDescent="0.35">
      <c r="A2067">
        <v>1130</v>
      </c>
      <c r="B2067">
        <f t="shared" si="160"/>
        <v>-208.35206382240722</v>
      </c>
      <c r="C2067">
        <f t="shared" si="161"/>
        <v>43410.582499056451</v>
      </c>
      <c r="D2067">
        <v>30952</v>
      </c>
      <c r="E2067">
        <f t="shared" si="162"/>
        <v>3.0952000000000002</v>
      </c>
      <c r="F2067">
        <f t="shared" si="163"/>
        <v>-0.28465598335067233</v>
      </c>
      <c r="G2067">
        <f t="shared" si="164"/>
        <v>8.1029028857338245E-2</v>
      </c>
    </row>
    <row r="2068" spans="1:7" x14ac:dyDescent="0.35">
      <c r="A2068">
        <v>1130</v>
      </c>
      <c r="B2068">
        <f t="shared" si="160"/>
        <v>-208.35206382240722</v>
      </c>
      <c r="C2068">
        <f t="shared" si="161"/>
        <v>43410.582499056451</v>
      </c>
      <c r="D2068">
        <v>42720</v>
      </c>
      <c r="E2068">
        <f t="shared" si="162"/>
        <v>4.2720000000000002</v>
      </c>
      <c r="F2068">
        <f t="shared" si="163"/>
        <v>0.89214401664932774</v>
      </c>
      <c r="G2068">
        <f t="shared" si="164"/>
        <v>0.795920946443196</v>
      </c>
    </row>
    <row r="2069" spans="1:7" x14ac:dyDescent="0.35">
      <c r="A2069">
        <v>1130</v>
      </c>
      <c r="B2069">
        <f t="shared" si="160"/>
        <v>-208.35206382240722</v>
      </c>
      <c r="C2069">
        <f t="shared" si="161"/>
        <v>43410.582499056451</v>
      </c>
      <c r="D2069">
        <v>43000</v>
      </c>
      <c r="E2069">
        <f t="shared" si="162"/>
        <v>4.3</v>
      </c>
      <c r="F2069">
        <f t="shared" si="163"/>
        <v>0.92014401664932732</v>
      </c>
      <c r="G2069">
        <f t="shared" si="164"/>
        <v>0.84666501137555761</v>
      </c>
    </row>
    <row r="2070" spans="1:7" x14ac:dyDescent="0.35">
      <c r="A2070">
        <v>1130</v>
      </c>
      <c r="B2070">
        <f t="shared" si="160"/>
        <v>-208.35206382240722</v>
      </c>
      <c r="C2070">
        <f t="shared" si="161"/>
        <v>43410.582499056451</v>
      </c>
      <c r="D2070">
        <v>52998</v>
      </c>
      <c r="E2070">
        <f t="shared" si="162"/>
        <v>5.2998000000000003</v>
      </c>
      <c r="F2070">
        <f t="shared" si="163"/>
        <v>1.9199440166493278</v>
      </c>
      <c r="G2070">
        <f t="shared" si="164"/>
        <v>3.6861850270675545</v>
      </c>
    </row>
    <row r="2071" spans="1:7" x14ac:dyDescent="0.35">
      <c r="A2071">
        <v>1130</v>
      </c>
      <c r="B2071">
        <f t="shared" si="160"/>
        <v>-208.35206382240722</v>
      </c>
      <c r="C2071">
        <f t="shared" si="161"/>
        <v>43410.582499056451</v>
      </c>
      <c r="D2071">
        <v>51936</v>
      </c>
      <c r="E2071">
        <f t="shared" si="162"/>
        <v>5.1936</v>
      </c>
      <c r="F2071">
        <f t="shared" si="163"/>
        <v>1.8137440166493275</v>
      </c>
      <c r="G2071">
        <f t="shared" si="164"/>
        <v>3.2896673579312359</v>
      </c>
    </row>
    <row r="2072" spans="1:7" x14ac:dyDescent="0.35">
      <c r="A2072">
        <v>1130</v>
      </c>
      <c r="B2072">
        <f t="shared" si="160"/>
        <v>-208.35206382240722</v>
      </c>
      <c r="C2072">
        <f t="shared" si="161"/>
        <v>43410.582499056451</v>
      </c>
      <c r="D2072">
        <v>49500</v>
      </c>
      <c r="E2072">
        <f t="shared" si="162"/>
        <v>4.95</v>
      </c>
      <c r="F2072">
        <f t="shared" si="163"/>
        <v>1.5701440166493277</v>
      </c>
      <c r="G2072">
        <f t="shared" si="164"/>
        <v>2.4653522330196842</v>
      </c>
    </row>
    <row r="2073" spans="1:7" x14ac:dyDescent="0.35">
      <c r="A2073">
        <v>1130</v>
      </c>
      <c r="B2073">
        <f t="shared" si="160"/>
        <v>-208.35206382240722</v>
      </c>
      <c r="C2073">
        <f t="shared" si="161"/>
        <v>43410.582499056451</v>
      </c>
      <c r="D2073">
        <v>63000</v>
      </c>
      <c r="E2073">
        <f t="shared" si="162"/>
        <v>6.3</v>
      </c>
      <c r="F2073">
        <f t="shared" si="163"/>
        <v>2.9201440166493273</v>
      </c>
      <c r="G2073">
        <f t="shared" si="164"/>
        <v>8.5272410779728673</v>
      </c>
    </row>
    <row r="2074" spans="1:7" x14ac:dyDescent="0.35">
      <c r="A2074">
        <v>1130</v>
      </c>
      <c r="B2074">
        <f t="shared" si="160"/>
        <v>-208.35206382240722</v>
      </c>
      <c r="C2074">
        <f t="shared" si="161"/>
        <v>43410.582499056451</v>
      </c>
      <c r="D2074">
        <v>67000</v>
      </c>
      <c r="E2074">
        <f t="shared" si="162"/>
        <v>6.7</v>
      </c>
      <c r="F2074">
        <f t="shared" si="163"/>
        <v>3.3201440166493277</v>
      </c>
      <c r="G2074">
        <f t="shared" si="164"/>
        <v>11.02335629129233</v>
      </c>
    </row>
    <row r="2075" spans="1:7" x14ac:dyDescent="0.35">
      <c r="A2075">
        <v>1130</v>
      </c>
      <c r="B2075">
        <f t="shared" si="160"/>
        <v>-208.35206382240722</v>
      </c>
      <c r="C2075">
        <f t="shared" si="161"/>
        <v>43410.582499056451</v>
      </c>
      <c r="D2075">
        <v>67013</v>
      </c>
      <c r="E2075">
        <f t="shared" si="162"/>
        <v>6.7012999999999998</v>
      </c>
      <c r="F2075">
        <f t="shared" si="163"/>
        <v>3.3214440166493273</v>
      </c>
      <c r="G2075">
        <f t="shared" si="164"/>
        <v>11.031990355735617</v>
      </c>
    </row>
    <row r="2076" spans="1:7" x14ac:dyDescent="0.35">
      <c r="A2076">
        <v>1130</v>
      </c>
      <c r="B2076">
        <f t="shared" si="160"/>
        <v>-208.35206382240722</v>
      </c>
      <c r="C2076">
        <f t="shared" si="161"/>
        <v>43410.582499056451</v>
      </c>
      <c r="D2076">
        <v>66000</v>
      </c>
      <c r="E2076">
        <f t="shared" si="162"/>
        <v>6.6</v>
      </c>
      <c r="F2076">
        <f t="shared" si="163"/>
        <v>3.2201440166493271</v>
      </c>
      <c r="G2076">
        <f t="shared" si="164"/>
        <v>10.369327487962462</v>
      </c>
    </row>
    <row r="2077" spans="1:7" x14ac:dyDescent="0.35">
      <c r="A2077">
        <v>1738</v>
      </c>
      <c r="B2077">
        <f t="shared" si="160"/>
        <v>399.64793617759278</v>
      </c>
      <c r="C2077">
        <f t="shared" si="161"/>
        <v>159718.47289100927</v>
      </c>
      <c r="D2077">
        <v>45575</v>
      </c>
      <c r="E2077">
        <f t="shared" si="162"/>
        <v>4.5575000000000001</v>
      </c>
      <c r="F2077">
        <f t="shared" si="163"/>
        <v>1.1776440166493276</v>
      </c>
      <c r="G2077">
        <f t="shared" si="164"/>
        <v>1.3868454299499617</v>
      </c>
    </row>
    <row r="2078" spans="1:7" x14ac:dyDescent="0.35">
      <c r="A2078">
        <v>1738</v>
      </c>
      <c r="B2078">
        <f t="shared" si="160"/>
        <v>399.64793617759278</v>
      </c>
      <c r="C2078">
        <f t="shared" si="161"/>
        <v>159718.47289100927</v>
      </c>
      <c r="D2078">
        <v>45045</v>
      </c>
      <c r="E2078">
        <f t="shared" si="162"/>
        <v>4.5045000000000002</v>
      </c>
      <c r="F2078">
        <f t="shared" si="163"/>
        <v>1.1246440166493277</v>
      </c>
      <c r="G2078">
        <f t="shared" si="164"/>
        <v>1.2648241641851332</v>
      </c>
    </row>
    <row r="2079" spans="1:7" x14ac:dyDescent="0.35">
      <c r="A2079">
        <v>1738</v>
      </c>
      <c r="B2079">
        <f t="shared" si="160"/>
        <v>399.64793617759278</v>
      </c>
      <c r="C2079">
        <f t="shared" si="161"/>
        <v>159718.47289100927</v>
      </c>
      <c r="D2079">
        <v>50927</v>
      </c>
      <c r="E2079">
        <f t="shared" si="162"/>
        <v>5.0926999999999998</v>
      </c>
      <c r="F2079">
        <f t="shared" si="163"/>
        <v>1.7128440166493273</v>
      </c>
      <c r="G2079">
        <f t="shared" si="164"/>
        <v>2.9338346253714009</v>
      </c>
    </row>
    <row r="2080" spans="1:7" x14ac:dyDescent="0.35">
      <c r="A2080">
        <v>1738</v>
      </c>
      <c r="B2080">
        <f t="shared" si="160"/>
        <v>399.64793617759278</v>
      </c>
      <c r="C2080">
        <f t="shared" si="161"/>
        <v>159718.47289100927</v>
      </c>
      <c r="D2080">
        <v>51166</v>
      </c>
      <c r="E2080">
        <f t="shared" si="162"/>
        <v>5.1166</v>
      </c>
      <c r="F2080">
        <f t="shared" si="163"/>
        <v>1.7367440166493275</v>
      </c>
      <c r="G2080">
        <f t="shared" si="164"/>
        <v>3.0162797793672396</v>
      </c>
    </row>
    <row r="2081" spans="1:7" x14ac:dyDescent="0.35">
      <c r="A2081">
        <v>1738</v>
      </c>
      <c r="B2081">
        <f t="shared" si="160"/>
        <v>399.64793617759278</v>
      </c>
      <c r="C2081">
        <f t="shared" si="161"/>
        <v>159718.47289100927</v>
      </c>
      <c r="D2081">
        <v>52290</v>
      </c>
      <c r="E2081">
        <f t="shared" si="162"/>
        <v>5.2290000000000001</v>
      </c>
      <c r="F2081">
        <f t="shared" si="163"/>
        <v>1.8491440166493276</v>
      </c>
      <c r="G2081">
        <f t="shared" si="164"/>
        <v>3.4193335943100087</v>
      </c>
    </row>
    <row r="2082" spans="1:7" x14ac:dyDescent="0.35">
      <c r="A2082">
        <v>1738</v>
      </c>
      <c r="B2082">
        <f t="shared" si="160"/>
        <v>399.64793617759278</v>
      </c>
      <c r="C2082">
        <f t="shared" si="161"/>
        <v>159718.47289100927</v>
      </c>
      <c r="D2082">
        <v>51416</v>
      </c>
      <c r="E2082">
        <f t="shared" si="162"/>
        <v>5.1416000000000004</v>
      </c>
      <c r="F2082">
        <f t="shared" si="163"/>
        <v>1.7617440166493279</v>
      </c>
      <c r="G2082">
        <f t="shared" si="164"/>
        <v>3.1037419801997075</v>
      </c>
    </row>
    <row r="2083" spans="1:7" x14ac:dyDescent="0.35">
      <c r="A2083">
        <v>1738</v>
      </c>
      <c r="B2083">
        <f t="shared" si="160"/>
        <v>399.64793617759278</v>
      </c>
      <c r="C2083">
        <f t="shared" si="161"/>
        <v>159718.47289100927</v>
      </c>
      <c r="D2083">
        <v>49812</v>
      </c>
      <c r="E2083">
        <f t="shared" si="162"/>
        <v>4.9812000000000003</v>
      </c>
      <c r="F2083">
        <f t="shared" si="163"/>
        <v>1.6013440166493278</v>
      </c>
      <c r="G2083">
        <f t="shared" si="164"/>
        <v>2.5643026596586025</v>
      </c>
    </row>
    <row r="2084" spans="1:7" x14ac:dyDescent="0.35">
      <c r="A2084">
        <v>1738</v>
      </c>
      <c r="B2084">
        <f t="shared" si="160"/>
        <v>399.64793617759278</v>
      </c>
      <c r="C2084">
        <f t="shared" si="161"/>
        <v>159718.47289100927</v>
      </c>
      <c r="D2084">
        <v>54506</v>
      </c>
      <c r="E2084">
        <f t="shared" si="162"/>
        <v>5.4505999999999997</v>
      </c>
      <c r="F2084">
        <f t="shared" si="163"/>
        <v>2.0707440166493272</v>
      </c>
      <c r="G2084">
        <f t="shared" si="164"/>
        <v>4.2879807824889893</v>
      </c>
    </row>
    <row r="2085" spans="1:7" x14ac:dyDescent="0.35">
      <c r="A2085">
        <v>1738</v>
      </c>
      <c r="B2085">
        <f t="shared" si="160"/>
        <v>399.64793617759278</v>
      </c>
      <c r="C2085">
        <f t="shared" si="161"/>
        <v>159718.47289100927</v>
      </c>
      <c r="D2085">
        <v>58525</v>
      </c>
      <c r="E2085">
        <f t="shared" si="162"/>
        <v>5.8525</v>
      </c>
      <c r="F2085">
        <f t="shared" si="163"/>
        <v>2.4726440166493275</v>
      </c>
      <c r="G2085">
        <f t="shared" si="164"/>
        <v>6.1139684330717197</v>
      </c>
    </row>
    <row r="2086" spans="1:7" x14ac:dyDescent="0.35">
      <c r="A2086">
        <v>1738</v>
      </c>
      <c r="B2086">
        <f t="shared" si="160"/>
        <v>399.64793617759278</v>
      </c>
      <c r="C2086">
        <f t="shared" si="161"/>
        <v>159718.47289100927</v>
      </c>
      <c r="D2086">
        <v>56180</v>
      </c>
      <c r="E2086">
        <f t="shared" si="162"/>
        <v>5.6180000000000003</v>
      </c>
      <c r="F2086">
        <f t="shared" si="163"/>
        <v>2.2381440166493278</v>
      </c>
      <c r="G2086">
        <f t="shared" si="164"/>
        <v>5.009288639263187</v>
      </c>
    </row>
    <row r="2087" spans="1:7" x14ac:dyDescent="0.35">
      <c r="A2087">
        <v>1738</v>
      </c>
      <c r="B2087">
        <f t="shared" si="160"/>
        <v>399.64793617759278</v>
      </c>
      <c r="C2087">
        <f t="shared" si="161"/>
        <v>159718.47289100927</v>
      </c>
      <c r="D2087">
        <v>57198</v>
      </c>
      <c r="E2087">
        <f t="shared" si="162"/>
        <v>5.7198000000000002</v>
      </c>
      <c r="F2087">
        <f t="shared" si="163"/>
        <v>2.3399440166493277</v>
      </c>
      <c r="G2087">
        <f t="shared" si="164"/>
        <v>5.4753380010529895</v>
      </c>
    </row>
    <row r="2088" spans="1:7" x14ac:dyDescent="0.35">
      <c r="A2088">
        <v>1738</v>
      </c>
      <c r="B2088">
        <f t="shared" si="160"/>
        <v>399.64793617759278</v>
      </c>
      <c r="C2088">
        <f t="shared" si="161"/>
        <v>159718.47289100927</v>
      </c>
      <c r="D2088">
        <v>61154</v>
      </c>
      <c r="E2088">
        <f t="shared" si="162"/>
        <v>6.1154000000000002</v>
      </c>
      <c r="F2088">
        <f t="shared" si="163"/>
        <v>2.7355440166493277</v>
      </c>
      <c r="G2088">
        <f t="shared" si="164"/>
        <v>7.483201067025937</v>
      </c>
    </row>
    <row r="2089" spans="1:7" x14ac:dyDescent="0.35">
      <c r="A2089">
        <v>1738</v>
      </c>
      <c r="B2089">
        <f t="shared" si="160"/>
        <v>399.64793617759278</v>
      </c>
      <c r="C2089">
        <f t="shared" si="161"/>
        <v>159718.47289100927</v>
      </c>
      <c r="D2089">
        <v>57558</v>
      </c>
      <c r="E2089">
        <f t="shared" si="162"/>
        <v>5.7557999999999998</v>
      </c>
      <c r="F2089">
        <f t="shared" si="163"/>
        <v>2.3759440166493273</v>
      </c>
      <c r="G2089">
        <f t="shared" si="164"/>
        <v>5.6451099702517391</v>
      </c>
    </row>
    <row r="2090" spans="1:7" x14ac:dyDescent="0.35">
      <c r="A2090">
        <v>1738</v>
      </c>
      <c r="B2090">
        <f t="shared" si="160"/>
        <v>399.64793617759278</v>
      </c>
      <c r="C2090">
        <f t="shared" si="161"/>
        <v>159718.47289100927</v>
      </c>
      <c r="D2090">
        <v>62514</v>
      </c>
      <c r="E2090">
        <f t="shared" si="162"/>
        <v>6.2514000000000003</v>
      </c>
      <c r="F2090">
        <f t="shared" si="163"/>
        <v>2.8715440166493278</v>
      </c>
      <c r="G2090">
        <f t="shared" si="164"/>
        <v>8.2457650395545556</v>
      </c>
    </row>
    <row r="2091" spans="1:7" x14ac:dyDescent="0.35">
      <c r="A2091">
        <v>1738</v>
      </c>
      <c r="B2091">
        <f t="shared" si="160"/>
        <v>399.64793617759278</v>
      </c>
      <c r="C2091">
        <f t="shared" si="161"/>
        <v>159718.47289100927</v>
      </c>
      <c r="D2091">
        <v>65901</v>
      </c>
      <c r="E2091">
        <f t="shared" si="162"/>
        <v>6.5900999999999996</v>
      </c>
      <c r="F2091">
        <f t="shared" si="163"/>
        <v>3.2102440166493271</v>
      </c>
      <c r="G2091">
        <f t="shared" si="164"/>
        <v>10.305666646432805</v>
      </c>
    </row>
    <row r="2092" spans="1:7" x14ac:dyDescent="0.35">
      <c r="A2092">
        <v>1738</v>
      </c>
      <c r="B2092">
        <f t="shared" si="160"/>
        <v>399.64793617759278</v>
      </c>
      <c r="C2092">
        <f t="shared" si="161"/>
        <v>159718.47289100927</v>
      </c>
      <c r="D2092">
        <v>66941</v>
      </c>
      <c r="E2092">
        <f t="shared" si="162"/>
        <v>6.6940999999999997</v>
      </c>
      <c r="F2092">
        <f t="shared" si="163"/>
        <v>3.3142440166493272</v>
      </c>
      <c r="G2092">
        <f t="shared" si="164"/>
        <v>10.984213401895866</v>
      </c>
    </row>
    <row r="2093" spans="1:7" x14ac:dyDescent="0.35">
      <c r="A2093">
        <v>1738</v>
      </c>
      <c r="B2093">
        <f t="shared" si="160"/>
        <v>399.64793617759278</v>
      </c>
      <c r="C2093">
        <f t="shared" si="161"/>
        <v>159718.47289100927</v>
      </c>
      <c r="D2093">
        <v>66876</v>
      </c>
      <c r="E2093">
        <f t="shared" si="162"/>
        <v>6.6875999999999998</v>
      </c>
      <c r="F2093">
        <f t="shared" si="163"/>
        <v>3.3077440166493273</v>
      </c>
      <c r="G2093">
        <f t="shared" si="164"/>
        <v>10.941170479679425</v>
      </c>
    </row>
    <row r="2094" spans="1:7" x14ac:dyDescent="0.35">
      <c r="A2094">
        <v>1738</v>
      </c>
      <c r="B2094">
        <f t="shared" si="160"/>
        <v>399.64793617759278</v>
      </c>
      <c r="C2094">
        <f t="shared" si="161"/>
        <v>159718.47289100927</v>
      </c>
      <c r="D2094">
        <v>64401</v>
      </c>
      <c r="E2094">
        <f t="shared" si="162"/>
        <v>6.4401000000000002</v>
      </c>
      <c r="F2094">
        <f t="shared" si="163"/>
        <v>3.0602440166493277</v>
      </c>
      <c r="G2094">
        <f t="shared" si="164"/>
        <v>9.3650934414380096</v>
      </c>
    </row>
    <row r="2095" spans="1:7" x14ac:dyDescent="0.35">
      <c r="A2095">
        <v>1738</v>
      </c>
      <c r="B2095">
        <f t="shared" si="160"/>
        <v>399.64793617759278</v>
      </c>
      <c r="C2095">
        <f t="shared" si="161"/>
        <v>159718.47289100927</v>
      </c>
      <c r="D2095">
        <v>68971</v>
      </c>
      <c r="E2095">
        <f t="shared" si="162"/>
        <v>6.8971</v>
      </c>
      <c r="F2095">
        <f t="shared" si="163"/>
        <v>3.5172440166493275</v>
      </c>
      <c r="G2095">
        <f t="shared" si="164"/>
        <v>12.371005472655495</v>
      </c>
    </row>
    <row r="2096" spans="1:7" x14ac:dyDescent="0.35">
      <c r="A2096">
        <v>1738</v>
      </c>
      <c r="B2096">
        <f t="shared" si="160"/>
        <v>399.64793617759278</v>
      </c>
      <c r="C2096">
        <f t="shared" si="161"/>
        <v>159718.47289100927</v>
      </c>
      <c r="D2096">
        <v>68732</v>
      </c>
      <c r="E2096">
        <f t="shared" si="162"/>
        <v>6.8731999999999998</v>
      </c>
      <c r="F2096">
        <f t="shared" si="163"/>
        <v>3.4933440166493273</v>
      </c>
      <c r="G2096">
        <f t="shared" si="164"/>
        <v>12.203452418659655</v>
      </c>
    </row>
    <row r="2097" spans="1:7" x14ac:dyDescent="0.35">
      <c r="A2097">
        <v>1738</v>
      </c>
      <c r="B2097">
        <f t="shared" si="160"/>
        <v>399.64793617759278</v>
      </c>
      <c r="C2097">
        <f t="shared" si="161"/>
        <v>159718.47289100927</v>
      </c>
      <c r="D2097">
        <v>66817</v>
      </c>
      <c r="E2097">
        <f t="shared" si="162"/>
        <v>6.6817000000000002</v>
      </c>
      <c r="F2097">
        <f t="shared" si="163"/>
        <v>3.3018440166493277</v>
      </c>
      <c r="G2097">
        <f t="shared" si="164"/>
        <v>10.902173910282967</v>
      </c>
    </row>
    <row r="2098" spans="1:7" x14ac:dyDescent="0.35">
      <c r="A2098">
        <v>1738</v>
      </c>
      <c r="B2098">
        <f t="shared" si="160"/>
        <v>399.64793617759278</v>
      </c>
      <c r="C2098">
        <f t="shared" si="161"/>
        <v>159718.47289100927</v>
      </c>
      <c r="D2098">
        <v>73089</v>
      </c>
      <c r="E2098">
        <f t="shared" si="162"/>
        <v>7.3089000000000004</v>
      </c>
      <c r="F2098">
        <f t="shared" si="163"/>
        <v>3.9290440166493279</v>
      </c>
      <c r="G2098">
        <f t="shared" si="164"/>
        <v>15.437386884767884</v>
      </c>
    </row>
    <row r="2099" spans="1:7" x14ac:dyDescent="0.35">
      <c r="A2099">
        <v>1738</v>
      </c>
      <c r="B2099">
        <f t="shared" si="160"/>
        <v>399.64793617759278</v>
      </c>
      <c r="C2099">
        <f t="shared" si="161"/>
        <v>159718.47289100927</v>
      </c>
      <c r="D2099">
        <v>73926</v>
      </c>
      <c r="E2099">
        <f t="shared" si="162"/>
        <v>7.3925999999999998</v>
      </c>
      <c r="F2099">
        <f t="shared" si="163"/>
        <v>4.0127440166493269</v>
      </c>
      <c r="G2099">
        <f t="shared" si="164"/>
        <v>16.102114543154972</v>
      </c>
    </row>
    <row r="2100" spans="1:7" x14ac:dyDescent="0.35">
      <c r="A2100">
        <v>1738</v>
      </c>
      <c r="B2100">
        <f t="shared" si="160"/>
        <v>399.64793617759278</v>
      </c>
      <c r="C2100">
        <f t="shared" si="161"/>
        <v>159718.47289100927</v>
      </c>
      <c r="D2100">
        <v>72850</v>
      </c>
      <c r="E2100">
        <f t="shared" si="162"/>
        <v>7.2850000000000001</v>
      </c>
      <c r="F2100">
        <f t="shared" si="163"/>
        <v>3.9051440166493276</v>
      </c>
      <c r="G2100">
        <f t="shared" si="164"/>
        <v>15.250149790772044</v>
      </c>
    </row>
    <row r="2101" spans="1:7" x14ac:dyDescent="0.35">
      <c r="A2101">
        <v>1738</v>
      </c>
      <c r="B2101">
        <f t="shared" si="160"/>
        <v>399.64793617759278</v>
      </c>
      <c r="C2101">
        <f t="shared" si="161"/>
        <v>159718.47289100927</v>
      </c>
      <c r="D2101">
        <v>72980</v>
      </c>
      <c r="E2101">
        <f t="shared" si="162"/>
        <v>7.298</v>
      </c>
      <c r="F2101">
        <f t="shared" si="163"/>
        <v>3.9181440166493275</v>
      </c>
      <c r="G2101">
        <f t="shared" si="164"/>
        <v>15.351852535204927</v>
      </c>
    </row>
    <row r="2102" spans="1:7" x14ac:dyDescent="0.35">
      <c r="A2102">
        <v>1738</v>
      </c>
      <c r="B2102">
        <f t="shared" si="160"/>
        <v>399.64793617759278</v>
      </c>
      <c r="C2102">
        <f t="shared" si="161"/>
        <v>159718.47289100927</v>
      </c>
      <c r="D2102">
        <v>77851</v>
      </c>
      <c r="E2102">
        <f t="shared" si="162"/>
        <v>7.7850999999999999</v>
      </c>
      <c r="F2102">
        <f t="shared" si="163"/>
        <v>4.405244016649327</v>
      </c>
      <c r="G2102">
        <f t="shared" si="164"/>
        <v>19.406174846224697</v>
      </c>
    </row>
    <row r="2103" spans="1:7" x14ac:dyDescent="0.35">
      <c r="A2103">
        <v>1738</v>
      </c>
      <c r="B2103">
        <f t="shared" si="160"/>
        <v>399.64793617759278</v>
      </c>
      <c r="C2103">
        <f t="shared" si="161"/>
        <v>159718.47289100927</v>
      </c>
      <c r="D2103">
        <v>77112</v>
      </c>
      <c r="E2103">
        <f t="shared" si="162"/>
        <v>7.7111999999999998</v>
      </c>
      <c r="F2103">
        <f t="shared" si="163"/>
        <v>4.3313440166493269</v>
      </c>
      <c r="G2103">
        <f t="shared" si="164"/>
        <v>18.760540990563925</v>
      </c>
    </row>
    <row r="2104" spans="1:7" x14ac:dyDescent="0.35">
      <c r="A2104">
        <v>1738</v>
      </c>
      <c r="B2104">
        <f t="shared" si="160"/>
        <v>399.64793617759278</v>
      </c>
      <c r="C2104">
        <f t="shared" si="161"/>
        <v>159718.47289100927</v>
      </c>
      <c r="D2104">
        <v>75953</v>
      </c>
      <c r="E2104">
        <f t="shared" si="162"/>
        <v>7.5952999999999999</v>
      </c>
      <c r="F2104">
        <f t="shared" si="163"/>
        <v>4.215444016649327</v>
      </c>
      <c r="G2104">
        <f t="shared" si="164"/>
        <v>17.769968257504612</v>
      </c>
    </row>
    <row r="2105" spans="1:7" x14ac:dyDescent="0.35">
      <c r="A2105">
        <v>1738</v>
      </c>
      <c r="B2105">
        <f t="shared" si="160"/>
        <v>399.64793617759278</v>
      </c>
      <c r="C2105">
        <f t="shared" si="161"/>
        <v>159718.47289100927</v>
      </c>
      <c r="D2105">
        <v>78884</v>
      </c>
      <c r="E2105">
        <f t="shared" si="162"/>
        <v>7.8883999999999999</v>
      </c>
      <c r="F2105">
        <f t="shared" si="163"/>
        <v>4.5085440166493278</v>
      </c>
      <c r="G2105">
        <f t="shared" si="164"/>
        <v>20.326969150064453</v>
      </c>
    </row>
    <row r="2106" spans="1:7" x14ac:dyDescent="0.35">
      <c r="A2106">
        <v>1738</v>
      </c>
      <c r="B2106">
        <f t="shared" si="160"/>
        <v>399.64793617759278</v>
      </c>
      <c r="C2106">
        <f t="shared" si="161"/>
        <v>159718.47289100927</v>
      </c>
      <c r="D2106">
        <v>75453</v>
      </c>
      <c r="E2106">
        <f t="shared" si="162"/>
        <v>7.5453000000000001</v>
      </c>
      <c r="F2106">
        <f t="shared" si="163"/>
        <v>4.1654440166493281</v>
      </c>
      <c r="G2106">
        <f t="shared" si="164"/>
        <v>17.350923855839689</v>
      </c>
    </row>
    <row r="2107" spans="1:7" x14ac:dyDescent="0.35">
      <c r="A2107">
        <v>2348</v>
      </c>
      <c r="B2107">
        <f t="shared" si="160"/>
        <v>1009.6479361775928</v>
      </c>
      <c r="C2107">
        <f t="shared" si="161"/>
        <v>1019388.9550276725</v>
      </c>
      <c r="D2107">
        <v>25879</v>
      </c>
      <c r="E2107">
        <f t="shared" si="162"/>
        <v>2.5878999999999999</v>
      </c>
      <c r="F2107">
        <f t="shared" si="163"/>
        <v>-0.79195598335067263</v>
      </c>
      <c r="G2107">
        <f t="shared" si="164"/>
        <v>0.6271942795649309</v>
      </c>
    </row>
    <row r="2108" spans="1:7" x14ac:dyDescent="0.35">
      <c r="A2108">
        <v>2348</v>
      </c>
      <c r="B2108">
        <f t="shared" si="160"/>
        <v>1009.6479361775928</v>
      </c>
      <c r="C2108">
        <f t="shared" si="161"/>
        <v>1019388.9550276725</v>
      </c>
      <c r="D2108">
        <v>27173</v>
      </c>
      <c r="E2108">
        <f t="shared" si="162"/>
        <v>2.7172999999999998</v>
      </c>
      <c r="F2108">
        <f t="shared" si="163"/>
        <v>-0.66255598335067267</v>
      </c>
      <c r="G2108">
        <f t="shared" si="164"/>
        <v>0.43898043107377682</v>
      </c>
    </row>
    <row r="2109" spans="1:7" x14ac:dyDescent="0.35">
      <c r="A2109">
        <v>2348</v>
      </c>
      <c r="B2109">
        <f t="shared" si="160"/>
        <v>1009.6479361775928</v>
      </c>
      <c r="C2109">
        <f t="shared" si="161"/>
        <v>1019388.9550276725</v>
      </c>
      <c r="D2109">
        <v>26229</v>
      </c>
      <c r="E2109">
        <f t="shared" si="162"/>
        <v>2.6229</v>
      </c>
      <c r="F2109">
        <f t="shared" si="163"/>
        <v>-0.75695598335067249</v>
      </c>
      <c r="G2109">
        <f t="shared" si="164"/>
        <v>0.57298236073038356</v>
      </c>
    </row>
    <row r="2110" spans="1:7" x14ac:dyDescent="0.35">
      <c r="A2110">
        <v>2348</v>
      </c>
      <c r="B2110">
        <f t="shared" si="160"/>
        <v>1009.6479361775928</v>
      </c>
      <c r="C2110">
        <f t="shared" si="161"/>
        <v>1019388.9550276725</v>
      </c>
      <c r="D2110">
        <v>27046</v>
      </c>
      <c r="E2110">
        <f t="shared" si="162"/>
        <v>2.7046000000000001</v>
      </c>
      <c r="F2110">
        <f t="shared" si="163"/>
        <v>-0.67525598335067238</v>
      </c>
      <c r="G2110">
        <f t="shared" si="164"/>
        <v>0.45597064305088353</v>
      </c>
    </row>
    <row r="2111" spans="1:7" x14ac:dyDescent="0.35">
      <c r="A2111">
        <v>2348</v>
      </c>
      <c r="B2111">
        <f t="shared" si="160"/>
        <v>1009.6479361775928</v>
      </c>
      <c r="C2111">
        <f t="shared" si="161"/>
        <v>1019388.9550276725</v>
      </c>
      <c r="D2111">
        <v>29786</v>
      </c>
      <c r="E2111">
        <f t="shared" si="162"/>
        <v>2.9786000000000001</v>
      </c>
      <c r="F2111">
        <f t="shared" si="163"/>
        <v>-0.40125598335067236</v>
      </c>
      <c r="G2111">
        <f t="shared" si="164"/>
        <v>0.16100636417471506</v>
      </c>
    </row>
    <row r="2112" spans="1:7" x14ac:dyDescent="0.35">
      <c r="A2112">
        <v>2348</v>
      </c>
      <c r="B2112">
        <f t="shared" si="160"/>
        <v>1009.6479361775928</v>
      </c>
      <c r="C2112">
        <f t="shared" si="161"/>
        <v>1019388.9550276725</v>
      </c>
      <c r="D2112">
        <v>28243</v>
      </c>
      <c r="E2112">
        <f t="shared" si="162"/>
        <v>2.8243</v>
      </c>
      <c r="F2112">
        <f t="shared" si="163"/>
        <v>-0.55555598335067247</v>
      </c>
      <c r="G2112">
        <f t="shared" si="164"/>
        <v>0.30864245063673268</v>
      </c>
    </row>
    <row r="2113" spans="1:7" x14ac:dyDescent="0.35">
      <c r="A2113">
        <v>2348</v>
      </c>
      <c r="B2113">
        <f t="shared" si="160"/>
        <v>1009.6479361775928</v>
      </c>
      <c r="C2113">
        <f t="shared" si="161"/>
        <v>1019388.9550276725</v>
      </c>
      <c r="D2113">
        <v>28545</v>
      </c>
      <c r="E2113">
        <f t="shared" si="162"/>
        <v>2.8544999999999998</v>
      </c>
      <c r="F2113">
        <f t="shared" si="163"/>
        <v>-0.52535598335067268</v>
      </c>
      <c r="G2113">
        <f t="shared" si="164"/>
        <v>0.27599890924235226</v>
      </c>
    </row>
    <row r="2114" spans="1:7" x14ac:dyDescent="0.35">
      <c r="A2114">
        <v>2348</v>
      </c>
      <c r="B2114">
        <f t="shared" si="160"/>
        <v>1009.6479361775928</v>
      </c>
      <c r="C2114">
        <f t="shared" si="161"/>
        <v>1019388.9550276725</v>
      </c>
      <c r="D2114">
        <v>28742</v>
      </c>
      <c r="E2114">
        <f t="shared" si="162"/>
        <v>2.8742000000000001</v>
      </c>
      <c r="F2114">
        <f t="shared" si="163"/>
        <v>-0.50565598335067241</v>
      </c>
      <c r="G2114">
        <f t="shared" si="164"/>
        <v>0.2556879734983355</v>
      </c>
    </row>
    <row r="2115" spans="1:7" x14ac:dyDescent="0.35">
      <c r="A2115">
        <v>2348</v>
      </c>
      <c r="B2115">
        <f t="shared" ref="B2115:B2178" si="165">A2115-$J$1</f>
        <v>1009.6479361775928</v>
      </c>
      <c r="C2115">
        <f t="shared" ref="C2115:C2178" si="166">B2115^2</f>
        <v>1019388.9550276725</v>
      </c>
      <c r="D2115">
        <v>28859</v>
      </c>
      <c r="E2115">
        <f t="shared" ref="E2115:E2178" si="167">D2115/10000</f>
        <v>2.8858999999999999</v>
      </c>
      <c r="F2115">
        <f t="shared" ref="F2115:F2178" si="168">E2115-$J$2</f>
        <v>-0.49395598335067259</v>
      </c>
      <c r="G2115">
        <f t="shared" ref="G2115:G2178" si="169">F2115^2</f>
        <v>0.24399251348792994</v>
      </c>
    </row>
    <row r="2116" spans="1:7" x14ac:dyDescent="0.35">
      <c r="A2116">
        <v>2348</v>
      </c>
      <c r="B2116">
        <f t="shared" si="165"/>
        <v>1009.6479361775928</v>
      </c>
      <c r="C2116">
        <f t="shared" si="166"/>
        <v>1019388.9550276725</v>
      </c>
      <c r="D2116">
        <v>28043</v>
      </c>
      <c r="E2116">
        <f t="shared" si="167"/>
        <v>2.8043</v>
      </c>
      <c r="F2116">
        <f t="shared" si="168"/>
        <v>-0.57555598335067248</v>
      </c>
      <c r="G2116">
        <f t="shared" si="169"/>
        <v>0.33126468997075958</v>
      </c>
    </row>
    <row r="2117" spans="1:7" x14ac:dyDescent="0.35">
      <c r="A2117">
        <v>2348</v>
      </c>
      <c r="B2117">
        <f t="shared" si="165"/>
        <v>1009.6479361775928</v>
      </c>
      <c r="C2117">
        <f t="shared" si="166"/>
        <v>1019388.9550276725</v>
      </c>
      <c r="D2117">
        <v>28558</v>
      </c>
      <c r="E2117">
        <f t="shared" si="167"/>
        <v>2.8557999999999999</v>
      </c>
      <c r="F2117">
        <f t="shared" si="168"/>
        <v>-0.52405598335067261</v>
      </c>
      <c r="G2117">
        <f t="shared" si="169"/>
        <v>0.27463467368564043</v>
      </c>
    </row>
    <row r="2118" spans="1:7" x14ac:dyDescent="0.35">
      <c r="A2118">
        <v>2348</v>
      </c>
      <c r="B2118">
        <f t="shared" si="165"/>
        <v>1009.6479361775928</v>
      </c>
      <c r="C2118">
        <f t="shared" si="166"/>
        <v>1019388.9550276725</v>
      </c>
      <c r="D2118">
        <v>29329</v>
      </c>
      <c r="E2118">
        <f t="shared" si="167"/>
        <v>2.9329000000000001</v>
      </c>
      <c r="F2118">
        <f t="shared" si="168"/>
        <v>-0.44695598335067244</v>
      </c>
      <c r="G2118">
        <f t="shared" si="169"/>
        <v>0.19976965105296657</v>
      </c>
    </row>
    <row r="2119" spans="1:7" x14ac:dyDescent="0.35">
      <c r="A2119">
        <v>2348</v>
      </c>
      <c r="B2119">
        <f t="shared" si="165"/>
        <v>1009.6479361775928</v>
      </c>
      <c r="C2119">
        <f t="shared" si="166"/>
        <v>1019388.9550276725</v>
      </c>
      <c r="D2119">
        <v>26986</v>
      </c>
      <c r="E2119">
        <f t="shared" si="167"/>
        <v>2.6985999999999999</v>
      </c>
      <c r="F2119">
        <f t="shared" si="168"/>
        <v>-0.68125598335067261</v>
      </c>
      <c r="G2119">
        <f t="shared" si="169"/>
        <v>0.46410971485109193</v>
      </c>
    </row>
    <row r="2120" spans="1:7" x14ac:dyDescent="0.35">
      <c r="A2120">
        <v>2348</v>
      </c>
      <c r="B2120">
        <f t="shared" si="165"/>
        <v>1009.6479361775928</v>
      </c>
      <c r="C2120">
        <f t="shared" si="166"/>
        <v>1019388.9550276725</v>
      </c>
      <c r="D2120">
        <v>29468</v>
      </c>
      <c r="E2120">
        <f t="shared" si="167"/>
        <v>2.9468000000000001</v>
      </c>
      <c r="F2120">
        <f t="shared" si="168"/>
        <v>-0.43305598335067241</v>
      </c>
      <c r="G2120">
        <f t="shared" si="169"/>
        <v>0.18753748471581785</v>
      </c>
    </row>
    <row r="2121" spans="1:7" x14ac:dyDescent="0.35">
      <c r="A2121">
        <v>2348</v>
      </c>
      <c r="B2121">
        <f t="shared" si="165"/>
        <v>1009.6479361775928</v>
      </c>
      <c r="C2121">
        <f t="shared" si="166"/>
        <v>1019388.9550276725</v>
      </c>
      <c r="D2121">
        <v>30681</v>
      </c>
      <c r="E2121">
        <f t="shared" si="167"/>
        <v>3.0680999999999998</v>
      </c>
      <c r="F2121">
        <f t="shared" si="168"/>
        <v>-0.31175598335067267</v>
      </c>
      <c r="G2121">
        <f t="shared" si="169"/>
        <v>9.7191793154944903E-2</v>
      </c>
    </row>
    <row r="2122" spans="1:7" x14ac:dyDescent="0.35">
      <c r="A2122">
        <v>2348</v>
      </c>
      <c r="B2122">
        <f t="shared" si="165"/>
        <v>1009.6479361775928</v>
      </c>
      <c r="C2122">
        <f t="shared" si="166"/>
        <v>1019388.9550276725</v>
      </c>
      <c r="D2122">
        <v>31866</v>
      </c>
      <c r="E2122">
        <f t="shared" si="167"/>
        <v>3.1865999999999999</v>
      </c>
      <c r="F2122">
        <f t="shared" si="168"/>
        <v>-0.19325598335067262</v>
      </c>
      <c r="G2122">
        <f t="shared" si="169"/>
        <v>3.7347875100835454E-2</v>
      </c>
    </row>
    <row r="2123" spans="1:7" x14ac:dyDescent="0.35">
      <c r="A2123">
        <v>2348</v>
      </c>
      <c r="B2123">
        <f t="shared" si="165"/>
        <v>1009.6479361775928</v>
      </c>
      <c r="C2123">
        <f t="shared" si="166"/>
        <v>1019388.9550276725</v>
      </c>
      <c r="D2123">
        <v>32797</v>
      </c>
      <c r="E2123">
        <f t="shared" si="167"/>
        <v>3.2797000000000001</v>
      </c>
      <c r="F2123">
        <f t="shared" si="168"/>
        <v>-0.10015598335067244</v>
      </c>
      <c r="G2123">
        <f t="shared" si="169"/>
        <v>1.0031221000940175E-2</v>
      </c>
    </row>
    <row r="2124" spans="1:7" x14ac:dyDescent="0.35">
      <c r="A2124">
        <v>2348</v>
      </c>
      <c r="B2124">
        <f t="shared" si="165"/>
        <v>1009.6479361775928</v>
      </c>
      <c r="C2124">
        <f t="shared" si="166"/>
        <v>1019388.9550276725</v>
      </c>
      <c r="D2124">
        <v>35130</v>
      </c>
      <c r="E2124">
        <f t="shared" si="167"/>
        <v>3.5129999999999999</v>
      </c>
      <c r="F2124">
        <f t="shared" si="168"/>
        <v>0.1331440166493274</v>
      </c>
      <c r="G2124">
        <f t="shared" si="169"/>
        <v>1.7727329169516373E-2</v>
      </c>
    </row>
    <row r="2125" spans="1:7" x14ac:dyDescent="0.35">
      <c r="A2125">
        <v>2348</v>
      </c>
      <c r="B2125">
        <f t="shared" si="165"/>
        <v>1009.6479361775928</v>
      </c>
      <c r="C2125">
        <f t="shared" si="166"/>
        <v>1019388.9550276725</v>
      </c>
      <c r="D2125">
        <v>35876</v>
      </c>
      <c r="E2125">
        <f t="shared" si="167"/>
        <v>3.5876000000000001</v>
      </c>
      <c r="F2125">
        <f t="shared" si="168"/>
        <v>0.20774401664932762</v>
      </c>
      <c r="G2125">
        <f t="shared" si="169"/>
        <v>4.3157576453596115E-2</v>
      </c>
    </row>
    <row r="2126" spans="1:7" x14ac:dyDescent="0.35">
      <c r="A2126">
        <v>2348</v>
      </c>
      <c r="B2126">
        <f t="shared" si="165"/>
        <v>1009.6479361775928</v>
      </c>
      <c r="C2126">
        <f t="shared" si="166"/>
        <v>1019388.9550276725</v>
      </c>
      <c r="D2126">
        <v>36844</v>
      </c>
      <c r="E2126">
        <f t="shared" si="167"/>
        <v>3.6844000000000001</v>
      </c>
      <c r="F2126">
        <f t="shared" si="168"/>
        <v>0.30454401664932762</v>
      </c>
      <c r="G2126">
        <f t="shared" si="169"/>
        <v>9.2747058076905933E-2</v>
      </c>
    </row>
    <row r="2127" spans="1:7" x14ac:dyDescent="0.35">
      <c r="A2127">
        <v>2348</v>
      </c>
      <c r="B2127">
        <f t="shared" si="165"/>
        <v>1009.6479361775928</v>
      </c>
      <c r="C2127">
        <f t="shared" si="166"/>
        <v>1019388.9550276725</v>
      </c>
      <c r="D2127">
        <v>38008</v>
      </c>
      <c r="E2127">
        <f t="shared" si="167"/>
        <v>3.8008000000000002</v>
      </c>
      <c r="F2127">
        <f t="shared" si="168"/>
        <v>0.42094401664932768</v>
      </c>
      <c r="G2127">
        <f t="shared" si="169"/>
        <v>0.17719386515286945</v>
      </c>
    </row>
    <row r="2128" spans="1:7" x14ac:dyDescent="0.35">
      <c r="A2128">
        <v>2348</v>
      </c>
      <c r="B2128">
        <f t="shared" si="165"/>
        <v>1009.6479361775928</v>
      </c>
      <c r="C2128">
        <f t="shared" si="166"/>
        <v>1019388.9550276725</v>
      </c>
      <c r="D2128">
        <v>37703</v>
      </c>
      <c r="E2128">
        <f t="shared" si="167"/>
        <v>3.7703000000000002</v>
      </c>
      <c r="F2128">
        <f t="shared" si="168"/>
        <v>0.39044401664932771</v>
      </c>
      <c r="G2128">
        <f t="shared" si="169"/>
        <v>0.15244653013726051</v>
      </c>
    </row>
    <row r="2129" spans="1:7" x14ac:dyDescent="0.35">
      <c r="A2129">
        <v>2348</v>
      </c>
      <c r="B2129">
        <f t="shared" si="165"/>
        <v>1009.6479361775928</v>
      </c>
      <c r="C2129">
        <f t="shared" si="166"/>
        <v>1019388.9550276725</v>
      </c>
      <c r="D2129">
        <v>35890</v>
      </c>
      <c r="E2129">
        <f t="shared" si="167"/>
        <v>3.589</v>
      </c>
      <c r="F2129">
        <f t="shared" si="168"/>
        <v>0.20914401664932747</v>
      </c>
      <c r="G2129">
        <f t="shared" si="169"/>
        <v>4.3741219700214162E-2</v>
      </c>
    </row>
    <row r="2130" spans="1:7" x14ac:dyDescent="0.35">
      <c r="A2130">
        <v>2348</v>
      </c>
      <c r="B2130">
        <f t="shared" si="165"/>
        <v>1009.6479361775928</v>
      </c>
      <c r="C2130">
        <f t="shared" si="166"/>
        <v>1019388.9550276725</v>
      </c>
      <c r="D2130">
        <v>36224</v>
      </c>
      <c r="E2130">
        <f t="shared" si="167"/>
        <v>3.6223999999999998</v>
      </c>
      <c r="F2130">
        <f t="shared" si="168"/>
        <v>0.24254401664932734</v>
      </c>
      <c r="G2130">
        <f t="shared" si="169"/>
        <v>5.8827600012389181E-2</v>
      </c>
    </row>
    <row r="2131" spans="1:7" x14ac:dyDescent="0.35">
      <c r="A2131">
        <v>2348</v>
      </c>
      <c r="B2131">
        <f t="shared" si="165"/>
        <v>1009.6479361775928</v>
      </c>
      <c r="C2131">
        <f t="shared" si="166"/>
        <v>1019388.9550276725</v>
      </c>
      <c r="D2131">
        <v>36776</v>
      </c>
      <c r="E2131">
        <f t="shared" si="167"/>
        <v>3.6776</v>
      </c>
      <c r="F2131">
        <f t="shared" si="168"/>
        <v>0.29774401664932748</v>
      </c>
      <c r="G2131">
        <f t="shared" si="169"/>
        <v>8.8651499450474999E-2</v>
      </c>
    </row>
    <row r="2132" spans="1:7" x14ac:dyDescent="0.35">
      <c r="A2132">
        <v>2348</v>
      </c>
      <c r="B2132">
        <f t="shared" si="165"/>
        <v>1009.6479361775928</v>
      </c>
      <c r="C2132">
        <f t="shared" si="166"/>
        <v>1019388.9550276725</v>
      </c>
      <c r="D2132">
        <v>38448</v>
      </c>
      <c r="E2132">
        <f t="shared" si="167"/>
        <v>3.8448000000000002</v>
      </c>
      <c r="F2132">
        <f t="shared" si="168"/>
        <v>0.46494401664932772</v>
      </c>
      <c r="G2132">
        <f t="shared" si="169"/>
        <v>0.21617293861801032</v>
      </c>
    </row>
    <row r="2133" spans="1:7" x14ac:dyDescent="0.35">
      <c r="A2133">
        <v>2348</v>
      </c>
      <c r="B2133">
        <f t="shared" si="165"/>
        <v>1009.6479361775928</v>
      </c>
      <c r="C2133">
        <f t="shared" si="166"/>
        <v>1019388.9550276725</v>
      </c>
      <c r="D2133">
        <v>38852</v>
      </c>
      <c r="E2133">
        <f t="shared" si="167"/>
        <v>3.8852000000000002</v>
      </c>
      <c r="F2133">
        <f t="shared" si="168"/>
        <v>0.50534401664932771</v>
      </c>
      <c r="G2133">
        <f t="shared" si="169"/>
        <v>0.25537257516327599</v>
      </c>
    </row>
    <row r="2134" spans="1:7" x14ac:dyDescent="0.35">
      <c r="A2134">
        <v>2348</v>
      </c>
      <c r="B2134">
        <f t="shared" si="165"/>
        <v>1009.6479361775928</v>
      </c>
      <c r="C2134">
        <f t="shared" si="166"/>
        <v>1019388.9550276725</v>
      </c>
      <c r="D2134">
        <v>40019</v>
      </c>
      <c r="E2134">
        <f t="shared" si="167"/>
        <v>4.0019</v>
      </c>
      <c r="F2134">
        <f t="shared" si="168"/>
        <v>0.62204401664932751</v>
      </c>
      <c r="G2134">
        <f t="shared" si="169"/>
        <v>0.38693875864922883</v>
      </c>
    </row>
    <row r="2135" spans="1:7" x14ac:dyDescent="0.35">
      <c r="A2135">
        <v>2348</v>
      </c>
      <c r="B2135">
        <f t="shared" si="165"/>
        <v>1009.6479361775928</v>
      </c>
      <c r="C2135">
        <f t="shared" si="166"/>
        <v>1019388.9550276725</v>
      </c>
      <c r="D2135">
        <v>38980</v>
      </c>
      <c r="E2135">
        <f t="shared" si="167"/>
        <v>3.8980000000000001</v>
      </c>
      <c r="F2135">
        <f t="shared" si="168"/>
        <v>0.51814401664932763</v>
      </c>
      <c r="G2135">
        <f t="shared" si="169"/>
        <v>0.26847322198949869</v>
      </c>
    </row>
    <row r="2136" spans="1:7" x14ac:dyDescent="0.35">
      <c r="A2136">
        <v>2348</v>
      </c>
      <c r="B2136">
        <f t="shared" si="165"/>
        <v>1009.6479361775928</v>
      </c>
      <c r="C2136">
        <f t="shared" si="166"/>
        <v>1019388.9550276725</v>
      </c>
      <c r="D2136">
        <v>38690</v>
      </c>
      <c r="E2136">
        <f t="shared" si="167"/>
        <v>3.8690000000000002</v>
      </c>
      <c r="F2136">
        <f t="shared" si="168"/>
        <v>0.48914401664932772</v>
      </c>
      <c r="G2136">
        <f t="shared" si="169"/>
        <v>0.23926186902383778</v>
      </c>
    </row>
    <row r="2137" spans="1:7" x14ac:dyDescent="0.35">
      <c r="A2137">
        <v>854</v>
      </c>
      <c r="B2137">
        <f t="shared" si="165"/>
        <v>-484.35206382240722</v>
      </c>
      <c r="C2137">
        <f t="shared" si="166"/>
        <v>234596.92172902523</v>
      </c>
      <c r="D2137">
        <v>48355</v>
      </c>
      <c r="E2137">
        <f t="shared" si="167"/>
        <v>4.8354999999999997</v>
      </c>
      <c r="F2137">
        <f t="shared" si="168"/>
        <v>1.4556440166493272</v>
      </c>
      <c r="G2137">
        <f t="shared" si="169"/>
        <v>2.1188995032069866</v>
      </c>
    </row>
    <row r="2138" spans="1:7" x14ac:dyDescent="0.35">
      <c r="A2138">
        <v>854</v>
      </c>
      <c r="B2138">
        <f t="shared" si="165"/>
        <v>-484.35206382240722</v>
      </c>
      <c r="C2138">
        <f t="shared" si="166"/>
        <v>234596.92172902523</v>
      </c>
      <c r="D2138">
        <v>44630</v>
      </c>
      <c r="E2138">
        <f t="shared" si="167"/>
        <v>4.4630000000000001</v>
      </c>
      <c r="F2138">
        <f t="shared" si="168"/>
        <v>1.0831440166493276</v>
      </c>
      <c r="G2138">
        <f t="shared" si="169"/>
        <v>1.1732009608032388</v>
      </c>
    </row>
    <row r="2139" spans="1:7" x14ac:dyDescent="0.35">
      <c r="A2139">
        <v>854</v>
      </c>
      <c r="B2139">
        <f t="shared" si="165"/>
        <v>-484.35206382240722</v>
      </c>
      <c r="C2139">
        <f t="shared" si="166"/>
        <v>234596.92172902523</v>
      </c>
      <c r="D2139">
        <v>43215</v>
      </c>
      <c r="E2139">
        <f t="shared" si="167"/>
        <v>4.3215000000000003</v>
      </c>
      <c r="F2139">
        <f t="shared" si="168"/>
        <v>0.94164401664932784</v>
      </c>
      <c r="G2139">
        <f t="shared" si="169"/>
        <v>0.88669345409147959</v>
      </c>
    </row>
    <row r="2140" spans="1:7" x14ac:dyDescent="0.35">
      <c r="A2140">
        <v>854</v>
      </c>
      <c r="B2140">
        <f t="shared" si="165"/>
        <v>-484.35206382240722</v>
      </c>
      <c r="C2140">
        <f t="shared" si="166"/>
        <v>234596.92172902523</v>
      </c>
      <c r="D2140">
        <v>42899</v>
      </c>
      <c r="E2140">
        <f t="shared" si="167"/>
        <v>4.2899000000000003</v>
      </c>
      <c r="F2140">
        <f t="shared" si="168"/>
        <v>0.91004401664932777</v>
      </c>
      <c r="G2140">
        <f t="shared" si="169"/>
        <v>0.82818011223924193</v>
      </c>
    </row>
    <row r="2141" spans="1:7" x14ac:dyDescent="0.35">
      <c r="A2141">
        <v>854</v>
      </c>
      <c r="B2141">
        <f t="shared" si="165"/>
        <v>-484.35206382240722</v>
      </c>
      <c r="C2141">
        <f t="shared" si="166"/>
        <v>234596.92172902523</v>
      </c>
      <c r="D2141">
        <v>46142</v>
      </c>
      <c r="E2141">
        <f t="shared" si="167"/>
        <v>4.6142000000000003</v>
      </c>
      <c r="F2141">
        <f t="shared" si="168"/>
        <v>1.2343440166493278</v>
      </c>
      <c r="G2141">
        <f t="shared" si="169"/>
        <v>1.523605151437996</v>
      </c>
    </row>
    <row r="2142" spans="1:7" x14ac:dyDescent="0.35">
      <c r="A2142">
        <v>854</v>
      </c>
      <c r="B2142">
        <f t="shared" si="165"/>
        <v>-484.35206382240722</v>
      </c>
      <c r="C2142">
        <f t="shared" si="166"/>
        <v>234596.92172902523</v>
      </c>
      <c r="D2142">
        <v>50940</v>
      </c>
      <c r="E2142">
        <f t="shared" si="167"/>
        <v>5.0940000000000003</v>
      </c>
      <c r="F2142">
        <f t="shared" si="168"/>
        <v>1.7141440166493278</v>
      </c>
      <c r="G2142">
        <f t="shared" si="169"/>
        <v>2.9382897098146912</v>
      </c>
    </row>
    <row r="2143" spans="1:7" x14ac:dyDescent="0.35">
      <c r="A2143">
        <v>854</v>
      </c>
      <c r="B2143">
        <f t="shared" si="165"/>
        <v>-484.35206382240722</v>
      </c>
      <c r="C2143">
        <f t="shared" si="166"/>
        <v>234596.92172902523</v>
      </c>
      <c r="D2143">
        <v>51948</v>
      </c>
      <c r="E2143">
        <f t="shared" si="167"/>
        <v>5.1947999999999999</v>
      </c>
      <c r="F2143">
        <f t="shared" si="168"/>
        <v>1.8149440166493274</v>
      </c>
      <c r="G2143">
        <f t="shared" si="169"/>
        <v>3.294021783571194</v>
      </c>
    </row>
    <row r="2144" spans="1:7" x14ac:dyDescent="0.35">
      <c r="A2144">
        <v>854</v>
      </c>
      <c r="B2144">
        <f t="shared" si="165"/>
        <v>-484.35206382240722</v>
      </c>
      <c r="C2144">
        <f t="shared" si="166"/>
        <v>234596.92172902523</v>
      </c>
      <c r="D2144">
        <v>52273</v>
      </c>
      <c r="E2144">
        <f t="shared" si="167"/>
        <v>5.2272999999999996</v>
      </c>
      <c r="F2144">
        <f t="shared" si="168"/>
        <v>1.8474440166493271</v>
      </c>
      <c r="G2144">
        <f t="shared" si="169"/>
        <v>3.4130493946533993</v>
      </c>
    </row>
    <row r="2145" spans="1:7" x14ac:dyDescent="0.35">
      <c r="A2145">
        <v>854</v>
      </c>
      <c r="B2145">
        <f t="shared" si="165"/>
        <v>-484.35206382240722</v>
      </c>
      <c r="C2145">
        <f t="shared" si="166"/>
        <v>234596.92172902523</v>
      </c>
      <c r="D2145">
        <v>54776</v>
      </c>
      <c r="E2145">
        <f t="shared" si="167"/>
        <v>5.4775999999999998</v>
      </c>
      <c r="F2145">
        <f t="shared" si="168"/>
        <v>2.0977440166493273</v>
      </c>
      <c r="G2145">
        <f t="shared" si="169"/>
        <v>4.4005299593880531</v>
      </c>
    </row>
    <row r="2146" spans="1:7" x14ac:dyDescent="0.35">
      <c r="A2146">
        <v>854</v>
      </c>
      <c r="B2146">
        <f t="shared" si="165"/>
        <v>-484.35206382240722</v>
      </c>
      <c r="C2146">
        <f t="shared" si="166"/>
        <v>234596.92172902523</v>
      </c>
      <c r="D2146">
        <v>57329</v>
      </c>
      <c r="E2146">
        <f t="shared" si="167"/>
        <v>5.7328999999999999</v>
      </c>
      <c r="F2146">
        <f t="shared" si="168"/>
        <v>2.3530440166493274</v>
      </c>
      <c r="G2146">
        <f t="shared" si="169"/>
        <v>5.5368161442892001</v>
      </c>
    </row>
    <row r="2147" spans="1:7" x14ac:dyDescent="0.35">
      <c r="A2147">
        <v>854</v>
      </c>
      <c r="B2147">
        <f t="shared" si="165"/>
        <v>-484.35206382240722</v>
      </c>
      <c r="C2147">
        <f t="shared" si="166"/>
        <v>234596.92172902523</v>
      </c>
      <c r="D2147">
        <v>60906</v>
      </c>
      <c r="E2147">
        <f t="shared" si="167"/>
        <v>6.0906000000000002</v>
      </c>
      <c r="F2147">
        <f t="shared" si="168"/>
        <v>2.7107440166493277</v>
      </c>
      <c r="G2147">
        <f t="shared" si="169"/>
        <v>7.3481331238001308</v>
      </c>
    </row>
    <row r="2148" spans="1:7" x14ac:dyDescent="0.35">
      <c r="A2148">
        <v>854</v>
      </c>
      <c r="B2148">
        <f t="shared" si="165"/>
        <v>-484.35206382240722</v>
      </c>
      <c r="C2148">
        <f t="shared" si="166"/>
        <v>234596.92172902523</v>
      </c>
      <c r="D2148">
        <v>57529</v>
      </c>
      <c r="E2148">
        <f t="shared" si="167"/>
        <v>5.7529000000000003</v>
      </c>
      <c r="F2148">
        <f t="shared" si="168"/>
        <v>2.3730440166493278</v>
      </c>
      <c r="G2148">
        <f t="shared" si="169"/>
        <v>5.6313379049551751</v>
      </c>
    </row>
    <row r="2149" spans="1:7" x14ac:dyDescent="0.35">
      <c r="A2149">
        <v>854</v>
      </c>
      <c r="B2149">
        <f t="shared" si="165"/>
        <v>-484.35206382240722</v>
      </c>
      <c r="C2149">
        <f t="shared" si="166"/>
        <v>234596.92172902523</v>
      </c>
      <c r="D2149">
        <v>59872</v>
      </c>
      <c r="E2149">
        <f t="shared" si="167"/>
        <v>5.9871999999999996</v>
      </c>
      <c r="F2149">
        <f t="shared" si="168"/>
        <v>2.6073440166493271</v>
      </c>
      <c r="G2149">
        <f t="shared" si="169"/>
        <v>6.7982428211570465</v>
      </c>
    </row>
    <row r="2150" spans="1:7" x14ac:dyDescent="0.35">
      <c r="A2150">
        <v>854</v>
      </c>
      <c r="B2150">
        <f t="shared" si="165"/>
        <v>-484.35206382240722</v>
      </c>
      <c r="C2150">
        <f t="shared" si="166"/>
        <v>234596.92172902523</v>
      </c>
      <c r="D2150">
        <v>59924</v>
      </c>
      <c r="E2150">
        <f t="shared" si="167"/>
        <v>5.9923999999999999</v>
      </c>
      <c r="F2150">
        <f t="shared" si="168"/>
        <v>2.6125440166493274</v>
      </c>
      <c r="G2150">
        <f t="shared" si="169"/>
        <v>6.8253862389302009</v>
      </c>
    </row>
    <row r="2151" spans="1:7" x14ac:dyDescent="0.35">
      <c r="A2151">
        <v>854</v>
      </c>
      <c r="B2151">
        <f t="shared" si="165"/>
        <v>-484.35206382240722</v>
      </c>
      <c r="C2151">
        <f t="shared" si="166"/>
        <v>234596.92172902523</v>
      </c>
      <c r="D2151">
        <v>59772</v>
      </c>
      <c r="E2151">
        <f t="shared" si="167"/>
        <v>5.9771999999999998</v>
      </c>
      <c r="F2151">
        <f t="shared" si="168"/>
        <v>2.5973440166493273</v>
      </c>
      <c r="G2151">
        <f t="shared" si="169"/>
        <v>6.7461959408240615</v>
      </c>
    </row>
    <row r="2152" spans="1:7" x14ac:dyDescent="0.35">
      <c r="A2152">
        <v>854</v>
      </c>
      <c r="B2152">
        <f t="shared" si="165"/>
        <v>-484.35206382240722</v>
      </c>
      <c r="C2152">
        <f t="shared" si="166"/>
        <v>234596.92172902523</v>
      </c>
      <c r="D2152">
        <v>58523</v>
      </c>
      <c r="E2152">
        <f t="shared" si="167"/>
        <v>5.8522999999999996</v>
      </c>
      <c r="F2152">
        <f t="shared" si="168"/>
        <v>2.4724440166493271</v>
      </c>
      <c r="G2152">
        <f t="shared" si="169"/>
        <v>6.1129794154650581</v>
      </c>
    </row>
    <row r="2153" spans="1:7" x14ac:dyDescent="0.35">
      <c r="A2153">
        <v>854</v>
      </c>
      <c r="B2153">
        <f t="shared" si="165"/>
        <v>-484.35206382240722</v>
      </c>
      <c r="C2153">
        <f t="shared" si="166"/>
        <v>234596.92172902523</v>
      </c>
      <c r="D2153">
        <v>57862</v>
      </c>
      <c r="E2153">
        <f t="shared" si="167"/>
        <v>5.7862</v>
      </c>
      <c r="F2153">
        <f t="shared" si="168"/>
        <v>2.4063440166493275</v>
      </c>
      <c r="G2153">
        <f t="shared" si="169"/>
        <v>5.7904915264640193</v>
      </c>
    </row>
    <row r="2154" spans="1:7" x14ac:dyDescent="0.35">
      <c r="A2154">
        <v>854</v>
      </c>
      <c r="B2154">
        <f t="shared" si="165"/>
        <v>-484.35206382240722</v>
      </c>
      <c r="C2154">
        <f t="shared" si="166"/>
        <v>234596.92172902523</v>
      </c>
      <c r="D2154">
        <v>58527</v>
      </c>
      <c r="E2154">
        <f t="shared" si="167"/>
        <v>5.8526999999999996</v>
      </c>
      <c r="F2154">
        <f t="shared" si="168"/>
        <v>2.4728440166493271</v>
      </c>
      <c r="G2154">
        <f t="shared" si="169"/>
        <v>6.1149575306783772</v>
      </c>
    </row>
    <row r="2155" spans="1:7" x14ac:dyDescent="0.35">
      <c r="A2155">
        <v>854</v>
      </c>
      <c r="B2155">
        <f t="shared" si="165"/>
        <v>-484.35206382240722</v>
      </c>
      <c r="C2155">
        <f t="shared" si="166"/>
        <v>234596.92172902523</v>
      </c>
      <c r="D2155">
        <v>55044</v>
      </c>
      <c r="E2155">
        <f t="shared" si="167"/>
        <v>5.5044000000000004</v>
      </c>
      <c r="F2155">
        <f t="shared" si="168"/>
        <v>2.1245440166493279</v>
      </c>
      <c r="G2155">
        <f t="shared" si="169"/>
        <v>4.51368727868046</v>
      </c>
    </row>
    <row r="2156" spans="1:7" x14ac:dyDescent="0.35">
      <c r="A2156">
        <v>854</v>
      </c>
      <c r="B2156">
        <f t="shared" si="165"/>
        <v>-484.35206382240722</v>
      </c>
      <c r="C2156">
        <f t="shared" si="166"/>
        <v>234596.92172902523</v>
      </c>
      <c r="D2156">
        <v>58551</v>
      </c>
      <c r="E2156">
        <f t="shared" si="167"/>
        <v>5.8551000000000002</v>
      </c>
      <c r="F2156">
        <f t="shared" si="168"/>
        <v>2.4752440166493277</v>
      </c>
      <c r="G2156">
        <f t="shared" si="169"/>
        <v>6.1268329419582974</v>
      </c>
    </row>
    <row r="2157" spans="1:7" x14ac:dyDescent="0.35">
      <c r="A2157">
        <v>854</v>
      </c>
      <c r="B2157">
        <f t="shared" si="165"/>
        <v>-484.35206382240722</v>
      </c>
      <c r="C2157">
        <f t="shared" si="166"/>
        <v>234596.92172902523</v>
      </c>
      <c r="D2157">
        <v>58062</v>
      </c>
      <c r="E2157">
        <f t="shared" si="167"/>
        <v>5.8061999999999996</v>
      </c>
      <c r="F2157">
        <f t="shared" si="168"/>
        <v>2.4263440166493271</v>
      </c>
      <c r="G2157">
        <f t="shared" si="169"/>
        <v>5.8871452871299903</v>
      </c>
    </row>
    <row r="2158" spans="1:7" x14ac:dyDescent="0.35">
      <c r="A2158">
        <v>854</v>
      </c>
      <c r="B2158">
        <f t="shared" si="165"/>
        <v>-484.35206382240722</v>
      </c>
      <c r="C2158">
        <f t="shared" si="166"/>
        <v>234596.92172902523</v>
      </c>
      <c r="D2158">
        <v>57219</v>
      </c>
      <c r="E2158">
        <f t="shared" si="167"/>
        <v>5.7218999999999998</v>
      </c>
      <c r="F2158">
        <f t="shared" si="168"/>
        <v>2.3420440166493273</v>
      </c>
      <c r="G2158">
        <f t="shared" si="169"/>
        <v>5.4851701759229146</v>
      </c>
    </row>
    <row r="2159" spans="1:7" x14ac:dyDescent="0.35">
      <c r="A2159">
        <v>854</v>
      </c>
      <c r="B2159">
        <f t="shared" si="165"/>
        <v>-484.35206382240722</v>
      </c>
      <c r="C2159">
        <f t="shared" si="166"/>
        <v>234596.92172902523</v>
      </c>
      <c r="D2159">
        <v>56818</v>
      </c>
      <c r="E2159">
        <f t="shared" si="167"/>
        <v>5.6818</v>
      </c>
      <c r="F2159">
        <f t="shared" si="168"/>
        <v>2.3019440166493275</v>
      </c>
      <c r="G2159">
        <f t="shared" si="169"/>
        <v>5.298946255787639</v>
      </c>
    </row>
    <row r="2160" spans="1:7" x14ac:dyDescent="0.35">
      <c r="A2160">
        <v>854</v>
      </c>
      <c r="B2160">
        <f t="shared" si="165"/>
        <v>-484.35206382240722</v>
      </c>
      <c r="C2160">
        <f t="shared" si="166"/>
        <v>234596.92172902523</v>
      </c>
      <c r="D2160">
        <v>58453</v>
      </c>
      <c r="E2160">
        <f t="shared" si="167"/>
        <v>5.8452999999999999</v>
      </c>
      <c r="F2160">
        <f t="shared" si="168"/>
        <v>2.4654440166493274</v>
      </c>
      <c r="G2160">
        <f t="shared" si="169"/>
        <v>6.0784141992319691</v>
      </c>
    </row>
    <row r="2161" spans="1:7" x14ac:dyDescent="0.35">
      <c r="A2161">
        <v>854</v>
      </c>
      <c r="B2161">
        <f t="shared" si="165"/>
        <v>-484.35206382240722</v>
      </c>
      <c r="C2161">
        <f t="shared" si="166"/>
        <v>234596.92172902523</v>
      </c>
      <c r="D2161">
        <v>58855</v>
      </c>
      <c r="E2161">
        <f t="shared" si="167"/>
        <v>5.8855000000000004</v>
      </c>
      <c r="F2161">
        <f t="shared" si="168"/>
        <v>2.5056440166493279</v>
      </c>
      <c r="G2161">
        <f t="shared" si="169"/>
        <v>6.2782519381705777</v>
      </c>
    </row>
    <row r="2162" spans="1:7" x14ac:dyDescent="0.35">
      <c r="A2162">
        <v>854</v>
      </c>
      <c r="B2162">
        <f t="shared" si="165"/>
        <v>-484.35206382240722</v>
      </c>
      <c r="C2162">
        <f t="shared" si="166"/>
        <v>234596.92172902523</v>
      </c>
      <c r="D2162">
        <v>59995</v>
      </c>
      <c r="E2162">
        <f t="shared" si="167"/>
        <v>5.9995000000000003</v>
      </c>
      <c r="F2162">
        <f t="shared" si="168"/>
        <v>2.6196440166493278</v>
      </c>
      <c r="G2162">
        <f t="shared" si="169"/>
        <v>6.8625347739666234</v>
      </c>
    </row>
    <row r="2163" spans="1:7" x14ac:dyDescent="0.35">
      <c r="A2163">
        <v>854</v>
      </c>
      <c r="B2163">
        <f t="shared" si="165"/>
        <v>-484.35206382240722</v>
      </c>
      <c r="C2163">
        <f t="shared" si="166"/>
        <v>234596.92172902523</v>
      </c>
      <c r="D2163">
        <v>59699</v>
      </c>
      <c r="E2163">
        <f t="shared" si="167"/>
        <v>5.9699</v>
      </c>
      <c r="F2163">
        <f t="shared" si="168"/>
        <v>2.5900440166493275</v>
      </c>
      <c r="G2163">
        <f t="shared" si="169"/>
        <v>6.708328008180982</v>
      </c>
    </row>
    <row r="2164" spans="1:7" x14ac:dyDescent="0.35">
      <c r="A2164">
        <v>854</v>
      </c>
      <c r="B2164">
        <f t="shared" si="165"/>
        <v>-484.35206382240722</v>
      </c>
      <c r="C2164">
        <f t="shared" si="166"/>
        <v>234596.92172902523</v>
      </c>
      <c r="D2164">
        <v>58191</v>
      </c>
      <c r="E2164">
        <f t="shared" si="167"/>
        <v>5.8190999999999997</v>
      </c>
      <c r="F2164">
        <f t="shared" si="168"/>
        <v>2.4392440166493272</v>
      </c>
      <c r="G2164">
        <f t="shared" si="169"/>
        <v>5.9499113727595434</v>
      </c>
    </row>
    <row r="2165" spans="1:7" x14ac:dyDescent="0.35">
      <c r="A2165">
        <v>854</v>
      </c>
      <c r="B2165">
        <f t="shared" si="165"/>
        <v>-484.35206382240722</v>
      </c>
      <c r="C2165">
        <f t="shared" si="166"/>
        <v>234596.92172902523</v>
      </c>
      <c r="D2165">
        <v>63454</v>
      </c>
      <c r="E2165">
        <f t="shared" si="167"/>
        <v>6.3453999999999997</v>
      </c>
      <c r="F2165">
        <f t="shared" si="168"/>
        <v>2.9655440166493272</v>
      </c>
      <c r="G2165">
        <f t="shared" si="169"/>
        <v>8.7944513146846255</v>
      </c>
    </row>
    <row r="2166" spans="1:7" x14ac:dyDescent="0.35">
      <c r="A2166">
        <v>854</v>
      </c>
      <c r="B2166">
        <f t="shared" si="165"/>
        <v>-484.35206382240722</v>
      </c>
      <c r="C2166">
        <f t="shared" si="166"/>
        <v>234596.92172902523</v>
      </c>
      <c r="D2166">
        <v>58077</v>
      </c>
      <c r="E2166">
        <f t="shared" si="167"/>
        <v>5.8076999999999996</v>
      </c>
      <c r="F2166">
        <f t="shared" si="168"/>
        <v>2.4278440166493271</v>
      </c>
      <c r="G2166">
        <f t="shared" si="169"/>
        <v>5.894426569179938</v>
      </c>
    </row>
    <row r="2167" spans="1:7" x14ac:dyDescent="0.35">
      <c r="A2167">
        <v>2054</v>
      </c>
      <c r="B2167">
        <f t="shared" si="165"/>
        <v>715.64793617759278</v>
      </c>
      <c r="C2167">
        <f t="shared" si="166"/>
        <v>512151.96855524794</v>
      </c>
      <c r="D2167">
        <v>30212</v>
      </c>
      <c r="E2167">
        <f t="shared" si="167"/>
        <v>3.0211999999999999</v>
      </c>
      <c r="F2167">
        <f t="shared" si="168"/>
        <v>-0.35865598335067261</v>
      </c>
      <c r="G2167">
        <f t="shared" si="169"/>
        <v>0.12863411439323796</v>
      </c>
    </row>
    <row r="2168" spans="1:7" x14ac:dyDescent="0.35">
      <c r="A2168">
        <v>2054</v>
      </c>
      <c r="B2168">
        <f t="shared" si="165"/>
        <v>715.64793617759278</v>
      </c>
      <c r="C2168">
        <f t="shared" si="166"/>
        <v>512151.96855524794</v>
      </c>
      <c r="D2168">
        <v>32582</v>
      </c>
      <c r="E2168">
        <f t="shared" si="167"/>
        <v>3.2582</v>
      </c>
      <c r="F2168">
        <f t="shared" si="168"/>
        <v>-0.12165598335067251</v>
      </c>
      <c r="G2168">
        <f t="shared" si="169"/>
        <v>1.4800178285019108E-2</v>
      </c>
    </row>
    <row r="2169" spans="1:7" x14ac:dyDescent="0.35">
      <c r="A2169">
        <v>2054</v>
      </c>
      <c r="B2169">
        <f t="shared" si="165"/>
        <v>715.64793617759278</v>
      </c>
      <c r="C2169">
        <f t="shared" si="166"/>
        <v>512151.96855524794</v>
      </c>
      <c r="D2169">
        <v>30262</v>
      </c>
      <c r="E2169">
        <f t="shared" si="167"/>
        <v>3.0261999999999998</v>
      </c>
      <c r="F2169">
        <f t="shared" si="168"/>
        <v>-0.35365598335067272</v>
      </c>
      <c r="G2169">
        <f t="shared" si="169"/>
        <v>0.12507255455973129</v>
      </c>
    </row>
    <row r="2170" spans="1:7" x14ac:dyDescent="0.35">
      <c r="A2170">
        <v>2054</v>
      </c>
      <c r="B2170">
        <f t="shared" si="165"/>
        <v>715.64793617759278</v>
      </c>
      <c r="C2170">
        <f t="shared" si="166"/>
        <v>512151.96855524794</v>
      </c>
      <c r="D2170">
        <v>32000</v>
      </c>
      <c r="E2170">
        <f t="shared" si="167"/>
        <v>3.2</v>
      </c>
      <c r="F2170">
        <f t="shared" si="168"/>
        <v>-0.17985598335067232</v>
      </c>
      <c r="G2170">
        <f t="shared" si="169"/>
        <v>3.2348174747037321E-2</v>
      </c>
    </row>
    <row r="2171" spans="1:7" x14ac:dyDescent="0.35">
      <c r="A2171">
        <v>2054</v>
      </c>
      <c r="B2171">
        <f t="shared" si="165"/>
        <v>715.64793617759278</v>
      </c>
      <c r="C2171">
        <f t="shared" si="166"/>
        <v>512151.96855524794</v>
      </c>
      <c r="D2171">
        <v>14266</v>
      </c>
      <c r="E2171">
        <f t="shared" si="167"/>
        <v>1.4266000000000001</v>
      </c>
      <c r="F2171">
        <f t="shared" si="168"/>
        <v>-1.9532559833506724</v>
      </c>
      <c r="G2171">
        <f t="shared" si="169"/>
        <v>3.8152089364952024</v>
      </c>
    </row>
    <row r="2172" spans="1:7" x14ac:dyDescent="0.35">
      <c r="A2172">
        <v>2054</v>
      </c>
      <c r="B2172">
        <f t="shared" si="165"/>
        <v>715.64793617759278</v>
      </c>
      <c r="C2172">
        <f t="shared" si="166"/>
        <v>512151.96855524794</v>
      </c>
      <c r="D2172">
        <v>14325</v>
      </c>
      <c r="E2172">
        <f t="shared" si="167"/>
        <v>1.4325000000000001</v>
      </c>
      <c r="F2172">
        <f t="shared" si="168"/>
        <v>-1.9473559833506724</v>
      </c>
      <c r="G2172">
        <f t="shared" si="169"/>
        <v>3.7921953258916643</v>
      </c>
    </row>
    <row r="2173" spans="1:7" x14ac:dyDescent="0.35">
      <c r="A2173">
        <v>2054</v>
      </c>
      <c r="B2173">
        <f t="shared" si="165"/>
        <v>715.64793617759278</v>
      </c>
      <c r="C2173">
        <f t="shared" si="166"/>
        <v>512151.96855524794</v>
      </c>
      <c r="D2173">
        <v>14384</v>
      </c>
      <c r="E2173">
        <f t="shared" si="167"/>
        <v>1.4383999999999999</v>
      </c>
      <c r="F2173">
        <f t="shared" si="168"/>
        <v>-1.9414559833506726</v>
      </c>
      <c r="G2173">
        <f t="shared" si="169"/>
        <v>3.7692513352881272</v>
      </c>
    </row>
    <row r="2174" spans="1:7" x14ac:dyDescent="0.35">
      <c r="A2174">
        <v>2054</v>
      </c>
      <c r="B2174">
        <f t="shared" si="165"/>
        <v>715.64793617759278</v>
      </c>
      <c r="C2174">
        <f t="shared" si="166"/>
        <v>512151.96855524794</v>
      </c>
      <c r="D2174">
        <v>14444</v>
      </c>
      <c r="E2174">
        <f t="shared" si="167"/>
        <v>1.4443999999999999</v>
      </c>
      <c r="F2174">
        <f t="shared" si="168"/>
        <v>-1.9354559833506726</v>
      </c>
      <c r="G2174">
        <f t="shared" si="169"/>
        <v>3.7459898634879192</v>
      </c>
    </row>
    <row r="2175" spans="1:7" x14ac:dyDescent="0.35">
      <c r="A2175">
        <v>2054</v>
      </c>
      <c r="B2175">
        <f t="shared" si="165"/>
        <v>715.64793617759278</v>
      </c>
      <c r="C2175">
        <f t="shared" si="166"/>
        <v>512151.96855524794</v>
      </c>
      <c r="D2175">
        <v>14503</v>
      </c>
      <c r="E2175">
        <f t="shared" si="167"/>
        <v>1.4502999999999999</v>
      </c>
      <c r="F2175">
        <f t="shared" si="168"/>
        <v>-1.9295559833506726</v>
      </c>
      <c r="G2175">
        <f t="shared" si="169"/>
        <v>3.7231862928843809</v>
      </c>
    </row>
    <row r="2176" spans="1:7" x14ac:dyDescent="0.35">
      <c r="A2176">
        <v>2054</v>
      </c>
      <c r="B2176">
        <f t="shared" si="165"/>
        <v>715.64793617759278</v>
      </c>
      <c r="C2176">
        <f t="shared" si="166"/>
        <v>512151.96855524794</v>
      </c>
      <c r="D2176">
        <v>14760</v>
      </c>
      <c r="E2176">
        <f t="shared" si="167"/>
        <v>1.476</v>
      </c>
      <c r="F2176">
        <f t="shared" si="168"/>
        <v>-1.9038559833506725</v>
      </c>
      <c r="G2176">
        <f t="shared" si="169"/>
        <v>3.6246676053401563</v>
      </c>
    </row>
    <row r="2177" spans="1:7" x14ac:dyDescent="0.35">
      <c r="A2177">
        <v>2054</v>
      </c>
      <c r="B2177">
        <f t="shared" si="165"/>
        <v>715.64793617759278</v>
      </c>
      <c r="C2177">
        <f t="shared" si="166"/>
        <v>512151.96855524794</v>
      </c>
      <c r="D2177">
        <v>15547</v>
      </c>
      <c r="E2177">
        <f t="shared" si="167"/>
        <v>1.5547</v>
      </c>
      <c r="F2177">
        <f t="shared" si="168"/>
        <v>-1.8251559833506725</v>
      </c>
      <c r="G2177">
        <f t="shared" si="169"/>
        <v>3.3311943635607606</v>
      </c>
    </row>
    <row r="2178" spans="1:7" x14ac:dyDescent="0.35">
      <c r="A2178">
        <v>2054</v>
      </c>
      <c r="B2178">
        <f t="shared" si="165"/>
        <v>715.64793617759278</v>
      </c>
      <c r="C2178">
        <f t="shared" si="166"/>
        <v>512151.96855524794</v>
      </c>
      <c r="D2178">
        <v>15744</v>
      </c>
      <c r="E2178">
        <f t="shared" si="167"/>
        <v>1.5744</v>
      </c>
      <c r="F2178">
        <f t="shared" si="168"/>
        <v>-1.8054559833506725</v>
      </c>
      <c r="G2178">
        <f t="shared" si="169"/>
        <v>3.2596713078167436</v>
      </c>
    </row>
    <row r="2179" spans="1:7" x14ac:dyDescent="0.35">
      <c r="A2179">
        <v>2054</v>
      </c>
      <c r="B2179">
        <f t="shared" ref="B2179:B2242" si="170">A2179-$J$1</f>
        <v>715.64793617759278</v>
      </c>
      <c r="C2179">
        <f t="shared" ref="C2179:C2242" si="171">B2179^2</f>
        <v>512151.96855524794</v>
      </c>
      <c r="D2179">
        <v>15941</v>
      </c>
      <c r="E2179">
        <f t="shared" ref="E2179:E2242" si="172">D2179/10000</f>
        <v>1.5941000000000001</v>
      </c>
      <c r="F2179">
        <f t="shared" ref="F2179:F2242" si="173">E2179-$J$2</f>
        <v>-1.7857559833506724</v>
      </c>
      <c r="G2179">
        <f t="shared" ref="G2179:G2242" si="174">F2179^2</f>
        <v>3.188924432072727</v>
      </c>
    </row>
    <row r="2180" spans="1:7" x14ac:dyDescent="0.35">
      <c r="A2180">
        <v>2054</v>
      </c>
      <c r="B2180">
        <f t="shared" si="170"/>
        <v>715.64793617759278</v>
      </c>
      <c r="C2180">
        <f t="shared" si="171"/>
        <v>512151.96855524794</v>
      </c>
      <c r="D2180">
        <v>16138</v>
      </c>
      <c r="E2180">
        <f t="shared" si="172"/>
        <v>1.6137999999999999</v>
      </c>
      <c r="F2180">
        <f t="shared" si="173"/>
        <v>-1.7660559833506726</v>
      </c>
      <c r="G2180">
        <f t="shared" si="174"/>
        <v>3.1189537363287112</v>
      </c>
    </row>
    <row r="2181" spans="1:7" x14ac:dyDescent="0.35">
      <c r="A2181">
        <v>2054</v>
      </c>
      <c r="B2181">
        <f t="shared" si="170"/>
        <v>715.64793617759278</v>
      </c>
      <c r="C2181">
        <f t="shared" si="171"/>
        <v>512151.96855524794</v>
      </c>
      <c r="D2181">
        <v>13977</v>
      </c>
      <c r="E2181">
        <f t="shared" si="172"/>
        <v>1.3976999999999999</v>
      </c>
      <c r="F2181">
        <f t="shared" si="173"/>
        <v>-1.9821559833506726</v>
      </c>
      <c r="G2181">
        <f t="shared" si="174"/>
        <v>3.9289423423328715</v>
      </c>
    </row>
    <row r="2182" spans="1:7" x14ac:dyDescent="0.35">
      <c r="A2182">
        <v>2054</v>
      </c>
      <c r="B2182">
        <f t="shared" si="170"/>
        <v>715.64793617759278</v>
      </c>
      <c r="C2182">
        <f t="shared" si="171"/>
        <v>512151.96855524794</v>
      </c>
      <c r="D2182">
        <v>13536</v>
      </c>
      <c r="E2182">
        <f t="shared" si="172"/>
        <v>1.3535999999999999</v>
      </c>
      <c r="F2182">
        <f t="shared" si="173"/>
        <v>-2.0262559833506728</v>
      </c>
      <c r="G2182">
        <f t="shared" si="174"/>
        <v>4.1057133100644023</v>
      </c>
    </row>
    <row r="2183" spans="1:7" x14ac:dyDescent="0.35">
      <c r="A2183">
        <v>2054</v>
      </c>
      <c r="B2183">
        <f t="shared" si="170"/>
        <v>715.64793617759278</v>
      </c>
      <c r="C2183">
        <f t="shared" si="171"/>
        <v>512151.96855524794</v>
      </c>
      <c r="D2183">
        <v>19729</v>
      </c>
      <c r="E2183">
        <f t="shared" si="172"/>
        <v>1.9729000000000001</v>
      </c>
      <c r="F2183">
        <f t="shared" si="173"/>
        <v>-1.4069559833506724</v>
      </c>
      <c r="G2183">
        <f t="shared" si="174"/>
        <v>1.9795251390862576</v>
      </c>
    </row>
    <row r="2184" spans="1:7" x14ac:dyDescent="0.35">
      <c r="A2184">
        <v>2054</v>
      </c>
      <c r="B2184">
        <f t="shared" si="170"/>
        <v>715.64793617759278</v>
      </c>
      <c r="C2184">
        <f t="shared" si="171"/>
        <v>512151.96855524794</v>
      </c>
      <c r="D2184">
        <v>30004</v>
      </c>
      <c r="E2184">
        <f t="shared" si="172"/>
        <v>3.0004</v>
      </c>
      <c r="F2184">
        <f t="shared" si="173"/>
        <v>-0.37945598335067254</v>
      </c>
      <c r="G2184">
        <f t="shared" si="174"/>
        <v>0.14398684330062589</v>
      </c>
    </row>
    <row r="2185" spans="1:7" x14ac:dyDescent="0.35">
      <c r="A2185">
        <v>2054</v>
      </c>
      <c r="B2185">
        <f t="shared" si="170"/>
        <v>715.64793617759278</v>
      </c>
      <c r="C2185">
        <f t="shared" si="171"/>
        <v>512151.96855524794</v>
      </c>
      <c r="D2185">
        <v>33724</v>
      </c>
      <c r="E2185">
        <f t="shared" si="172"/>
        <v>3.3723999999999998</v>
      </c>
      <c r="F2185">
        <f t="shared" si="173"/>
        <v>-7.4559833506726569E-3</v>
      </c>
      <c r="G2185">
        <f t="shared" si="174"/>
        <v>5.5591687725507859E-5</v>
      </c>
    </row>
    <row r="2186" spans="1:7" x14ac:dyDescent="0.35">
      <c r="A2186">
        <v>637</v>
      </c>
      <c r="B2186">
        <f t="shared" si="170"/>
        <v>-701.35206382240722</v>
      </c>
      <c r="C2186">
        <f t="shared" si="171"/>
        <v>491894.71742794994</v>
      </c>
      <c r="D2186">
        <v>36436</v>
      </c>
      <c r="E2186">
        <f t="shared" si="172"/>
        <v>3.6436000000000002</v>
      </c>
      <c r="F2186">
        <f t="shared" si="173"/>
        <v>0.26374401664932767</v>
      </c>
      <c r="G2186">
        <f t="shared" si="174"/>
        <v>6.9560906318320834E-2</v>
      </c>
    </row>
    <row r="2187" spans="1:7" x14ac:dyDescent="0.35">
      <c r="A2187">
        <v>637</v>
      </c>
      <c r="B2187">
        <f t="shared" si="170"/>
        <v>-701.35206382240722</v>
      </c>
      <c r="C2187">
        <f t="shared" si="171"/>
        <v>491894.71742794994</v>
      </c>
      <c r="D2187">
        <v>35324</v>
      </c>
      <c r="E2187">
        <f t="shared" si="172"/>
        <v>3.5324</v>
      </c>
      <c r="F2187">
        <f t="shared" si="173"/>
        <v>0.15254401664932749</v>
      </c>
      <c r="G2187">
        <f t="shared" si="174"/>
        <v>2.32696770155103E-2</v>
      </c>
    </row>
    <row r="2188" spans="1:7" x14ac:dyDescent="0.35">
      <c r="A2188">
        <v>637</v>
      </c>
      <c r="B2188">
        <f t="shared" si="170"/>
        <v>-701.35206382240722</v>
      </c>
      <c r="C2188">
        <f t="shared" si="171"/>
        <v>491894.71742794994</v>
      </c>
      <c r="D2188">
        <v>25839</v>
      </c>
      <c r="E2188">
        <f t="shared" si="172"/>
        <v>2.5838999999999999</v>
      </c>
      <c r="F2188">
        <f t="shared" si="173"/>
        <v>-0.79595598335067264</v>
      </c>
      <c r="G2188">
        <f t="shared" si="174"/>
        <v>0.63354592743173621</v>
      </c>
    </row>
    <row r="2189" spans="1:7" x14ac:dyDescent="0.35">
      <c r="A2189">
        <v>637</v>
      </c>
      <c r="B2189">
        <f t="shared" si="170"/>
        <v>-701.35206382240722</v>
      </c>
      <c r="C2189">
        <f t="shared" si="171"/>
        <v>491894.71742794994</v>
      </c>
      <c r="D2189">
        <v>14239</v>
      </c>
      <c r="E2189">
        <f t="shared" si="172"/>
        <v>1.4238999999999999</v>
      </c>
      <c r="F2189">
        <f t="shared" si="173"/>
        <v>-1.9559559833506726</v>
      </c>
      <c r="G2189">
        <f t="shared" si="174"/>
        <v>3.8257638088052963</v>
      </c>
    </row>
    <row r="2190" spans="1:7" x14ac:dyDescent="0.35">
      <c r="A2190">
        <v>637</v>
      </c>
      <c r="B2190">
        <f t="shared" si="170"/>
        <v>-701.35206382240722</v>
      </c>
      <c r="C2190">
        <f t="shared" si="171"/>
        <v>491894.71742794994</v>
      </c>
      <c r="D2190">
        <v>16667</v>
      </c>
      <c r="E2190">
        <f t="shared" si="172"/>
        <v>1.6667000000000001</v>
      </c>
      <c r="F2190">
        <f t="shared" si="173"/>
        <v>-1.7131559833506724</v>
      </c>
      <c r="G2190">
        <f t="shared" si="174"/>
        <v>2.9349034232902094</v>
      </c>
    </row>
    <row r="2191" spans="1:7" x14ac:dyDescent="0.35">
      <c r="A2191">
        <v>637</v>
      </c>
      <c r="B2191">
        <f t="shared" si="170"/>
        <v>-701.35206382240722</v>
      </c>
      <c r="C2191">
        <f t="shared" si="171"/>
        <v>491894.71742794994</v>
      </c>
      <c r="D2191">
        <v>14560</v>
      </c>
      <c r="E2191">
        <f t="shared" si="172"/>
        <v>1.456</v>
      </c>
      <c r="F2191">
        <f t="shared" si="173"/>
        <v>-1.9238559833506725</v>
      </c>
      <c r="G2191">
        <f t="shared" si="174"/>
        <v>3.7012218446741834</v>
      </c>
    </row>
    <row r="2192" spans="1:7" x14ac:dyDescent="0.35">
      <c r="A2192">
        <v>637</v>
      </c>
      <c r="B2192">
        <f t="shared" si="170"/>
        <v>-701.35206382240722</v>
      </c>
      <c r="C2192">
        <f t="shared" si="171"/>
        <v>491894.71742794994</v>
      </c>
      <c r="D2192">
        <v>23742</v>
      </c>
      <c r="E2192">
        <f t="shared" si="172"/>
        <v>2.3742000000000001</v>
      </c>
      <c r="F2192">
        <f t="shared" si="173"/>
        <v>-1.0056559833506724</v>
      </c>
      <c r="G2192">
        <f t="shared" si="174"/>
        <v>1.0113439568490079</v>
      </c>
    </row>
    <row r="2193" spans="1:7" x14ac:dyDescent="0.35">
      <c r="A2193">
        <v>637</v>
      </c>
      <c r="B2193">
        <f t="shared" si="170"/>
        <v>-701.35206382240722</v>
      </c>
      <c r="C2193">
        <f t="shared" si="171"/>
        <v>491894.71742794994</v>
      </c>
      <c r="D2193">
        <v>30351</v>
      </c>
      <c r="E2193">
        <f t="shared" si="172"/>
        <v>3.0350999999999999</v>
      </c>
      <c r="F2193">
        <f t="shared" si="173"/>
        <v>-0.34475598335067259</v>
      </c>
      <c r="G2193">
        <f t="shared" si="174"/>
        <v>0.11885668805608923</v>
      </c>
    </row>
    <row r="2194" spans="1:7" x14ac:dyDescent="0.35">
      <c r="A2194">
        <v>637</v>
      </c>
      <c r="B2194">
        <f t="shared" si="170"/>
        <v>-701.35206382240722</v>
      </c>
      <c r="C2194">
        <f t="shared" si="171"/>
        <v>491894.71742794994</v>
      </c>
      <c r="D2194">
        <v>32835</v>
      </c>
      <c r="E2194">
        <f t="shared" si="172"/>
        <v>3.2835000000000001</v>
      </c>
      <c r="F2194">
        <f t="shared" si="173"/>
        <v>-9.6355983350672414E-2</v>
      </c>
      <c r="G2194">
        <f t="shared" si="174"/>
        <v>9.2844755274750588E-3</v>
      </c>
    </row>
    <row r="2195" spans="1:7" x14ac:dyDescent="0.35">
      <c r="A2195">
        <v>637</v>
      </c>
      <c r="B2195">
        <f t="shared" si="170"/>
        <v>-701.35206382240722</v>
      </c>
      <c r="C2195">
        <f t="shared" si="171"/>
        <v>491894.71742794994</v>
      </c>
      <c r="D2195">
        <v>39030</v>
      </c>
      <c r="E2195">
        <f t="shared" si="172"/>
        <v>3.903</v>
      </c>
      <c r="F2195">
        <f t="shared" si="173"/>
        <v>0.52314401664932753</v>
      </c>
      <c r="G2195">
        <f t="shared" si="174"/>
        <v>0.27367966215599188</v>
      </c>
    </row>
    <row r="2196" spans="1:7" x14ac:dyDescent="0.35">
      <c r="A2196">
        <v>637</v>
      </c>
      <c r="B2196">
        <f t="shared" si="170"/>
        <v>-701.35206382240722</v>
      </c>
      <c r="C2196">
        <f t="shared" si="171"/>
        <v>491894.71742794994</v>
      </c>
      <c r="D2196">
        <v>27075</v>
      </c>
      <c r="E2196">
        <f t="shared" si="172"/>
        <v>2.7075</v>
      </c>
      <c r="F2196">
        <f t="shared" si="173"/>
        <v>-0.67235598335067248</v>
      </c>
      <c r="G2196">
        <f t="shared" si="174"/>
        <v>0.45206256834744979</v>
      </c>
    </row>
    <row r="2197" spans="1:7" x14ac:dyDescent="0.35">
      <c r="A2197">
        <v>637</v>
      </c>
      <c r="B2197">
        <f t="shared" si="170"/>
        <v>-701.35206382240722</v>
      </c>
      <c r="C2197">
        <f t="shared" si="171"/>
        <v>491894.71742794994</v>
      </c>
      <c r="D2197">
        <v>26766</v>
      </c>
      <c r="E2197">
        <f t="shared" si="172"/>
        <v>2.6766000000000001</v>
      </c>
      <c r="F2197">
        <f t="shared" si="173"/>
        <v>-0.70325598335067241</v>
      </c>
      <c r="G2197">
        <f t="shared" si="174"/>
        <v>0.49456897811852124</v>
      </c>
    </row>
    <row r="2198" spans="1:7" x14ac:dyDescent="0.35">
      <c r="A2198">
        <v>637</v>
      </c>
      <c r="B2198">
        <f t="shared" si="170"/>
        <v>-701.35206382240722</v>
      </c>
      <c r="C2198">
        <f t="shared" si="171"/>
        <v>491894.71742794994</v>
      </c>
      <c r="D2198">
        <v>29791</v>
      </c>
      <c r="E2198">
        <f t="shared" si="172"/>
        <v>2.9790999999999999</v>
      </c>
      <c r="F2198">
        <f t="shared" si="173"/>
        <v>-0.40075598335067264</v>
      </c>
      <c r="G2198">
        <f t="shared" si="174"/>
        <v>0.16060535819136459</v>
      </c>
    </row>
    <row r="2199" spans="1:7" x14ac:dyDescent="0.35">
      <c r="A2199">
        <v>637</v>
      </c>
      <c r="B2199">
        <f t="shared" si="170"/>
        <v>-701.35206382240722</v>
      </c>
      <c r="C2199">
        <f t="shared" si="171"/>
        <v>491894.71742794994</v>
      </c>
      <c r="D2199">
        <v>24427</v>
      </c>
      <c r="E2199">
        <f t="shared" si="172"/>
        <v>2.4426999999999999</v>
      </c>
      <c r="F2199">
        <f t="shared" si="173"/>
        <v>-0.93715598335067263</v>
      </c>
      <c r="G2199">
        <f t="shared" si="174"/>
        <v>0.87826133712996624</v>
      </c>
    </row>
    <row r="2200" spans="1:7" x14ac:dyDescent="0.35">
      <c r="A2200">
        <v>637</v>
      </c>
      <c r="B2200">
        <f t="shared" si="170"/>
        <v>-701.35206382240722</v>
      </c>
      <c r="C2200">
        <f t="shared" si="171"/>
        <v>491894.71742794994</v>
      </c>
      <c r="D2200">
        <v>26441</v>
      </c>
      <c r="E2200">
        <f t="shared" si="172"/>
        <v>2.6440999999999999</v>
      </c>
      <c r="F2200">
        <f t="shared" si="173"/>
        <v>-0.7357559833506726</v>
      </c>
      <c r="G2200">
        <f t="shared" si="174"/>
        <v>0.54133686703631523</v>
      </c>
    </row>
    <row r="2201" spans="1:7" x14ac:dyDescent="0.35">
      <c r="A2201">
        <v>637</v>
      </c>
      <c r="B2201">
        <f t="shared" si="170"/>
        <v>-701.35206382240722</v>
      </c>
      <c r="C2201">
        <f t="shared" si="171"/>
        <v>491894.71742794994</v>
      </c>
      <c r="D2201">
        <v>12632</v>
      </c>
      <c r="E2201">
        <f t="shared" si="172"/>
        <v>1.2632000000000001</v>
      </c>
      <c r="F2201">
        <f t="shared" si="173"/>
        <v>-2.1166559833506726</v>
      </c>
      <c r="G2201">
        <f t="shared" si="174"/>
        <v>4.4802325518542032</v>
      </c>
    </row>
    <row r="2202" spans="1:7" x14ac:dyDescent="0.35">
      <c r="A2202">
        <v>637</v>
      </c>
      <c r="B2202">
        <f t="shared" si="170"/>
        <v>-701.35206382240722</v>
      </c>
      <c r="C2202">
        <f t="shared" si="171"/>
        <v>491894.71742794994</v>
      </c>
      <c r="D2202">
        <v>12839</v>
      </c>
      <c r="E2202">
        <f t="shared" si="172"/>
        <v>1.2839</v>
      </c>
      <c r="F2202">
        <f t="shared" si="173"/>
        <v>-2.0959559833506725</v>
      </c>
      <c r="G2202">
        <f t="shared" si="174"/>
        <v>4.3930314841434841</v>
      </c>
    </row>
    <row r="2203" spans="1:7" x14ac:dyDescent="0.35">
      <c r="A2203">
        <v>637</v>
      </c>
      <c r="B2203">
        <f t="shared" si="170"/>
        <v>-701.35206382240722</v>
      </c>
      <c r="C2203">
        <f t="shared" si="171"/>
        <v>491894.71742794994</v>
      </c>
      <c r="D2203">
        <v>40056</v>
      </c>
      <c r="E2203">
        <f t="shared" si="172"/>
        <v>4.0056000000000003</v>
      </c>
      <c r="F2203">
        <f t="shared" si="173"/>
        <v>0.62574401664932777</v>
      </c>
      <c r="G2203">
        <f t="shared" si="174"/>
        <v>0.39155557437243421</v>
      </c>
    </row>
    <row r="2204" spans="1:7" x14ac:dyDescent="0.35">
      <c r="A2204">
        <v>637</v>
      </c>
      <c r="B2204">
        <f t="shared" si="170"/>
        <v>-701.35206382240722</v>
      </c>
      <c r="C2204">
        <f t="shared" si="171"/>
        <v>491894.71742794994</v>
      </c>
      <c r="D2204">
        <v>41989</v>
      </c>
      <c r="E2204">
        <f t="shared" si="172"/>
        <v>4.1989000000000001</v>
      </c>
      <c r="F2204">
        <f t="shared" si="173"/>
        <v>0.81904401664932758</v>
      </c>
      <c r="G2204">
        <f t="shared" si="174"/>
        <v>0.67083310120906403</v>
      </c>
    </row>
    <row r="2205" spans="1:7" x14ac:dyDescent="0.35">
      <c r="A2205">
        <v>637</v>
      </c>
      <c r="B2205">
        <f t="shared" si="170"/>
        <v>-701.35206382240722</v>
      </c>
      <c r="C2205">
        <f t="shared" si="171"/>
        <v>491894.71742794994</v>
      </c>
      <c r="D2205">
        <v>32993</v>
      </c>
      <c r="E2205">
        <f t="shared" si="172"/>
        <v>3.2993000000000001</v>
      </c>
      <c r="F2205">
        <f t="shared" si="173"/>
        <v>-8.0555983350672378E-2</v>
      </c>
      <c r="G2205">
        <f t="shared" si="174"/>
        <v>6.4892664535938054E-3</v>
      </c>
    </row>
    <row r="2206" spans="1:7" x14ac:dyDescent="0.35">
      <c r="A2206">
        <v>637</v>
      </c>
      <c r="B2206">
        <f t="shared" si="170"/>
        <v>-701.35206382240722</v>
      </c>
      <c r="C2206">
        <f t="shared" si="171"/>
        <v>491894.71742794994</v>
      </c>
      <c r="D2206">
        <v>34023</v>
      </c>
      <c r="E2206">
        <f t="shared" si="172"/>
        <v>3.4022999999999999</v>
      </c>
      <c r="F2206">
        <f t="shared" si="173"/>
        <v>2.2444016649327381E-2</v>
      </c>
      <c r="G2206">
        <f t="shared" si="174"/>
        <v>5.0373388335528467E-4</v>
      </c>
    </row>
    <row r="2207" spans="1:7" x14ac:dyDescent="0.35">
      <c r="A2207">
        <v>637</v>
      </c>
      <c r="B2207">
        <f t="shared" si="170"/>
        <v>-701.35206382240722</v>
      </c>
      <c r="C2207">
        <f t="shared" si="171"/>
        <v>491894.71742794994</v>
      </c>
      <c r="D2207">
        <v>49326</v>
      </c>
      <c r="E2207">
        <f t="shared" si="172"/>
        <v>4.9325999999999999</v>
      </c>
      <c r="F2207">
        <f t="shared" si="173"/>
        <v>1.5527440166493274</v>
      </c>
      <c r="G2207">
        <f t="shared" si="174"/>
        <v>2.4110139812402864</v>
      </c>
    </row>
    <row r="2208" spans="1:7" x14ac:dyDescent="0.35">
      <c r="A2208">
        <v>637</v>
      </c>
      <c r="B2208">
        <f t="shared" si="170"/>
        <v>-701.35206382240722</v>
      </c>
      <c r="C2208">
        <f t="shared" si="171"/>
        <v>491894.71742794994</v>
      </c>
      <c r="D2208">
        <v>54262</v>
      </c>
      <c r="E2208">
        <f t="shared" si="172"/>
        <v>5.4261999999999997</v>
      </c>
      <c r="F2208">
        <f t="shared" si="173"/>
        <v>2.0463440166493272</v>
      </c>
      <c r="G2208">
        <f t="shared" si="174"/>
        <v>4.1875238344765018</v>
      </c>
    </row>
    <row r="2209" spans="1:7" x14ac:dyDescent="0.35">
      <c r="A2209">
        <v>637</v>
      </c>
      <c r="B2209">
        <f t="shared" si="170"/>
        <v>-701.35206382240722</v>
      </c>
      <c r="C2209">
        <f t="shared" si="171"/>
        <v>491894.71742794994</v>
      </c>
      <c r="D2209">
        <v>49656</v>
      </c>
      <c r="E2209">
        <f t="shared" si="172"/>
        <v>4.9656000000000002</v>
      </c>
      <c r="F2209">
        <f t="shared" si="173"/>
        <v>1.5857440166493277</v>
      </c>
      <c r="G2209">
        <f t="shared" si="174"/>
        <v>2.5145840863391435</v>
      </c>
    </row>
    <row r="2210" spans="1:7" x14ac:dyDescent="0.35">
      <c r="A2210">
        <v>637</v>
      </c>
      <c r="B2210">
        <f t="shared" si="170"/>
        <v>-701.35206382240722</v>
      </c>
      <c r="C2210">
        <f t="shared" si="171"/>
        <v>491894.71742794994</v>
      </c>
      <c r="D2210">
        <v>51504</v>
      </c>
      <c r="E2210">
        <f t="shared" si="172"/>
        <v>5.1504000000000003</v>
      </c>
      <c r="F2210">
        <f t="shared" si="173"/>
        <v>1.7705440166493278</v>
      </c>
      <c r="G2210">
        <f t="shared" si="174"/>
        <v>3.1348261148927352</v>
      </c>
    </row>
    <row r="2211" spans="1:7" x14ac:dyDescent="0.35">
      <c r="A2211">
        <v>637</v>
      </c>
      <c r="B2211">
        <f t="shared" si="170"/>
        <v>-701.35206382240722</v>
      </c>
      <c r="C2211">
        <f t="shared" si="171"/>
        <v>491894.71742794994</v>
      </c>
      <c r="D2211">
        <v>44995</v>
      </c>
      <c r="E2211">
        <f t="shared" si="172"/>
        <v>4.4995000000000003</v>
      </c>
      <c r="F2211">
        <f t="shared" si="173"/>
        <v>1.1196440166493278</v>
      </c>
      <c r="G2211">
        <f t="shared" si="174"/>
        <v>1.2536027240186403</v>
      </c>
    </row>
    <row r="2212" spans="1:7" x14ac:dyDescent="0.35">
      <c r="A2212">
        <v>637</v>
      </c>
      <c r="B2212">
        <f t="shared" si="170"/>
        <v>-701.35206382240722</v>
      </c>
      <c r="C2212">
        <f t="shared" si="171"/>
        <v>491894.71742794994</v>
      </c>
      <c r="D2212">
        <v>47194</v>
      </c>
      <c r="E2212">
        <f t="shared" si="172"/>
        <v>4.7194000000000003</v>
      </c>
      <c r="F2212">
        <f t="shared" si="173"/>
        <v>1.3395440166493278</v>
      </c>
      <c r="G2212">
        <f t="shared" si="174"/>
        <v>1.7943781725410144</v>
      </c>
    </row>
    <row r="2213" spans="1:7" x14ac:dyDescent="0.35">
      <c r="A2213">
        <v>637</v>
      </c>
      <c r="B2213">
        <f t="shared" si="170"/>
        <v>-701.35206382240722</v>
      </c>
      <c r="C2213">
        <f t="shared" si="171"/>
        <v>491894.71742794994</v>
      </c>
      <c r="D2213">
        <v>35505</v>
      </c>
      <c r="E2213">
        <f t="shared" si="172"/>
        <v>3.5505</v>
      </c>
      <c r="F2213">
        <f t="shared" si="173"/>
        <v>0.17064401664932749</v>
      </c>
      <c r="G2213">
        <f t="shared" si="174"/>
        <v>2.9119380418215959E-2</v>
      </c>
    </row>
    <row r="2214" spans="1:7" x14ac:dyDescent="0.35">
      <c r="A2214">
        <v>637</v>
      </c>
      <c r="B2214">
        <f t="shared" si="170"/>
        <v>-701.35206382240722</v>
      </c>
      <c r="C2214">
        <f t="shared" si="171"/>
        <v>491894.71742794994</v>
      </c>
      <c r="D2214">
        <v>44974</v>
      </c>
      <c r="E2214">
        <f t="shared" si="172"/>
        <v>4.4973999999999998</v>
      </c>
      <c r="F2214">
        <f t="shared" si="173"/>
        <v>1.1175440166493273</v>
      </c>
      <c r="G2214">
        <f t="shared" si="174"/>
        <v>1.248904629148712</v>
      </c>
    </row>
    <row r="2215" spans="1:7" x14ac:dyDescent="0.35">
      <c r="A2215">
        <v>637</v>
      </c>
      <c r="B2215">
        <f t="shared" si="170"/>
        <v>-701.35206382240722</v>
      </c>
      <c r="C2215">
        <f t="shared" si="171"/>
        <v>491894.71742794994</v>
      </c>
      <c r="D2215">
        <v>46248</v>
      </c>
      <c r="E2215">
        <f t="shared" si="172"/>
        <v>4.6247999999999996</v>
      </c>
      <c r="F2215">
        <f t="shared" si="173"/>
        <v>1.2449440166493271</v>
      </c>
      <c r="G2215">
        <f t="shared" si="174"/>
        <v>1.5498856045909599</v>
      </c>
    </row>
    <row r="2216" spans="1:7" x14ac:dyDescent="0.35">
      <c r="A2216">
        <v>1212</v>
      </c>
      <c r="B2216">
        <f t="shared" si="170"/>
        <v>-126.35206382240722</v>
      </c>
      <c r="C2216">
        <f t="shared" si="171"/>
        <v>15964.844032181667</v>
      </c>
      <c r="D2216">
        <v>16000</v>
      </c>
      <c r="E2216">
        <f t="shared" si="172"/>
        <v>1.6</v>
      </c>
      <c r="F2216">
        <f t="shared" si="173"/>
        <v>-1.7798559833506724</v>
      </c>
      <c r="G2216">
        <f t="shared" si="174"/>
        <v>3.1678873214691889</v>
      </c>
    </row>
    <row r="2217" spans="1:7" x14ac:dyDescent="0.35">
      <c r="A2217">
        <v>1212</v>
      </c>
      <c r="B2217">
        <f t="shared" si="170"/>
        <v>-126.35206382240722</v>
      </c>
      <c r="C2217">
        <f t="shared" si="171"/>
        <v>15964.844032181667</v>
      </c>
      <c r="D2217">
        <v>23444</v>
      </c>
      <c r="E2217">
        <f t="shared" si="172"/>
        <v>2.3443999999999998</v>
      </c>
      <c r="F2217">
        <f t="shared" si="173"/>
        <v>-1.0354559833506727</v>
      </c>
      <c r="G2217">
        <f t="shared" si="174"/>
        <v>1.0721690934567085</v>
      </c>
    </row>
    <row r="2218" spans="1:7" x14ac:dyDescent="0.35">
      <c r="A2218">
        <v>1212</v>
      </c>
      <c r="B2218">
        <f t="shared" si="170"/>
        <v>-126.35206382240722</v>
      </c>
      <c r="C2218">
        <f t="shared" si="171"/>
        <v>15964.844032181667</v>
      </c>
      <c r="D2218">
        <v>21090</v>
      </c>
      <c r="E2218">
        <f t="shared" si="172"/>
        <v>2.109</v>
      </c>
      <c r="F2218">
        <f t="shared" si="173"/>
        <v>-1.2708559833506725</v>
      </c>
      <c r="G2218">
        <f t="shared" si="174"/>
        <v>1.6150749304182048</v>
      </c>
    </row>
    <row r="2219" spans="1:7" x14ac:dyDescent="0.35">
      <c r="A2219">
        <v>1212</v>
      </c>
      <c r="B2219">
        <f t="shared" si="170"/>
        <v>-126.35206382240722</v>
      </c>
      <c r="C2219">
        <f t="shared" si="171"/>
        <v>15964.844032181667</v>
      </c>
      <c r="D2219">
        <v>26231</v>
      </c>
      <c r="E2219">
        <f t="shared" si="172"/>
        <v>2.6231</v>
      </c>
      <c r="F2219">
        <f t="shared" si="173"/>
        <v>-0.75675598335067251</v>
      </c>
      <c r="G2219">
        <f t="shared" si="174"/>
        <v>0.57267961833704328</v>
      </c>
    </row>
    <row r="2220" spans="1:7" x14ac:dyDescent="0.35">
      <c r="A2220">
        <v>1212</v>
      </c>
      <c r="B2220">
        <f t="shared" si="170"/>
        <v>-126.35206382240722</v>
      </c>
      <c r="C2220">
        <f t="shared" si="171"/>
        <v>15964.844032181667</v>
      </c>
      <c r="D2220">
        <v>13652</v>
      </c>
      <c r="E2220">
        <f t="shared" si="172"/>
        <v>1.3652</v>
      </c>
      <c r="F2220">
        <f t="shared" si="173"/>
        <v>-2.0146559833506723</v>
      </c>
      <c r="G2220">
        <f t="shared" si="174"/>
        <v>4.0588387312506642</v>
      </c>
    </row>
    <row r="2221" spans="1:7" x14ac:dyDescent="0.35">
      <c r="A2221">
        <v>1212</v>
      </c>
      <c r="B2221">
        <f t="shared" si="170"/>
        <v>-126.35206382240722</v>
      </c>
      <c r="C2221">
        <f t="shared" si="171"/>
        <v>15964.844032181667</v>
      </c>
      <c r="D2221">
        <v>24118</v>
      </c>
      <c r="E2221">
        <f t="shared" si="172"/>
        <v>2.4117999999999999</v>
      </c>
      <c r="F2221">
        <f t="shared" si="173"/>
        <v>-0.96805598335067256</v>
      </c>
      <c r="G2221">
        <f t="shared" si="174"/>
        <v>0.93713238690103762</v>
      </c>
    </row>
    <row r="2222" spans="1:7" x14ac:dyDescent="0.35">
      <c r="A2222">
        <v>1212</v>
      </c>
      <c r="B2222">
        <f t="shared" si="170"/>
        <v>-126.35206382240722</v>
      </c>
      <c r="C2222">
        <f t="shared" si="171"/>
        <v>15964.844032181667</v>
      </c>
      <c r="D2222">
        <v>24030</v>
      </c>
      <c r="E2222">
        <f t="shared" si="172"/>
        <v>2.403</v>
      </c>
      <c r="F2222">
        <f t="shared" si="173"/>
        <v>-0.97685598335067247</v>
      </c>
      <c r="G2222">
        <f t="shared" si="174"/>
        <v>0.95424761220800924</v>
      </c>
    </row>
    <row r="2223" spans="1:7" x14ac:dyDescent="0.35">
      <c r="A2223">
        <v>1212</v>
      </c>
      <c r="B2223">
        <f t="shared" si="170"/>
        <v>-126.35206382240722</v>
      </c>
      <c r="C2223">
        <f t="shared" si="171"/>
        <v>15964.844032181667</v>
      </c>
      <c r="D2223">
        <v>26400</v>
      </c>
      <c r="E2223">
        <f t="shared" si="172"/>
        <v>2.64</v>
      </c>
      <c r="F2223">
        <f t="shared" si="173"/>
        <v>-0.73985598335067237</v>
      </c>
      <c r="G2223">
        <f t="shared" si="174"/>
        <v>0.54738687609979042</v>
      </c>
    </row>
    <row r="2224" spans="1:7" x14ac:dyDescent="0.35">
      <c r="A2224">
        <v>1212</v>
      </c>
      <c r="B2224">
        <f t="shared" si="170"/>
        <v>-126.35206382240722</v>
      </c>
      <c r="C2224">
        <f t="shared" si="171"/>
        <v>15964.844032181667</v>
      </c>
      <c r="D2224">
        <v>26471</v>
      </c>
      <c r="E2224">
        <f t="shared" si="172"/>
        <v>2.6471</v>
      </c>
      <c r="F2224">
        <f t="shared" si="173"/>
        <v>-0.73275598335067249</v>
      </c>
      <c r="G2224">
        <f t="shared" si="174"/>
        <v>0.53693133113621105</v>
      </c>
    </row>
    <row r="2225" spans="1:7" x14ac:dyDescent="0.35">
      <c r="A2225">
        <v>1212</v>
      </c>
      <c r="B2225">
        <f t="shared" si="170"/>
        <v>-126.35206382240722</v>
      </c>
      <c r="C2225">
        <f t="shared" si="171"/>
        <v>15964.844032181667</v>
      </c>
      <c r="D2225">
        <v>36508</v>
      </c>
      <c r="E2225">
        <f t="shared" si="172"/>
        <v>3.6507999999999998</v>
      </c>
      <c r="F2225">
        <f t="shared" si="173"/>
        <v>0.27094401664932732</v>
      </c>
      <c r="G2225">
        <f t="shared" si="174"/>
        <v>7.3410660158070962E-2</v>
      </c>
    </row>
    <row r="2226" spans="1:7" x14ac:dyDescent="0.35">
      <c r="A2226">
        <v>1212</v>
      </c>
      <c r="B2226">
        <f t="shared" si="170"/>
        <v>-126.35206382240722</v>
      </c>
      <c r="C2226">
        <f t="shared" si="171"/>
        <v>15964.844032181667</v>
      </c>
      <c r="D2226">
        <v>32980</v>
      </c>
      <c r="E2226">
        <f t="shared" si="172"/>
        <v>3.298</v>
      </c>
      <c r="F2226">
        <f t="shared" si="173"/>
        <v>-8.1855983350672457E-2</v>
      </c>
      <c r="G2226">
        <f t="shared" si="174"/>
        <v>6.7004020103055666E-3</v>
      </c>
    </row>
    <row r="2227" spans="1:7" x14ac:dyDescent="0.35">
      <c r="A2227">
        <v>1212</v>
      </c>
      <c r="B2227">
        <f t="shared" si="170"/>
        <v>-126.35206382240722</v>
      </c>
      <c r="C2227">
        <f t="shared" si="171"/>
        <v>15964.844032181667</v>
      </c>
      <c r="D2227">
        <v>30328</v>
      </c>
      <c r="E2227">
        <f t="shared" si="172"/>
        <v>3.0327999999999999</v>
      </c>
      <c r="F2227">
        <f t="shared" si="173"/>
        <v>-0.34705598335067256</v>
      </c>
      <c r="G2227">
        <f t="shared" si="174"/>
        <v>0.12044785557950231</v>
      </c>
    </row>
    <row r="2228" spans="1:7" x14ac:dyDescent="0.35">
      <c r="A2228">
        <v>1212</v>
      </c>
      <c r="B2228">
        <f t="shared" si="170"/>
        <v>-126.35206382240722</v>
      </c>
      <c r="C2228">
        <f t="shared" si="171"/>
        <v>15964.844032181667</v>
      </c>
      <c r="D2228">
        <v>19148</v>
      </c>
      <c r="E2228">
        <f t="shared" si="172"/>
        <v>1.9148000000000001</v>
      </c>
      <c r="F2228">
        <f t="shared" si="173"/>
        <v>-1.4650559833506724</v>
      </c>
      <c r="G2228">
        <f t="shared" si="174"/>
        <v>2.1463890343516057</v>
      </c>
    </row>
    <row r="2229" spans="1:7" x14ac:dyDescent="0.35">
      <c r="A2229">
        <v>1212</v>
      </c>
      <c r="B2229">
        <f t="shared" si="170"/>
        <v>-126.35206382240722</v>
      </c>
      <c r="C2229">
        <f t="shared" si="171"/>
        <v>15964.844032181667</v>
      </c>
      <c r="D2229">
        <v>18132</v>
      </c>
      <c r="E2229">
        <f t="shared" si="172"/>
        <v>1.8131999999999999</v>
      </c>
      <c r="F2229">
        <f t="shared" si="173"/>
        <v>-1.5666559833506726</v>
      </c>
      <c r="G2229">
        <f t="shared" si="174"/>
        <v>2.4544109701684627</v>
      </c>
    </row>
    <row r="2230" spans="1:7" x14ac:dyDescent="0.35">
      <c r="A2230">
        <v>1212</v>
      </c>
      <c r="B2230">
        <f t="shared" si="170"/>
        <v>-126.35206382240722</v>
      </c>
      <c r="C2230">
        <f t="shared" si="171"/>
        <v>15964.844032181667</v>
      </c>
      <c r="D2230">
        <v>27318</v>
      </c>
      <c r="E2230">
        <f t="shared" si="172"/>
        <v>2.7317999999999998</v>
      </c>
      <c r="F2230">
        <f t="shared" si="173"/>
        <v>-0.64805598335067272</v>
      </c>
      <c r="G2230">
        <f t="shared" si="174"/>
        <v>0.4199765575566074</v>
      </c>
    </row>
    <row r="2231" spans="1:7" x14ac:dyDescent="0.35">
      <c r="A2231">
        <v>1212</v>
      </c>
      <c r="B2231">
        <f t="shared" si="170"/>
        <v>-126.35206382240722</v>
      </c>
      <c r="C2231">
        <f t="shared" si="171"/>
        <v>15964.844032181667</v>
      </c>
      <c r="D2231">
        <v>30668</v>
      </c>
      <c r="E2231">
        <f t="shared" si="172"/>
        <v>3.0668000000000002</v>
      </c>
      <c r="F2231">
        <f t="shared" si="173"/>
        <v>-0.31305598335067231</v>
      </c>
      <c r="G2231">
        <f t="shared" si="174"/>
        <v>9.8004048711656411E-2</v>
      </c>
    </row>
    <row r="2232" spans="1:7" x14ac:dyDescent="0.35">
      <c r="A2232">
        <v>1212</v>
      </c>
      <c r="B2232">
        <f t="shared" si="170"/>
        <v>-126.35206382240722</v>
      </c>
      <c r="C2232">
        <f t="shared" si="171"/>
        <v>15964.844032181667</v>
      </c>
      <c r="D2232">
        <v>32658</v>
      </c>
      <c r="E2232">
        <f t="shared" si="172"/>
        <v>3.2658</v>
      </c>
      <c r="F2232">
        <f t="shared" si="173"/>
        <v>-0.11405598335067246</v>
      </c>
      <c r="G2232">
        <f t="shared" si="174"/>
        <v>1.3008767338088874E-2</v>
      </c>
    </row>
    <row r="2233" spans="1:7" x14ac:dyDescent="0.35">
      <c r="A2233">
        <v>1212</v>
      </c>
      <c r="B2233">
        <f t="shared" si="170"/>
        <v>-126.35206382240722</v>
      </c>
      <c r="C2233">
        <f t="shared" si="171"/>
        <v>15964.844032181667</v>
      </c>
      <c r="D2233">
        <v>37964</v>
      </c>
      <c r="E2233">
        <f t="shared" si="172"/>
        <v>3.7964000000000002</v>
      </c>
      <c r="F2233">
        <f t="shared" si="173"/>
        <v>0.41654401664932772</v>
      </c>
      <c r="G2233">
        <f t="shared" si="174"/>
        <v>0.17350891780635541</v>
      </c>
    </row>
    <row r="2234" spans="1:7" x14ac:dyDescent="0.35">
      <c r="A2234">
        <v>1212</v>
      </c>
      <c r="B2234">
        <f t="shared" si="170"/>
        <v>-126.35206382240722</v>
      </c>
      <c r="C2234">
        <f t="shared" si="171"/>
        <v>15964.844032181667</v>
      </c>
      <c r="D2234">
        <v>44673</v>
      </c>
      <c r="E2234">
        <f t="shared" si="172"/>
        <v>4.4672999999999998</v>
      </c>
      <c r="F2234">
        <f t="shared" si="173"/>
        <v>1.0874440166493273</v>
      </c>
      <c r="G2234">
        <f t="shared" si="174"/>
        <v>1.1825344893464225</v>
      </c>
    </row>
    <row r="2235" spans="1:7" x14ac:dyDescent="0.35">
      <c r="A2235">
        <v>1212</v>
      </c>
      <c r="B2235">
        <f t="shared" si="170"/>
        <v>-126.35206382240722</v>
      </c>
      <c r="C2235">
        <f t="shared" si="171"/>
        <v>15964.844032181667</v>
      </c>
      <c r="D2235">
        <v>44843</v>
      </c>
      <c r="E2235">
        <f t="shared" si="172"/>
        <v>4.4843000000000002</v>
      </c>
      <c r="F2235">
        <f t="shared" si="173"/>
        <v>1.1044440166493277</v>
      </c>
      <c r="G2235">
        <f t="shared" si="174"/>
        <v>1.2197965859125004</v>
      </c>
    </row>
    <row r="2236" spans="1:7" x14ac:dyDescent="0.35">
      <c r="A2236">
        <v>1212</v>
      </c>
      <c r="B2236">
        <f t="shared" si="170"/>
        <v>-126.35206382240722</v>
      </c>
      <c r="C2236">
        <f t="shared" si="171"/>
        <v>15964.844032181667</v>
      </c>
      <c r="D2236">
        <v>41320</v>
      </c>
      <c r="E2236">
        <f t="shared" si="172"/>
        <v>4.1319999999999997</v>
      </c>
      <c r="F2236">
        <f t="shared" si="173"/>
        <v>0.75214401664932717</v>
      </c>
      <c r="G2236">
        <f t="shared" si="174"/>
        <v>0.56572062178138338</v>
      </c>
    </row>
    <row r="2237" spans="1:7" x14ac:dyDescent="0.35">
      <c r="A2237">
        <v>1212</v>
      </c>
      <c r="B2237">
        <f t="shared" si="170"/>
        <v>-126.35206382240722</v>
      </c>
      <c r="C2237">
        <f t="shared" si="171"/>
        <v>15964.844032181667</v>
      </c>
      <c r="D2237">
        <v>44432</v>
      </c>
      <c r="E2237">
        <f t="shared" si="172"/>
        <v>4.4432</v>
      </c>
      <c r="F2237">
        <f t="shared" si="173"/>
        <v>1.0633440166493275</v>
      </c>
      <c r="G2237">
        <f t="shared" si="174"/>
        <v>1.1307004977439254</v>
      </c>
    </row>
    <row r="2238" spans="1:7" x14ac:dyDescent="0.35">
      <c r="A2238">
        <v>1212</v>
      </c>
      <c r="B2238">
        <f t="shared" si="170"/>
        <v>-126.35206382240722</v>
      </c>
      <c r="C2238">
        <f t="shared" si="171"/>
        <v>15964.844032181667</v>
      </c>
      <c r="D2238">
        <v>56178</v>
      </c>
      <c r="E2238">
        <f t="shared" si="172"/>
        <v>5.6177999999999999</v>
      </c>
      <c r="F2238">
        <f t="shared" si="173"/>
        <v>2.2379440166493274</v>
      </c>
      <c r="G2238">
        <f t="shared" si="174"/>
        <v>5.0083934216565247</v>
      </c>
    </row>
    <row r="2239" spans="1:7" x14ac:dyDescent="0.35">
      <c r="A2239">
        <v>1212</v>
      </c>
      <c r="B2239">
        <f t="shared" si="170"/>
        <v>-126.35206382240722</v>
      </c>
      <c r="C2239">
        <f t="shared" si="171"/>
        <v>15964.844032181667</v>
      </c>
      <c r="D2239">
        <v>51833</v>
      </c>
      <c r="E2239">
        <f t="shared" si="172"/>
        <v>5.1833</v>
      </c>
      <c r="F2239">
        <f t="shared" si="173"/>
        <v>1.8034440166493275</v>
      </c>
      <c r="G2239">
        <f t="shared" si="174"/>
        <v>3.2524103211882598</v>
      </c>
    </row>
    <row r="2240" spans="1:7" x14ac:dyDescent="0.35">
      <c r="A2240">
        <v>1212</v>
      </c>
      <c r="B2240">
        <f t="shared" si="170"/>
        <v>-126.35206382240722</v>
      </c>
      <c r="C2240">
        <f t="shared" si="171"/>
        <v>15964.844032181667</v>
      </c>
      <c r="D2240">
        <v>55195</v>
      </c>
      <c r="E2240">
        <f t="shared" si="172"/>
        <v>5.5194999999999999</v>
      </c>
      <c r="F2240">
        <f t="shared" si="173"/>
        <v>2.1396440166493274</v>
      </c>
      <c r="G2240">
        <f t="shared" si="174"/>
        <v>4.5780765179832672</v>
      </c>
    </row>
    <row r="2241" spans="1:7" x14ac:dyDescent="0.35">
      <c r="A2241">
        <v>1212</v>
      </c>
      <c r="B2241">
        <f t="shared" si="170"/>
        <v>-126.35206382240722</v>
      </c>
      <c r="C2241">
        <f t="shared" si="171"/>
        <v>15964.844032181667</v>
      </c>
      <c r="D2241">
        <v>57193</v>
      </c>
      <c r="E2241">
        <f t="shared" si="172"/>
        <v>5.7192999999999996</v>
      </c>
      <c r="F2241">
        <f t="shared" si="173"/>
        <v>2.3394440166493271</v>
      </c>
      <c r="G2241">
        <f t="shared" si="174"/>
        <v>5.4729983070363373</v>
      </c>
    </row>
    <row r="2242" spans="1:7" x14ac:dyDescent="0.35">
      <c r="A2242">
        <v>1212</v>
      </c>
      <c r="B2242">
        <f t="shared" si="170"/>
        <v>-126.35206382240722</v>
      </c>
      <c r="C2242">
        <f t="shared" si="171"/>
        <v>15964.844032181667</v>
      </c>
      <c r="D2242">
        <v>53362</v>
      </c>
      <c r="E2242">
        <f t="shared" si="172"/>
        <v>5.3361999999999998</v>
      </c>
      <c r="F2242">
        <f t="shared" si="173"/>
        <v>1.9563440166493273</v>
      </c>
      <c r="G2242">
        <f t="shared" si="174"/>
        <v>3.8272819114796235</v>
      </c>
    </row>
    <row r="2243" spans="1:7" x14ac:dyDescent="0.35">
      <c r="A2243">
        <v>1212</v>
      </c>
      <c r="B2243">
        <f t="shared" ref="B2243:B2306" si="175">A2243-$J$1</f>
        <v>-126.35206382240722</v>
      </c>
      <c r="C2243">
        <f t="shared" ref="C2243:C2306" si="176">B2243^2</f>
        <v>15964.844032181667</v>
      </c>
      <c r="D2243">
        <v>30594</v>
      </c>
      <c r="E2243">
        <f t="shared" ref="E2243:E2306" si="177">D2243/10000</f>
        <v>3.0594000000000001</v>
      </c>
      <c r="F2243">
        <f t="shared" ref="F2243:F2306" si="178">E2243-$J$2</f>
        <v>-0.32045598335067238</v>
      </c>
      <c r="G2243">
        <f t="shared" ref="G2243:G2306" si="179">F2243^2</f>
        <v>0.10269203726524641</v>
      </c>
    </row>
    <row r="2244" spans="1:7" x14ac:dyDescent="0.35">
      <c r="A2244">
        <v>1212</v>
      </c>
      <c r="B2244">
        <f t="shared" si="175"/>
        <v>-126.35206382240722</v>
      </c>
      <c r="C2244">
        <f t="shared" si="176"/>
        <v>15964.844032181667</v>
      </c>
      <c r="D2244">
        <v>32259</v>
      </c>
      <c r="E2244">
        <f t="shared" si="177"/>
        <v>3.2259000000000002</v>
      </c>
      <c r="F2244">
        <f t="shared" si="178"/>
        <v>-0.15395598335067229</v>
      </c>
      <c r="G2244">
        <f t="shared" si="179"/>
        <v>2.3702444809472482E-2</v>
      </c>
    </row>
    <row r="2245" spans="1:7" x14ac:dyDescent="0.35">
      <c r="A2245">
        <v>1212</v>
      </c>
      <c r="B2245">
        <f t="shared" si="175"/>
        <v>-126.35206382240722</v>
      </c>
      <c r="C2245">
        <f t="shared" si="176"/>
        <v>15964.844032181667</v>
      </c>
      <c r="D2245">
        <v>33067</v>
      </c>
      <c r="E2245">
        <f t="shared" si="177"/>
        <v>3.3067000000000002</v>
      </c>
      <c r="F2245">
        <f t="shared" si="178"/>
        <v>-7.3155983350672305E-2</v>
      </c>
      <c r="G2245">
        <f t="shared" si="179"/>
        <v>5.3517979000038433E-3</v>
      </c>
    </row>
    <row r="2246" spans="1:7" x14ac:dyDescent="0.35">
      <c r="A2246">
        <v>686</v>
      </c>
      <c r="B2246">
        <f t="shared" si="175"/>
        <v>-652.35206382240722</v>
      </c>
      <c r="C2246">
        <f t="shared" si="176"/>
        <v>425563.21517335408</v>
      </c>
      <c r="D2246">
        <v>18810</v>
      </c>
      <c r="E2246">
        <f t="shared" si="177"/>
        <v>1.881</v>
      </c>
      <c r="F2246">
        <f t="shared" si="178"/>
        <v>-1.4988559833506725</v>
      </c>
      <c r="G2246">
        <f t="shared" si="179"/>
        <v>2.2465692588261112</v>
      </c>
    </row>
    <row r="2247" spans="1:7" x14ac:dyDescent="0.35">
      <c r="A2247">
        <v>686</v>
      </c>
      <c r="B2247">
        <f t="shared" si="175"/>
        <v>-652.35206382240722</v>
      </c>
      <c r="C2247">
        <f t="shared" si="176"/>
        <v>425563.21517335408</v>
      </c>
      <c r="D2247">
        <v>19977</v>
      </c>
      <c r="E2247">
        <f t="shared" si="177"/>
        <v>1.9977</v>
      </c>
      <c r="F2247">
        <f t="shared" si="178"/>
        <v>-1.3821559833506725</v>
      </c>
      <c r="G2247">
        <f t="shared" si="179"/>
        <v>1.9103551623120645</v>
      </c>
    </row>
    <row r="2248" spans="1:7" x14ac:dyDescent="0.35">
      <c r="A2248">
        <v>686</v>
      </c>
      <c r="B2248">
        <f t="shared" si="175"/>
        <v>-652.35206382240722</v>
      </c>
      <c r="C2248">
        <f t="shared" si="176"/>
        <v>425563.21517335408</v>
      </c>
      <c r="D2248">
        <v>18265</v>
      </c>
      <c r="E2248">
        <f t="shared" si="177"/>
        <v>1.8265</v>
      </c>
      <c r="F2248">
        <f t="shared" si="178"/>
        <v>-1.5533559833506725</v>
      </c>
      <c r="G2248">
        <f t="shared" si="179"/>
        <v>2.4129148110113348</v>
      </c>
    </row>
    <row r="2249" spans="1:7" x14ac:dyDescent="0.35">
      <c r="A2249">
        <v>686</v>
      </c>
      <c r="B2249">
        <f t="shared" si="175"/>
        <v>-652.35206382240722</v>
      </c>
      <c r="C2249">
        <f t="shared" si="176"/>
        <v>425563.21517335408</v>
      </c>
      <c r="D2249">
        <v>21206</v>
      </c>
      <c r="E2249">
        <f t="shared" si="177"/>
        <v>2.1206</v>
      </c>
      <c r="F2249">
        <f t="shared" si="178"/>
        <v>-1.2592559833506725</v>
      </c>
      <c r="G2249">
        <f t="shared" si="179"/>
        <v>1.585725631604469</v>
      </c>
    </row>
    <row r="2250" spans="1:7" x14ac:dyDescent="0.35">
      <c r="A2250">
        <v>686</v>
      </c>
      <c r="B2250">
        <f t="shared" si="175"/>
        <v>-652.35206382240722</v>
      </c>
      <c r="C2250">
        <f t="shared" si="176"/>
        <v>425563.21517335408</v>
      </c>
      <c r="D2250">
        <v>24825</v>
      </c>
      <c r="E2250">
        <f t="shared" si="177"/>
        <v>2.4824999999999999</v>
      </c>
      <c r="F2250">
        <f t="shared" si="178"/>
        <v>-0.89735598335067257</v>
      </c>
      <c r="G2250">
        <f t="shared" si="179"/>
        <v>0.80524776085525251</v>
      </c>
    </row>
    <row r="2251" spans="1:7" x14ac:dyDescent="0.35">
      <c r="A2251">
        <v>686</v>
      </c>
      <c r="B2251">
        <f t="shared" si="175"/>
        <v>-652.35206382240722</v>
      </c>
      <c r="C2251">
        <f t="shared" si="176"/>
        <v>425563.21517335408</v>
      </c>
      <c r="D2251">
        <v>23497</v>
      </c>
      <c r="E2251">
        <f t="shared" si="177"/>
        <v>2.3496999999999999</v>
      </c>
      <c r="F2251">
        <f t="shared" si="178"/>
        <v>-1.0301559833506726</v>
      </c>
      <c r="G2251">
        <f t="shared" si="179"/>
        <v>1.0612213500331913</v>
      </c>
    </row>
    <row r="2252" spans="1:7" x14ac:dyDescent="0.35">
      <c r="A2252">
        <v>686</v>
      </c>
      <c r="B2252">
        <f t="shared" si="175"/>
        <v>-652.35206382240722</v>
      </c>
      <c r="C2252">
        <f t="shared" si="176"/>
        <v>425563.21517335408</v>
      </c>
      <c r="D2252">
        <v>24065</v>
      </c>
      <c r="E2252">
        <f t="shared" si="177"/>
        <v>2.4064999999999999</v>
      </c>
      <c r="F2252">
        <f t="shared" si="178"/>
        <v>-0.97335598335067264</v>
      </c>
      <c r="G2252">
        <f t="shared" si="179"/>
        <v>0.94742187032455494</v>
      </c>
    </row>
    <row r="2253" spans="1:7" x14ac:dyDescent="0.35">
      <c r="A2253">
        <v>686</v>
      </c>
      <c r="B2253">
        <f t="shared" si="175"/>
        <v>-652.35206382240722</v>
      </c>
      <c r="C2253">
        <f t="shared" si="176"/>
        <v>425563.21517335408</v>
      </c>
      <c r="D2253">
        <v>24809</v>
      </c>
      <c r="E2253">
        <f t="shared" si="177"/>
        <v>2.4809000000000001</v>
      </c>
      <c r="F2253">
        <f t="shared" si="178"/>
        <v>-0.89895598335067239</v>
      </c>
      <c r="G2253">
        <f t="shared" si="179"/>
        <v>0.80812186000197439</v>
      </c>
    </row>
    <row r="2254" spans="1:7" x14ac:dyDescent="0.35">
      <c r="A2254">
        <v>686</v>
      </c>
      <c r="B2254">
        <f t="shared" si="175"/>
        <v>-652.35206382240722</v>
      </c>
      <c r="C2254">
        <f t="shared" si="176"/>
        <v>425563.21517335408</v>
      </c>
      <c r="D2254">
        <v>20869</v>
      </c>
      <c r="E2254">
        <f t="shared" si="177"/>
        <v>2.0869</v>
      </c>
      <c r="F2254">
        <f t="shared" si="178"/>
        <v>-1.2929559833506725</v>
      </c>
      <c r="G2254">
        <f t="shared" si="179"/>
        <v>1.6717351748823046</v>
      </c>
    </row>
    <row r="2255" spans="1:7" x14ac:dyDescent="0.35">
      <c r="A2255">
        <v>686</v>
      </c>
      <c r="B2255">
        <f t="shared" si="175"/>
        <v>-652.35206382240722</v>
      </c>
      <c r="C2255">
        <f t="shared" si="176"/>
        <v>425563.21517335408</v>
      </c>
      <c r="D2255">
        <v>22497</v>
      </c>
      <c r="E2255">
        <f t="shared" si="177"/>
        <v>2.2496999999999998</v>
      </c>
      <c r="F2255">
        <f t="shared" si="178"/>
        <v>-1.1301559833506727</v>
      </c>
      <c r="G2255">
        <f t="shared" si="179"/>
        <v>1.277252546703326</v>
      </c>
    </row>
    <row r="2256" spans="1:7" x14ac:dyDescent="0.35">
      <c r="A2256">
        <v>686</v>
      </c>
      <c r="B2256">
        <f t="shared" si="175"/>
        <v>-652.35206382240722</v>
      </c>
      <c r="C2256">
        <f t="shared" si="176"/>
        <v>425563.21517335408</v>
      </c>
      <c r="D2256">
        <v>20157</v>
      </c>
      <c r="E2256">
        <f t="shared" si="177"/>
        <v>2.0156999999999998</v>
      </c>
      <c r="F2256">
        <f t="shared" si="178"/>
        <v>-1.3641559833506727</v>
      </c>
      <c r="G2256">
        <f t="shared" si="179"/>
        <v>1.8609215469114408</v>
      </c>
    </row>
    <row r="2257" spans="1:7" x14ac:dyDescent="0.35">
      <c r="A2257">
        <v>686</v>
      </c>
      <c r="B2257">
        <f t="shared" si="175"/>
        <v>-652.35206382240722</v>
      </c>
      <c r="C2257">
        <f t="shared" si="176"/>
        <v>425563.21517335408</v>
      </c>
      <c r="D2257">
        <v>23254</v>
      </c>
      <c r="E2257">
        <f t="shared" si="177"/>
        <v>2.3254000000000001</v>
      </c>
      <c r="F2257">
        <f t="shared" si="178"/>
        <v>-1.0544559833506724</v>
      </c>
      <c r="G2257">
        <f t="shared" si="179"/>
        <v>1.1118774208240334</v>
      </c>
    </row>
    <row r="2258" spans="1:7" x14ac:dyDescent="0.35">
      <c r="A2258">
        <v>686</v>
      </c>
      <c r="B2258">
        <f t="shared" si="175"/>
        <v>-652.35206382240722</v>
      </c>
      <c r="C2258">
        <f t="shared" si="176"/>
        <v>425563.21517335408</v>
      </c>
      <c r="D2258">
        <v>27204</v>
      </c>
      <c r="E2258">
        <f t="shared" si="177"/>
        <v>2.7204000000000002</v>
      </c>
      <c r="F2258">
        <f t="shared" si="178"/>
        <v>-0.65945598335067235</v>
      </c>
      <c r="G2258">
        <f t="shared" si="179"/>
        <v>0.43488219397700223</v>
      </c>
    </row>
    <row r="2259" spans="1:7" x14ac:dyDescent="0.35">
      <c r="A2259">
        <v>686</v>
      </c>
      <c r="B2259">
        <f t="shared" si="175"/>
        <v>-652.35206382240722</v>
      </c>
      <c r="C2259">
        <f t="shared" si="176"/>
        <v>425563.21517335408</v>
      </c>
      <c r="D2259">
        <v>28000</v>
      </c>
      <c r="E2259">
        <f t="shared" si="177"/>
        <v>2.8</v>
      </c>
      <c r="F2259">
        <f t="shared" si="178"/>
        <v>-0.57985598335067268</v>
      </c>
      <c r="G2259">
        <f t="shared" si="179"/>
        <v>0.33623296142757558</v>
      </c>
    </row>
    <row r="2260" spans="1:7" x14ac:dyDescent="0.35">
      <c r="A2260">
        <v>686</v>
      </c>
      <c r="B2260">
        <f t="shared" si="175"/>
        <v>-652.35206382240722</v>
      </c>
      <c r="C2260">
        <f t="shared" si="176"/>
        <v>425563.21517335408</v>
      </c>
      <c r="D2260">
        <v>23454</v>
      </c>
      <c r="E2260">
        <f t="shared" si="177"/>
        <v>2.3454000000000002</v>
      </c>
      <c r="F2260">
        <f t="shared" si="178"/>
        <v>-1.0344559833506723</v>
      </c>
      <c r="G2260">
        <f t="shared" si="179"/>
        <v>1.0700991814900065</v>
      </c>
    </row>
    <row r="2261" spans="1:7" x14ac:dyDescent="0.35">
      <c r="A2261">
        <v>686</v>
      </c>
      <c r="B2261">
        <f t="shared" si="175"/>
        <v>-652.35206382240722</v>
      </c>
      <c r="C2261">
        <f t="shared" si="176"/>
        <v>425563.21517335408</v>
      </c>
      <c r="D2261">
        <v>23729</v>
      </c>
      <c r="E2261">
        <f t="shared" si="177"/>
        <v>2.3729</v>
      </c>
      <c r="F2261">
        <f t="shared" si="178"/>
        <v>-1.0069559833506725</v>
      </c>
      <c r="G2261">
        <f t="shared" si="179"/>
        <v>1.0139603524057199</v>
      </c>
    </row>
    <row r="2262" spans="1:7" x14ac:dyDescent="0.35">
      <c r="A2262">
        <v>686</v>
      </c>
      <c r="B2262">
        <f t="shared" si="175"/>
        <v>-652.35206382240722</v>
      </c>
      <c r="C2262">
        <f t="shared" si="176"/>
        <v>425563.21517335408</v>
      </c>
      <c r="D2262">
        <v>22676</v>
      </c>
      <c r="E2262">
        <f t="shared" si="177"/>
        <v>2.2675999999999998</v>
      </c>
      <c r="F2262">
        <f t="shared" si="178"/>
        <v>-1.1122559833506727</v>
      </c>
      <c r="G2262">
        <f t="shared" si="179"/>
        <v>1.2371133724993719</v>
      </c>
    </row>
    <row r="2263" spans="1:7" x14ac:dyDescent="0.35">
      <c r="A2263">
        <v>686</v>
      </c>
      <c r="B2263">
        <f t="shared" si="175"/>
        <v>-652.35206382240722</v>
      </c>
      <c r="C2263">
        <f t="shared" si="176"/>
        <v>425563.21517335408</v>
      </c>
      <c r="D2263">
        <v>24758</v>
      </c>
      <c r="E2263">
        <f t="shared" si="177"/>
        <v>2.4758</v>
      </c>
      <c r="F2263">
        <f t="shared" si="178"/>
        <v>-0.9040559833506725</v>
      </c>
      <c r="G2263">
        <f t="shared" si="179"/>
        <v>0.81731722103215143</v>
      </c>
    </row>
    <row r="2264" spans="1:7" x14ac:dyDescent="0.35">
      <c r="A2264">
        <v>686</v>
      </c>
      <c r="B2264">
        <f t="shared" si="175"/>
        <v>-652.35206382240722</v>
      </c>
      <c r="C2264">
        <f t="shared" si="176"/>
        <v>425563.21517335408</v>
      </c>
      <c r="D2264">
        <v>28542</v>
      </c>
      <c r="E2264">
        <f t="shared" si="177"/>
        <v>2.8542000000000001</v>
      </c>
      <c r="F2264">
        <f t="shared" si="178"/>
        <v>-0.52565598335067243</v>
      </c>
      <c r="G2264">
        <f t="shared" si="179"/>
        <v>0.2763142128323624</v>
      </c>
    </row>
    <row r="2265" spans="1:7" x14ac:dyDescent="0.35">
      <c r="A2265">
        <v>686</v>
      </c>
      <c r="B2265">
        <f t="shared" si="175"/>
        <v>-652.35206382240722</v>
      </c>
      <c r="C2265">
        <f t="shared" si="176"/>
        <v>425563.21517335408</v>
      </c>
      <c r="D2265">
        <v>22401</v>
      </c>
      <c r="E2265">
        <f t="shared" si="177"/>
        <v>2.2401</v>
      </c>
      <c r="F2265">
        <f t="shared" si="178"/>
        <v>-1.1397559833506725</v>
      </c>
      <c r="G2265">
        <f t="shared" si="179"/>
        <v>1.2990437015836585</v>
      </c>
    </row>
    <row r="2266" spans="1:7" x14ac:dyDescent="0.35">
      <c r="A2266">
        <v>686</v>
      </c>
      <c r="B2266">
        <f t="shared" si="175"/>
        <v>-652.35206382240722</v>
      </c>
      <c r="C2266">
        <f t="shared" si="176"/>
        <v>425563.21517335408</v>
      </c>
      <c r="D2266">
        <v>24078</v>
      </c>
      <c r="E2266">
        <f t="shared" si="177"/>
        <v>2.4077999999999999</v>
      </c>
      <c r="F2266">
        <f t="shared" si="178"/>
        <v>-0.97205598335067256</v>
      </c>
      <c r="G2266">
        <f t="shared" si="179"/>
        <v>0.94489283476784303</v>
      </c>
    </row>
    <row r="2267" spans="1:7" x14ac:dyDescent="0.35">
      <c r="A2267">
        <v>686</v>
      </c>
      <c r="B2267">
        <f t="shared" si="175"/>
        <v>-652.35206382240722</v>
      </c>
      <c r="C2267">
        <f t="shared" si="176"/>
        <v>425563.21517335408</v>
      </c>
      <c r="D2267">
        <v>32572</v>
      </c>
      <c r="E2267">
        <f t="shared" si="177"/>
        <v>3.2572000000000001</v>
      </c>
      <c r="F2267">
        <f t="shared" si="178"/>
        <v>-0.1226559833506724</v>
      </c>
      <c r="G2267">
        <f t="shared" si="179"/>
        <v>1.5044490251720426E-2</v>
      </c>
    </row>
    <row r="2268" spans="1:7" x14ac:dyDescent="0.35">
      <c r="A2268">
        <v>686</v>
      </c>
      <c r="B2268">
        <f t="shared" si="175"/>
        <v>-652.35206382240722</v>
      </c>
      <c r="C2268">
        <f t="shared" si="176"/>
        <v>425563.21517335408</v>
      </c>
      <c r="D2268">
        <v>36022</v>
      </c>
      <c r="E2268">
        <f t="shared" si="177"/>
        <v>3.6021999999999998</v>
      </c>
      <c r="F2268">
        <f t="shared" si="178"/>
        <v>0.22234401664932735</v>
      </c>
      <c r="G2268">
        <f t="shared" si="179"/>
        <v>4.9436861739756359E-2</v>
      </c>
    </row>
    <row r="2269" spans="1:7" x14ac:dyDescent="0.35">
      <c r="A2269">
        <v>686</v>
      </c>
      <c r="B2269">
        <f t="shared" si="175"/>
        <v>-652.35206382240722</v>
      </c>
      <c r="C2269">
        <f t="shared" si="176"/>
        <v>425563.21517335408</v>
      </c>
      <c r="D2269">
        <v>41033</v>
      </c>
      <c r="E2269">
        <f t="shared" si="177"/>
        <v>4.1032999999999999</v>
      </c>
      <c r="F2269">
        <f t="shared" si="178"/>
        <v>0.72344401664932745</v>
      </c>
      <c r="G2269">
        <f t="shared" si="179"/>
        <v>0.52337124522571232</v>
      </c>
    </row>
    <row r="2270" spans="1:7" x14ac:dyDescent="0.35">
      <c r="A2270">
        <v>686</v>
      </c>
      <c r="B2270">
        <f t="shared" si="175"/>
        <v>-652.35206382240722</v>
      </c>
      <c r="C2270">
        <f t="shared" si="176"/>
        <v>425563.21517335408</v>
      </c>
      <c r="D2270">
        <v>37171</v>
      </c>
      <c r="E2270">
        <f t="shared" si="177"/>
        <v>3.7170999999999998</v>
      </c>
      <c r="F2270">
        <f t="shared" si="178"/>
        <v>0.33724401664932735</v>
      </c>
      <c r="G2270">
        <f t="shared" si="179"/>
        <v>0.11373352676577178</v>
      </c>
    </row>
    <row r="2271" spans="1:7" x14ac:dyDescent="0.35">
      <c r="A2271">
        <v>686</v>
      </c>
      <c r="B2271">
        <f t="shared" si="175"/>
        <v>-652.35206382240722</v>
      </c>
      <c r="C2271">
        <f t="shared" si="176"/>
        <v>425563.21517335408</v>
      </c>
      <c r="D2271">
        <v>39892</v>
      </c>
      <c r="E2271">
        <f t="shared" si="177"/>
        <v>3.9891999999999999</v>
      </c>
      <c r="F2271">
        <f t="shared" si="178"/>
        <v>0.60934401664932736</v>
      </c>
      <c r="G2271">
        <f t="shared" si="179"/>
        <v>0.37130013062633571</v>
      </c>
    </row>
    <row r="2272" spans="1:7" x14ac:dyDescent="0.35">
      <c r="A2272">
        <v>686</v>
      </c>
      <c r="B2272">
        <f t="shared" si="175"/>
        <v>-652.35206382240722</v>
      </c>
      <c r="C2272">
        <f t="shared" si="176"/>
        <v>425563.21517335408</v>
      </c>
      <c r="D2272">
        <v>40181</v>
      </c>
      <c r="E2272">
        <f t="shared" si="177"/>
        <v>4.0180999999999996</v>
      </c>
      <c r="F2272">
        <f t="shared" si="178"/>
        <v>0.63824401664932706</v>
      </c>
      <c r="G2272">
        <f t="shared" si="179"/>
        <v>0.40735542478866649</v>
      </c>
    </row>
    <row r="2273" spans="1:7" x14ac:dyDescent="0.35">
      <c r="A2273">
        <v>686</v>
      </c>
      <c r="B2273">
        <f t="shared" si="175"/>
        <v>-652.35206382240722</v>
      </c>
      <c r="C2273">
        <f t="shared" si="176"/>
        <v>425563.21517335408</v>
      </c>
      <c r="D2273">
        <v>41417</v>
      </c>
      <c r="E2273">
        <f t="shared" si="177"/>
        <v>4.1417000000000002</v>
      </c>
      <c r="F2273">
        <f t="shared" si="178"/>
        <v>0.76184401664932766</v>
      </c>
      <c r="G2273">
        <f t="shared" si="179"/>
        <v>0.58040630570438101</v>
      </c>
    </row>
    <row r="2274" spans="1:7" x14ac:dyDescent="0.35">
      <c r="A2274">
        <v>686</v>
      </c>
      <c r="B2274">
        <f t="shared" si="175"/>
        <v>-652.35206382240722</v>
      </c>
      <c r="C2274">
        <f t="shared" si="176"/>
        <v>425563.21517335408</v>
      </c>
      <c r="D2274">
        <v>38194</v>
      </c>
      <c r="E2274">
        <f t="shared" si="177"/>
        <v>3.8193999999999999</v>
      </c>
      <c r="F2274">
        <f t="shared" si="178"/>
        <v>0.43954401664932741</v>
      </c>
      <c r="G2274">
        <f t="shared" si="179"/>
        <v>0.1931989425722242</v>
      </c>
    </row>
    <row r="2275" spans="1:7" x14ac:dyDescent="0.35">
      <c r="A2275">
        <v>686</v>
      </c>
      <c r="B2275">
        <f t="shared" si="175"/>
        <v>-652.35206382240722</v>
      </c>
      <c r="C2275">
        <f t="shared" si="176"/>
        <v>425563.21517335408</v>
      </c>
      <c r="D2275">
        <v>39289</v>
      </c>
      <c r="E2275">
        <f t="shared" si="177"/>
        <v>3.9289000000000001</v>
      </c>
      <c r="F2275">
        <f t="shared" si="178"/>
        <v>0.54904401664932756</v>
      </c>
      <c r="G2275">
        <f t="shared" si="179"/>
        <v>0.30144933221842707</v>
      </c>
    </row>
    <row r="2276" spans="1:7" x14ac:dyDescent="0.35">
      <c r="A2276">
        <v>2526</v>
      </c>
      <c r="B2276">
        <f t="shared" si="175"/>
        <v>1187.6479361775928</v>
      </c>
      <c r="C2276">
        <f t="shared" si="176"/>
        <v>1410507.6203068956</v>
      </c>
      <c r="D2276">
        <v>12652</v>
      </c>
      <c r="E2276">
        <f t="shared" si="177"/>
        <v>1.2652000000000001</v>
      </c>
      <c r="F2276">
        <f t="shared" si="178"/>
        <v>-2.1146559833506724</v>
      </c>
      <c r="G2276">
        <f t="shared" si="179"/>
        <v>4.471769927920799</v>
      </c>
    </row>
    <row r="2277" spans="1:7" x14ac:dyDescent="0.35">
      <c r="A2277">
        <v>2526</v>
      </c>
      <c r="B2277">
        <f t="shared" si="175"/>
        <v>1187.6479361775928</v>
      </c>
      <c r="C2277">
        <f t="shared" si="176"/>
        <v>1410507.6203068956</v>
      </c>
      <c r="D2277">
        <v>15447</v>
      </c>
      <c r="E2277">
        <f t="shared" si="177"/>
        <v>1.5447</v>
      </c>
      <c r="F2277">
        <f t="shared" si="178"/>
        <v>-1.8351559833506725</v>
      </c>
      <c r="G2277">
        <f t="shared" si="179"/>
        <v>3.3677974832277737</v>
      </c>
    </row>
    <row r="2278" spans="1:7" x14ac:dyDescent="0.35">
      <c r="A2278">
        <v>2526</v>
      </c>
      <c r="B2278">
        <f t="shared" si="175"/>
        <v>1187.6479361775928</v>
      </c>
      <c r="C2278">
        <f t="shared" si="176"/>
        <v>1410507.6203068956</v>
      </c>
      <c r="D2278">
        <v>13030</v>
      </c>
      <c r="E2278">
        <f t="shared" si="177"/>
        <v>1.3029999999999999</v>
      </c>
      <c r="F2278">
        <f t="shared" si="178"/>
        <v>-2.0768559833506726</v>
      </c>
      <c r="G2278">
        <f t="shared" si="179"/>
        <v>4.3133307755794892</v>
      </c>
    </row>
    <row r="2279" spans="1:7" x14ac:dyDescent="0.35">
      <c r="A2279">
        <v>2526</v>
      </c>
      <c r="B2279">
        <f t="shared" si="175"/>
        <v>1187.6479361775928</v>
      </c>
      <c r="C2279">
        <f t="shared" si="176"/>
        <v>1410507.6203068956</v>
      </c>
      <c r="D2279">
        <v>12842</v>
      </c>
      <c r="E2279">
        <f t="shared" si="177"/>
        <v>1.2842</v>
      </c>
      <c r="F2279">
        <f t="shared" si="178"/>
        <v>-2.0956559833506727</v>
      </c>
      <c r="G2279">
        <f t="shared" si="179"/>
        <v>4.3917740005534753</v>
      </c>
    </row>
    <row r="2280" spans="1:7" x14ac:dyDescent="0.35">
      <c r="A2280">
        <v>2526</v>
      </c>
      <c r="B2280">
        <f t="shared" si="175"/>
        <v>1187.6479361775928</v>
      </c>
      <c r="C2280">
        <f t="shared" si="176"/>
        <v>1410507.6203068956</v>
      </c>
      <c r="D2280">
        <v>12830</v>
      </c>
      <c r="E2280">
        <f t="shared" si="177"/>
        <v>1.2829999999999999</v>
      </c>
      <c r="F2280">
        <f t="shared" si="178"/>
        <v>-2.0968559833506726</v>
      </c>
      <c r="G2280">
        <f t="shared" si="179"/>
        <v>4.3968050149135163</v>
      </c>
    </row>
    <row r="2281" spans="1:7" x14ac:dyDescent="0.35">
      <c r="A2281">
        <v>2526</v>
      </c>
      <c r="B2281">
        <f t="shared" si="175"/>
        <v>1187.6479361775928</v>
      </c>
      <c r="C2281">
        <f t="shared" si="176"/>
        <v>1410507.6203068956</v>
      </c>
      <c r="D2281">
        <v>13505</v>
      </c>
      <c r="E2281">
        <f t="shared" si="177"/>
        <v>1.3505</v>
      </c>
      <c r="F2281">
        <f t="shared" si="178"/>
        <v>-2.0293559833506727</v>
      </c>
      <c r="G2281">
        <f t="shared" si="179"/>
        <v>4.118285707161176</v>
      </c>
    </row>
    <row r="2282" spans="1:7" x14ac:dyDescent="0.35">
      <c r="A2282">
        <v>2526</v>
      </c>
      <c r="B2282">
        <f t="shared" si="175"/>
        <v>1187.6479361775928</v>
      </c>
      <c r="C2282">
        <f t="shared" si="176"/>
        <v>1410507.6203068956</v>
      </c>
      <c r="D2282">
        <v>13505</v>
      </c>
      <c r="E2282">
        <f t="shared" si="177"/>
        <v>1.3505</v>
      </c>
      <c r="F2282">
        <f t="shared" si="178"/>
        <v>-2.0293559833506727</v>
      </c>
      <c r="G2282">
        <f t="shared" si="179"/>
        <v>4.118285707161176</v>
      </c>
    </row>
    <row r="2283" spans="1:7" x14ac:dyDescent="0.35">
      <c r="A2283">
        <v>2526</v>
      </c>
      <c r="B2283">
        <f t="shared" si="175"/>
        <v>1187.6479361775928</v>
      </c>
      <c r="C2283">
        <f t="shared" si="176"/>
        <v>1410507.6203068956</v>
      </c>
      <c r="D2283">
        <v>12730</v>
      </c>
      <c r="E2283">
        <f t="shared" si="177"/>
        <v>1.2729999999999999</v>
      </c>
      <c r="F2283">
        <f t="shared" si="178"/>
        <v>-2.1068559833506724</v>
      </c>
      <c r="G2283">
        <f t="shared" si="179"/>
        <v>4.4388421345805282</v>
      </c>
    </row>
    <row r="2284" spans="1:7" x14ac:dyDescent="0.35">
      <c r="A2284">
        <v>2526</v>
      </c>
      <c r="B2284">
        <f t="shared" si="175"/>
        <v>1187.6479361775928</v>
      </c>
      <c r="C2284">
        <f t="shared" si="176"/>
        <v>1410507.6203068956</v>
      </c>
      <c r="D2284">
        <v>12342</v>
      </c>
      <c r="E2284">
        <f t="shared" si="177"/>
        <v>1.2342</v>
      </c>
      <c r="F2284">
        <f t="shared" si="178"/>
        <v>-2.1456559833506725</v>
      </c>
      <c r="G2284">
        <f t="shared" si="179"/>
        <v>4.6038395988885412</v>
      </c>
    </row>
    <row r="2285" spans="1:7" x14ac:dyDescent="0.35">
      <c r="A2285">
        <v>2526</v>
      </c>
      <c r="B2285">
        <f t="shared" si="175"/>
        <v>1187.6479361775928</v>
      </c>
      <c r="C2285">
        <f t="shared" si="176"/>
        <v>1410507.6203068956</v>
      </c>
      <c r="D2285">
        <v>12951</v>
      </c>
      <c r="E2285">
        <f t="shared" si="177"/>
        <v>1.2950999999999999</v>
      </c>
      <c r="F2285">
        <f t="shared" si="178"/>
        <v>-2.0847559833506724</v>
      </c>
      <c r="G2285">
        <f t="shared" si="179"/>
        <v>4.3462075101164288</v>
      </c>
    </row>
    <row r="2286" spans="1:7" x14ac:dyDescent="0.35">
      <c r="A2286">
        <v>2526</v>
      </c>
      <c r="B2286">
        <f t="shared" si="175"/>
        <v>1187.6479361775928</v>
      </c>
      <c r="C2286">
        <f t="shared" si="176"/>
        <v>1410507.6203068956</v>
      </c>
      <c r="D2286">
        <v>13544</v>
      </c>
      <c r="E2286">
        <f t="shared" si="177"/>
        <v>1.3544</v>
      </c>
      <c r="F2286">
        <f t="shared" si="178"/>
        <v>-2.0254559833506725</v>
      </c>
      <c r="G2286">
        <f t="shared" si="179"/>
        <v>4.1024719404910392</v>
      </c>
    </row>
    <row r="2287" spans="1:7" x14ac:dyDescent="0.35">
      <c r="A2287">
        <v>2526</v>
      </c>
      <c r="B2287">
        <f t="shared" si="175"/>
        <v>1187.6479361775928</v>
      </c>
      <c r="C2287">
        <f t="shared" si="176"/>
        <v>1410507.6203068956</v>
      </c>
      <c r="D2287">
        <v>12999</v>
      </c>
      <c r="E2287">
        <f t="shared" si="177"/>
        <v>1.2999000000000001</v>
      </c>
      <c r="F2287">
        <f t="shared" si="178"/>
        <v>-2.0799559833506724</v>
      </c>
      <c r="G2287">
        <f t="shared" si="179"/>
        <v>4.3262168926762632</v>
      </c>
    </row>
    <row r="2288" spans="1:7" x14ac:dyDescent="0.35">
      <c r="A2288">
        <v>2526</v>
      </c>
      <c r="B2288">
        <f t="shared" si="175"/>
        <v>1187.6479361775928</v>
      </c>
      <c r="C2288">
        <f t="shared" si="176"/>
        <v>1410507.6203068956</v>
      </c>
      <c r="D2288">
        <v>11529</v>
      </c>
      <c r="E2288">
        <f t="shared" si="177"/>
        <v>1.1529</v>
      </c>
      <c r="F2288">
        <f t="shared" si="178"/>
        <v>-2.2269559833506722</v>
      </c>
      <c r="G2288">
        <f t="shared" si="179"/>
        <v>4.9593329517813594</v>
      </c>
    </row>
    <row r="2289" spans="1:7" x14ac:dyDescent="0.35">
      <c r="A2289">
        <v>2526</v>
      </c>
      <c r="B2289">
        <f t="shared" si="175"/>
        <v>1187.6479361775928</v>
      </c>
      <c r="C2289">
        <f t="shared" si="176"/>
        <v>1410507.6203068956</v>
      </c>
      <c r="D2289">
        <v>11604</v>
      </c>
      <c r="E2289">
        <f t="shared" si="177"/>
        <v>1.1604000000000001</v>
      </c>
      <c r="F2289">
        <f t="shared" si="178"/>
        <v>-2.2194559833506724</v>
      </c>
      <c r="G2289">
        <f t="shared" si="179"/>
        <v>4.9259848620311004</v>
      </c>
    </row>
    <row r="2290" spans="1:7" x14ac:dyDescent="0.35">
      <c r="A2290">
        <v>2526</v>
      </c>
      <c r="B2290">
        <f t="shared" si="175"/>
        <v>1187.6479361775928</v>
      </c>
      <c r="C2290">
        <f t="shared" si="176"/>
        <v>1410507.6203068956</v>
      </c>
      <c r="D2290">
        <v>10869</v>
      </c>
      <c r="E2290">
        <f t="shared" si="177"/>
        <v>1.0869</v>
      </c>
      <c r="F2290">
        <f t="shared" si="178"/>
        <v>-2.2929559833506725</v>
      </c>
      <c r="G2290">
        <f t="shared" si="179"/>
        <v>5.2576471415836492</v>
      </c>
    </row>
    <row r="2291" spans="1:7" x14ac:dyDescent="0.35">
      <c r="A2291">
        <v>2526</v>
      </c>
      <c r="B2291">
        <f t="shared" si="175"/>
        <v>1187.6479361775928</v>
      </c>
      <c r="C2291">
        <f t="shared" si="176"/>
        <v>1410507.6203068956</v>
      </c>
      <c r="D2291">
        <v>10000</v>
      </c>
      <c r="E2291">
        <f t="shared" si="177"/>
        <v>1</v>
      </c>
      <c r="F2291">
        <f t="shared" si="178"/>
        <v>-2.3798559833506725</v>
      </c>
      <c r="G2291">
        <f t="shared" si="179"/>
        <v>5.6637145014899968</v>
      </c>
    </row>
    <row r="2292" spans="1:7" x14ac:dyDescent="0.35">
      <c r="A2292">
        <v>2526</v>
      </c>
      <c r="B2292">
        <f t="shared" si="175"/>
        <v>1187.6479361775928</v>
      </c>
      <c r="C2292">
        <f t="shared" si="176"/>
        <v>1410507.6203068956</v>
      </c>
      <c r="D2292">
        <v>10049</v>
      </c>
      <c r="E2292">
        <f t="shared" si="177"/>
        <v>1.0048999999999999</v>
      </c>
      <c r="F2292">
        <f t="shared" si="178"/>
        <v>-2.3749559833506728</v>
      </c>
      <c r="G2292">
        <f t="shared" si="179"/>
        <v>5.640415922853161</v>
      </c>
    </row>
    <row r="2293" spans="1:7" x14ac:dyDescent="0.35">
      <c r="A2293">
        <v>2526</v>
      </c>
      <c r="B2293">
        <f t="shared" si="175"/>
        <v>1187.6479361775928</v>
      </c>
      <c r="C2293">
        <f t="shared" si="176"/>
        <v>1410507.6203068956</v>
      </c>
      <c r="D2293">
        <v>10037</v>
      </c>
      <c r="E2293">
        <f t="shared" si="177"/>
        <v>1.0037</v>
      </c>
      <c r="F2293">
        <f t="shared" si="178"/>
        <v>-2.3761559833506727</v>
      </c>
      <c r="G2293">
        <f t="shared" si="179"/>
        <v>5.6461172572132021</v>
      </c>
    </row>
    <row r="2294" spans="1:7" x14ac:dyDescent="0.35">
      <c r="A2294">
        <v>2526</v>
      </c>
      <c r="B2294">
        <f t="shared" si="175"/>
        <v>1187.6479361775928</v>
      </c>
      <c r="C2294">
        <f t="shared" si="176"/>
        <v>1410507.6203068956</v>
      </c>
      <c r="D2294">
        <v>11354</v>
      </c>
      <c r="E2294">
        <f t="shared" si="177"/>
        <v>1.1354</v>
      </c>
      <c r="F2294">
        <f t="shared" si="178"/>
        <v>-2.2444559833506723</v>
      </c>
      <c r="G2294">
        <f t="shared" si="179"/>
        <v>5.0375826611986332</v>
      </c>
    </row>
    <row r="2295" spans="1:7" x14ac:dyDescent="0.35">
      <c r="A2295">
        <v>2526</v>
      </c>
      <c r="B2295">
        <f t="shared" si="175"/>
        <v>1187.6479361775928</v>
      </c>
      <c r="C2295">
        <f t="shared" si="176"/>
        <v>1410507.6203068956</v>
      </c>
      <c r="D2295">
        <v>14317</v>
      </c>
      <c r="E2295">
        <f t="shared" si="177"/>
        <v>1.4317</v>
      </c>
      <c r="F2295">
        <f t="shared" si="178"/>
        <v>-1.9481559833506725</v>
      </c>
      <c r="G2295">
        <f t="shared" si="179"/>
        <v>3.7953117354650256</v>
      </c>
    </row>
    <row r="2296" spans="1:7" x14ac:dyDescent="0.35">
      <c r="A2296">
        <v>2526</v>
      </c>
      <c r="B2296">
        <f t="shared" si="175"/>
        <v>1187.6479361775928</v>
      </c>
      <c r="C2296">
        <f t="shared" si="176"/>
        <v>1410507.6203068956</v>
      </c>
      <c r="D2296">
        <v>13600</v>
      </c>
      <c r="E2296">
        <f t="shared" si="177"/>
        <v>1.36</v>
      </c>
      <c r="F2296">
        <f t="shared" si="178"/>
        <v>-2.0198559833506726</v>
      </c>
      <c r="G2296">
        <f t="shared" si="179"/>
        <v>4.0798181934775126</v>
      </c>
    </row>
    <row r="2297" spans="1:7" x14ac:dyDescent="0.35">
      <c r="A2297">
        <v>2526</v>
      </c>
      <c r="B2297">
        <f t="shared" si="175"/>
        <v>1187.6479361775928</v>
      </c>
      <c r="C2297">
        <f t="shared" si="176"/>
        <v>1410507.6203068956</v>
      </c>
      <c r="D2297">
        <v>14300</v>
      </c>
      <c r="E2297">
        <f t="shared" si="177"/>
        <v>1.43</v>
      </c>
      <c r="F2297">
        <f t="shared" si="178"/>
        <v>-1.9498559833506726</v>
      </c>
      <c r="G2297">
        <f t="shared" si="179"/>
        <v>3.8019383558084181</v>
      </c>
    </row>
    <row r="2298" spans="1:7" x14ac:dyDescent="0.35">
      <c r="A2298">
        <v>2526</v>
      </c>
      <c r="B2298">
        <f t="shared" si="175"/>
        <v>1187.6479361775928</v>
      </c>
      <c r="C2298">
        <f t="shared" si="176"/>
        <v>1410507.6203068956</v>
      </c>
      <c r="D2298">
        <v>17800</v>
      </c>
      <c r="E2298">
        <f t="shared" si="177"/>
        <v>1.78</v>
      </c>
      <c r="F2298">
        <f t="shared" si="178"/>
        <v>-1.5998559833506725</v>
      </c>
      <c r="G2298">
        <f t="shared" si="179"/>
        <v>2.5595391674629471</v>
      </c>
    </row>
    <row r="2299" spans="1:7" x14ac:dyDescent="0.35">
      <c r="A2299">
        <v>2526</v>
      </c>
      <c r="B2299">
        <f t="shared" si="175"/>
        <v>1187.6479361775928</v>
      </c>
      <c r="C2299">
        <f t="shared" si="176"/>
        <v>1410507.6203068956</v>
      </c>
      <c r="D2299">
        <v>18700</v>
      </c>
      <c r="E2299">
        <f t="shared" si="177"/>
        <v>1.87</v>
      </c>
      <c r="F2299">
        <f t="shared" si="178"/>
        <v>-1.5098559833506724</v>
      </c>
      <c r="G2299">
        <f t="shared" si="179"/>
        <v>2.2796650904598259</v>
      </c>
    </row>
    <row r="2300" spans="1:7" x14ac:dyDescent="0.35">
      <c r="A2300">
        <v>2526</v>
      </c>
      <c r="B2300">
        <f t="shared" si="175"/>
        <v>1187.6479361775928</v>
      </c>
      <c r="C2300">
        <f t="shared" si="176"/>
        <v>1410507.6203068956</v>
      </c>
      <c r="D2300">
        <v>18700</v>
      </c>
      <c r="E2300">
        <f t="shared" si="177"/>
        <v>1.87</v>
      </c>
      <c r="F2300">
        <f t="shared" si="178"/>
        <v>-1.5098559833506724</v>
      </c>
      <c r="G2300">
        <f t="shared" si="179"/>
        <v>2.2796650904598259</v>
      </c>
    </row>
    <row r="2301" spans="1:7" x14ac:dyDescent="0.35">
      <c r="A2301">
        <v>2526</v>
      </c>
      <c r="B2301">
        <f t="shared" si="175"/>
        <v>1187.6479361775928</v>
      </c>
      <c r="C2301">
        <f t="shared" si="176"/>
        <v>1410507.6203068956</v>
      </c>
      <c r="D2301">
        <v>15900</v>
      </c>
      <c r="E2301">
        <f t="shared" si="177"/>
        <v>1.59</v>
      </c>
      <c r="F2301">
        <f t="shared" si="178"/>
        <v>-1.7898559833506724</v>
      </c>
      <c r="G2301">
        <f t="shared" si="179"/>
        <v>3.2035844411362024</v>
      </c>
    </row>
    <row r="2302" spans="1:7" x14ac:dyDescent="0.35">
      <c r="A2302">
        <v>2526</v>
      </c>
      <c r="B2302">
        <f t="shared" si="175"/>
        <v>1187.6479361775928</v>
      </c>
      <c r="C2302">
        <f t="shared" si="176"/>
        <v>1410507.6203068956</v>
      </c>
      <c r="D2302">
        <v>18700</v>
      </c>
      <c r="E2302">
        <f t="shared" si="177"/>
        <v>1.87</v>
      </c>
      <c r="F2302">
        <f t="shared" si="178"/>
        <v>-1.5098559833506724</v>
      </c>
      <c r="G2302">
        <f t="shared" si="179"/>
        <v>2.2796650904598259</v>
      </c>
    </row>
    <row r="2303" spans="1:7" x14ac:dyDescent="0.35">
      <c r="A2303">
        <v>2526</v>
      </c>
      <c r="B2303">
        <f t="shared" si="175"/>
        <v>1187.6479361775928</v>
      </c>
      <c r="C2303">
        <f t="shared" si="176"/>
        <v>1410507.6203068956</v>
      </c>
      <c r="D2303">
        <v>19524</v>
      </c>
      <c r="E2303">
        <f t="shared" si="177"/>
        <v>1.9523999999999999</v>
      </c>
      <c r="F2303">
        <f t="shared" si="178"/>
        <v>-1.4274559833506726</v>
      </c>
      <c r="G2303">
        <f t="shared" si="179"/>
        <v>2.0376305844036358</v>
      </c>
    </row>
    <row r="2304" spans="1:7" x14ac:dyDescent="0.35">
      <c r="A2304">
        <v>2526</v>
      </c>
      <c r="B2304">
        <f t="shared" si="175"/>
        <v>1187.6479361775928</v>
      </c>
      <c r="C2304">
        <f t="shared" si="176"/>
        <v>1410507.6203068956</v>
      </c>
      <c r="D2304">
        <v>19910</v>
      </c>
      <c r="E2304">
        <f t="shared" si="177"/>
        <v>1.9910000000000001</v>
      </c>
      <c r="F2304">
        <f t="shared" si="178"/>
        <v>-1.3888559833506724</v>
      </c>
      <c r="G2304">
        <f t="shared" si="179"/>
        <v>1.9289209424889633</v>
      </c>
    </row>
    <row r="2305" spans="1:7" x14ac:dyDescent="0.35">
      <c r="A2305">
        <v>2526</v>
      </c>
      <c r="B2305">
        <f t="shared" si="175"/>
        <v>1187.6479361775928</v>
      </c>
      <c r="C2305">
        <f t="shared" si="176"/>
        <v>1410507.6203068956</v>
      </c>
      <c r="D2305">
        <v>20691</v>
      </c>
      <c r="E2305">
        <f t="shared" si="177"/>
        <v>2.0691000000000002</v>
      </c>
      <c r="F2305">
        <f t="shared" si="178"/>
        <v>-1.3107559833506723</v>
      </c>
      <c r="G2305">
        <f t="shared" si="179"/>
        <v>1.7180812478895879</v>
      </c>
    </row>
    <row r="2306" spans="1:7" x14ac:dyDescent="0.35">
      <c r="A2306">
        <v>3028</v>
      </c>
      <c r="B2306">
        <f t="shared" si="175"/>
        <v>1689.6479361775928</v>
      </c>
      <c r="C2306">
        <f t="shared" si="176"/>
        <v>2854910.1482291985</v>
      </c>
      <c r="D2306">
        <v>27438</v>
      </c>
      <c r="E2306">
        <f t="shared" si="177"/>
        <v>2.7437999999999998</v>
      </c>
      <c r="F2306">
        <f t="shared" si="178"/>
        <v>-0.6360559833506727</v>
      </c>
      <c r="G2306">
        <f t="shared" si="179"/>
        <v>0.40456721395619122</v>
      </c>
    </row>
    <row r="2307" spans="1:7" x14ac:dyDescent="0.35">
      <c r="A2307">
        <v>3028</v>
      </c>
      <c r="B2307">
        <f t="shared" ref="B2307:B2370" si="180">A2307-$J$1</f>
        <v>1689.6479361775928</v>
      </c>
      <c r="C2307">
        <f t="shared" ref="C2307:C2370" si="181">B2307^2</f>
        <v>2854910.1482291985</v>
      </c>
      <c r="D2307">
        <v>27601</v>
      </c>
      <c r="E2307">
        <f t="shared" ref="E2307:E2370" si="182">D2307/10000</f>
        <v>2.7601</v>
      </c>
      <c r="F2307">
        <f t="shared" ref="F2307:F2370" si="183">E2307-$J$2</f>
        <v>-0.6197559833506725</v>
      </c>
      <c r="G2307">
        <f t="shared" ref="G2307:G2370" si="184">F2307^2</f>
        <v>0.38409747889895907</v>
      </c>
    </row>
    <row r="2308" spans="1:7" x14ac:dyDescent="0.35">
      <c r="A2308">
        <v>3028</v>
      </c>
      <c r="B2308">
        <f t="shared" si="180"/>
        <v>1689.6479361775928</v>
      </c>
      <c r="C2308">
        <f t="shared" si="181"/>
        <v>2854910.1482291985</v>
      </c>
      <c r="D2308">
        <v>35714</v>
      </c>
      <c r="E2308">
        <f t="shared" si="182"/>
        <v>3.5714000000000001</v>
      </c>
      <c r="F2308">
        <f t="shared" si="183"/>
        <v>0.19154401664932763</v>
      </c>
      <c r="G2308">
        <f t="shared" si="184"/>
        <v>3.6689110314157898E-2</v>
      </c>
    </row>
    <row r="2309" spans="1:7" x14ac:dyDescent="0.35">
      <c r="A2309">
        <v>3028</v>
      </c>
      <c r="B2309">
        <f t="shared" si="180"/>
        <v>1689.6479361775928</v>
      </c>
      <c r="C2309">
        <f t="shared" si="181"/>
        <v>2854910.1482291985</v>
      </c>
      <c r="D2309">
        <v>48513</v>
      </c>
      <c r="E2309">
        <f t="shared" si="182"/>
        <v>4.8513000000000002</v>
      </c>
      <c r="F2309">
        <f t="shared" si="183"/>
        <v>1.4714440166493277</v>
      </c>
      <c r="G2309">
        <f t="shared" si="184"/>
        <v>2.165147494133107</v>
      </c>
    </row>
    <row r="2310" spans="1:7" x14ac:dyDescent="0.35">
      <c r="A2310">
        <v>3028</v>
      </c>
      <c r="B2310">
        <f t="shared" si="180"/>
        <v>1689.6479361775928</v>
      </c>
      <c r="C2310">
        <f t="shared" si="181"/>
        <v>2854910.1482291985</v>
      </c>
      <c r="D2310">
        <v>47543</v>
      </c>
      <c r="E2310">
        <f t="shared" si="182"/>
        <v>4.7542999999999997</v>
      </c>
      <c r="F2310">
        <f t="shared" si="183"/>
        <v>1.3744440166493272</v>
      </c>
      <c r="G2310">
        <f t="shared" si="184"/>
        <v>1.8890963549031361</v>
      </c>
    </row>
    <row r="2311" spans="1:7" x14ac:dyDescent="0.35">
      <c r="A2311">
        <v>3028</v>
      </c>
      <c r="B2311">
        <f t="shared" si="180"/>
        <v>1689.6479361775928</v>
      </c>
      <c r="C2311">
        <f t="shared" si="181"/>
        <v>2854910.1482291985</v>
      </c>
      <c r="D2311">
        <v>46572</v>
      </c>
      <c r="E2311">
        <f t="shared" si="182"/>
        <v>4.6571999999999996</v>
      </c>
      <c r="F2311">
        <f t="shared" si="183"/>
        <v>1.2773440166493271</v>
      </c>
      <c r="G2311">
        <f t="shared" si="184"/>
        <v>1.6316077368698363</v>
      </c>
    </row>
    <row r="2312" spans="1:7" x14ac:dyDescent="0.35">
      <c r="A2312">
        <v>3028</v>
      </c>
      <c r="B2312">
        <f t="shared" si="180"/>
        <v>1689.6479361775928</v>
      </c>
      <c r="C2312">
        <f t="shared" si="181"/>
        <v>2854910.1482291985</v>
      </c>
      <c r="D2312">
        <v>45602</v>
      </c>
      <c r="E2312">
        <f t="shared" si="182"/>
        <v>4.5602</v>
      </c>
      <c r="F2312">
        <f t="shared" si="183"/>
        <v>1.1803440166493275</v>
      </c>
      <c r="G2312">
        <f t="shared" si="184"/>
        <v>1.393211997639868</v>
      </c>
    </row>
    <row r="2313" spans="1:7" x14ac:dyDescent="0.35">
      <c r="A2313">
        <v>3028</v>
      </c>
      <c r="B2313">
        <f t="shared" si="180"/>
        <v>1689.6479361775928</v>
      </c>
      <c r="C2313">
        <f t="shared" si="181"/>
        <v>2854910.1482291985</v>
      </c>
      <c r="D2313">
        <v>44631</v>
      </c>
      <c r="E2313">
        <f t="shared" si="182"/>
        <v>4.4630999999999998</v>
      </c>
      <c r="F2313">
        <f t="shared" si="183"/>
        <v>1.0832440166493273</v>
      </c>
      <c r="G2313">
        <f t="shared" si="184"/>
        <v>1.1734175996065681</v>
      </c>
    </row>
    <row r="2314" spans="1:7" x14ac:dyDescent="0.35">
      <c r="A2314">
        <v>3028</v>
      </c>
      <c r="B2314">
        <f t="shared" si="180"/>
        <v>1689.6479361775928</v>
      </c>
      <c r="C2314">
        <f t="shared" si="181"/>
        <v>2854910.1482291985</v>
      </c>
      <c r="D2314">
        <v>45581</v>
      </c>
      <c r="E2314">
        <f t="shared" si="182"/>
        <v>4.5580999999999996</v>
      </c>
      <c r="F2314">
        <f t="shared" si="183"/>
        <v>1.1782440166493271</v>
      </c>
      <c r="G2314">
        <f t="shared" si="184"/>
        <v>1.3882589627699398</v>
      </c>
    </row>
    <row r="2315" spans="1:7" x14ac:dyDescent="0.35">
      <c r="A2315">
        <v>3028</v>
      </c>
      <c r="B2315">
        <f t="shared" si="180"/>
        <v>1689.6479361775928</v>
      </c>
      <c r="C2315">
        <f t="shared" si="181"/>
        <v>2854910.1482291985</v>
      </c>
      <c r="D2315">
        <v>38089</v>
      </c>
      <c r="E2315">
        <f t="shared" si="182"/>
        <v>3.8089</v>
      </c>
      <c r="F2315">
        <f t="shared" si="183"/>
        <v>0.42904401664932745</v>
      </c>
      <c r="G2315">
        <f t="shared" si="184"/>
        <v>0.18407876822258837</v>
      </c>
    </row>
    <row r="2316" spans="1:7" x14ac:dyDescent="0.35">
      <c r="A2316">
        <v>3028</v>
      </c>
      <c r="B2316">
        <f t="shared" si="180"/>
        <v>1689.6479361775928</v>
      </c>
      <c r="C2316">
        <f t="shared" si="181"/>
        <v>2854910.1482291985</v>
      </c>
      <c r="D2316">
        <v>39394</v>
      </c>
      <c r="E2316">
        <f t="shared" si="182"/>
        <v>3.9394</v>
      </c>
      <c r="F2316">
        <f t="shared" si="183"/>
        <v>0.55954401664932751</v>
      </c>
      <c r="G2316">
        <f t="shared" si="184"/>
        <v>0.31308950656806289</v>
      </c>
    </row>
    <row r="2317" spans="1:7" x14ac:dyDescent="0.35">
      <c r="A2317">
        <v>3028</v>
      </c>
      <c r="B2317">
        <f t="shared" si="180"/>
        <v>1689.6479361775928</v>
      </c>
      <c r="C2317">
        <f t="shared" si="181"/>
        <v>2854910.1482291985</v>
      </c>
      <c r="D2317">
        <v>45000</v>
      </c>
      <c r="E2317">
        <f t="shared" si="182"/>
        <v>4.5</v>
      </c>
      <c r="F2317">
        <f t="shared" si="183"/>
        <v>1.1201440166493275</v>
      </c>
      <c r="G2317">
        <f t="shared" si="184"/>
        <v>1.2547226180352888</v>
      </c>
    </row>
    <row r="2318" spans="1:7" x14ac:dyDescent="0.35">
      <c r="A2318">
        <v>3028</v>
      </c>
      <c r="B2318">
        <f t="shared" si="180"/>
        <v>1689.6479361775928</v>
      </c>
      <c r="C2318">
        <f t="shared" si="181"/>
        <v>2854910.1482291985</v>
      </c>
      <c r="D2318">
        <v>46495</v>
      </c>
      <c r="E2318">
        <f t="shared" si="182"/>
        <v>4.6494999999999997</v>
      </c>
      <c r="F2318">
        <f t="shared" si="183"/>
        <v>1.2696440166493272</v>
      </c>
      <c r="G2318">
        <f t="shared" si="184"/>
        <v>1.6119959290134371</v>
      </c>
    </row>
    <row r="2319" spans="1:7" x14ac:dyDescent="0.35">
      <c r="A2319">
        <v>3028</v>
      </c>
      <c r="B2319">
        <f t="shared" si="180"/>
        <v>1689.6479361775928</v>
      </c>
      <c r="C2319">
        <f t="shared" si="181"/>
        <v>2854910.1482291985</v>
      </c>
      <c r="D2319">
        <v>46496</v>
      </c>
      <c r="E2319">
        <f t="shared" si="182"/>
        <v>4.6496000000000004</v>
      </c>
      <c r="F2319">
        <f t="shared" si="183"/>
        <v>1.2697440166493279</v>
      </c>
      <c r="G2319">
        <f t="shared" si="184"/>
        <v>1.6122498678167687</v>
      </c>
    </row>
    <row r="2320" spans="1:7" x14ac:dyDescent="0.35">
      <c r="A2320">
        <v>3028</v>
      </c>
      <c r="B2320">
        <f t="shared" si="180"/>
        <v>1689.6479361775928</v>
      </c>
      <c r="C2320">
        <f t="shared" si="181"/>
        <v>2854910.1482291985</v>
      </c>
      <c r="D2320">
        <v>45984</v>
      </c>
      <c r="E2320">
        <f t="shared" si="182"/>
        <v>4.5983999999999998</v>
      </c>
      <c r="F2320">
        <f t="shared" si="183"/>
        <v>1.2185440166493273</v>
      </c>
      <c r="G2320">
        <f t="shared" si="184"/>
        <v>1.4848495205118761</v>
      </c>
    </row>
    <row r="2321" spans="1:7" x14ac:dyDescent="0.35">
      <c r="A2321">
        <v>3028</v>
      </c>
      <c r="B2321">
        <f t="shared" si="180"/>
        <v>1689.6479361775928</v>
      </c>
      <c r="C2321">
        <f t="shared" si="181"/>
        <v>2854910.1482291985</v>
      </c>
      <c r="D2321">
        <v>31250</v>
      </c>
      <c r="E2321">
        <f t="shared" si="182"/>
        <v>3.125</v>
      </c>
      <c r="F2321">
        <f t="shared" si="183"/>
        <v>-0.2548559833506725</v>
      </c>
      <c r="G2321">
        <f t="shared" si="184"/>
        <v>6.4951572249638254E-2</v>
      </c>
    </row>
    <row r="2322" spans="1:7" x14ac:dyDescent="0.35">
      <c r="A2322">
        <v>3028</v>
      </c>
      <c r="B2322">
        <f t="shared" si="180"/>
        <v>1689.6479361775928</v>
      </c>
      <c r="C2322">
        <f t="shared" si="181"/>
        <v>2854910.1482291985</v>
      </c>
      <c r="D2322">
        <v>30000</v>
      </c>
      <c r="E2322">
        <f t="shared" si="182"/>
        <v>3</v>
      </c>
      <c r="F2322">
        <f t="shared" si="183"/>
        <v>-0.3798559833506725</v>
      </c>
      <c r="G2322">
        <f t="shared" si="184"/>
        <v>0.14429056808730639</v>
      </c>
    </row>
    <row r="2323" spans="1:7" x14ac:dyDescent="0.35">
      <c r="A2323">
        <v>3028</v>
      </c>
      <c r="B2323">
        <f t="shared" si="180"/>
        <v>1689.6479361775928</v>
      </c>
      <c r="C2323">
        <f t="shared" si="181"/>
        <v>2854910.1482291985</v>
      </c>
      <c r="D2323">
        <v>33505</v>
      </c>
      <c r="E2323">
        <f t="shared" si="182"/>
        <v>3.3504999999999998</v>
      </c>
      <c r="F2323">
        <f t="shared" si="183"/>
        <v>-2.9355983350672687E-2</v>
      </c>
      <c r="G2323">
        <f t="shared" si="184"/>
        <v>8.6177375848497202E-4</v>
      </c>
    </row>
    <row r="2324" spans="1:7" x14ac:dyDescent="0.35">
      <c r="A2324">
        <v>3028</v>
      </c>
      <c r="B2324">
        <f t="shared" si="180"/>
        <v>1689.6479361775928</v>
      </c>
      <c r="C2324">
        <f t="shared" si="181"/>
        <v>2854910.1482291985</v>
      </c>
      <c r="D2324">
        <v>30011</v>
      </c>
      <c r="E2324">
        <f t="shared" si="182"/>
        <v>3.0011000000000001</v>
      </c>
      <c r="F2324">
        <f t="shared" si="183"/>
        <v>-0.3787559833506724</v>
      </c>
      <c r="G2324">
        <f t="shared" si="184"/>
        <v>0.14345609492393482</v>
      </c>
    </row>
    <row r="2325" spans="1:7" x14ac:dyDescent="0.35">
      <c r="A2325">
        <v>3028</v>
      </c>
      <c r="B2325">
        <f t="shared" si="180"/>
        <v>1689.6479361775928</v>
      </c>
      <c r="C2325">
        <f t="shared" si="181"/>
        <v>2854910.1482291985</v>
      </c>
      <c r="D2325">
        <v>25455</v>
      </c>
      <c r="E2325">
        <f t="shared" si="182"/>
        <v>2.5455000000000001</v>
      </c>
      <c r="F2325">
        <f t="shared" si="183"/>
        <v>-0.8343559833506724</v>
      </c>
      <c r="G2325">
        <f t="shared" si="184"/>
        <v>0.69614990695306755</v>
      </c>
    </row>
    <row r="2326" spans="1:7" x14ac:dyDescent="0.35">
      <c r="A2326">
        <v>3028</v>
      </c>
      <c r="B2326">
        <f t="shared" si="180"/>
        <v>1689.6479361775928</v>
      </c>
      <c r="C2326">
        <f t="shared" si="181"/>
        <v>2854910.1482291985</v>
      </c>
      <c r="D2326">
        <v>22727</v>
      </c>
      <c r="E2326">
        <f t="shared" si="182"/>
        <v>2.2726999999999999</v>
      </c>
      <c r="F2326">
        <f t="shared" si="183"/>
        <v>-1.1071559833506726</v>
      </c>
      <c r="G2326">
        <f t="shared" si="184"/>
        <v>1.2257943714691948</v>
      </c>
    </row>
    <row r="2327" spans="1:7" x14ac:dyDescent="0.35">
      <c r="A2327">
        <v>3028</v>
      </c>
      <c r="B2327">
        <f t="shared" si="180"/>
        <v>1689.6479361775928</v>
      </c>
      <c r="C2327">
        <f t="shared" si="181"/>
        <v>2854910.1482291985</v>
      </c>
      <c r="D2327">
        <v>20837</v>
      </c>
      <c r="E2327">
        <f t="shared" si="182"/>
        <v>2.0836999999999999</v>
      </c>
      <c r="F2327">
        <f t="shared" si="183"/>
        <v>-1.2961559833506726</v>
      </c>
      <c r="G2327">
        <f t="shared" si="184"/>
        <v>1.6800203331757491</v>
      </c>
    </row>
    <row r="2328" spans="1:7" x14ac:dyDescent="0.35">
      <c r="A2328">
        <v>3028</v>
      </c>
      <c r="B2328">
        <f t="shared" si="180"/>
        <v>1689.6479361775928</v>
      </c>
      <c r="C2328">
        <f t="shared" si="181"/>
        <v>2854910.1482291985</v>
      </c>
      <c r="D2328">
        <v>22406</v>
      </c>
      <c r="E2328">
        <f t="shared" si="182"/>
        <v>2.2406000000000001</v>
      </c>
      <c r="F2328">
        <f t="shared" si="183"/>
        <v>-1.1392559833506724</v>
      </c>
      <c r="G2328">
        <f t="shared" si="184"/>
        <v>1.2979041956003075</v>
      </c>
    </row>
    <row r="2329" spans="1:7" x14ac:dyDescent="0.35">
      <c r="A2329">
        <v>3028</v>
      </c>
      <c r="B2329">
        <f t="shared" si="180"/>
        <v>1689.6479361775928</v>
      </c>
      <c r="C2329">
        <f t="shared" si="181"/>
        <v>2854910.1482291985</v>
      </c>
      <c r="D2329">
        <v>21353</v>
      </c>
      <c r="E2329">
        <f t="shared" si="182"/>
        <v>2.1353</v>
      </c>
      <c r="F2329">
        <f t="shared" si="183"/>
        <v>-1.2445559833506725</v>
      </c>
      <c r="G2329">
        <f t="shared" si="184"/>
        <v>1.5489195956939594</v>
      </c>
    </row>
    <row r="2330" spans="1:7" x14ac:dyDescent="0.35">
      <c r="A2330">
        <v>3028</v>
      </c>
      <c r="B2330">
        <f t="shared" si="180"/>
        <v>1689.6479361775928</v>
      </c>
      <c r="C2330">
        <f t="shared" si="181"/>
        <v>2854910.1482291985</v>
      </c>
      <c r="D2330">
        <v>20148</v>
      </c>
      <c r="E2330">
        <f t="shared" si="182"/>
        <v>2.0148000000000001</v>
      </c>
      <c r="F2330">
        <f t="shared" si="183"/>
        <v>-1.3650559833506724</v>
      </c>
      <c r="G2330">
        <f t="shared" si="184"/>
        <v>1.8633778376814711</v>
      </c>
    </row>
    <row r="2331" spans="1:7" x14ac:dyDescent="0.35">
      <c r="A2331">
        <v>3028</v>
      </c>
      <c r="B2331">
        <f t="shared" si="180"/>
        <v>1689.6479361775928</v>
      </c>
      <c r="C2331">
        <f t="shared" si="181"/>
        <v>2854910.1482291985</v>
      </c>
      <c r="D2331">
        <v>18944</v>
      </c>
      <c r="E2331">
        <f t="shared" si="182"/>
        <v>1.8944000000000001</v>
      </c>
      <c r="F2331">
        <f t="shared" si="183"/>
        <v>-1.4854559833506724</v>
      </c>
      <c r="G2331">
        <f t="shared" si="184"/>
        <v>2.2065794784723129</v>
      </c>
    </row>
    <row r="2332" spans="1:7" x14ac:dyDescent="0.35">
      <c r="A2332">
        <v>3028</v>
      </c>
      <c r="B2332">
        <f t="shared" si="180"/>
        <v>1689.6479361775928</v>
      </c>
      <c r="C2332">
        <f t="shared" si="181"/>
        <v>2854910.1482291985</v>
      </c>
      <c r="D2332">
        <v>17739</v>
      </c>
      <c r="E2332">
        <f t="shared" si="182"/>
        <v>1.7739</v>
      </c>
      <c r="F2332">
        <f t="shared" si="183"/>
        <v>-1.6059559833506725</v>
      </c>
      <c r="G2332">
        <f t="shared" si="184"/>
        <v>2.5790946204598253</v>
      </c>
    </row>
    <row r="2333" spans="1:7" x14ac:dyDescent="0.35">
      <c r="A2333">
        <v>3028</v>
      </c>
      <c r="B2333">
        <f t="shared" si="180"/>
        <v>1689.6479361775928</v>
      </c>
      <c r="C2333">
        <f t="shared" si="181"/>
        <v>2854910.1482291985</v>
      </c>
      <c r="D2333">
        <v>16570</v>
      </c>
      <c r="E2333">
        <f t="shared" si="182"/>
        <v>1.657</v>
      </c>
      <c r="F2333">
        <f t="shared" si="183"/>
        <v>-1.7228559833506725</v>
      </c>
      <c r="G2333">
        <f t="shared" si="184"/>
        <v>2.9682327393672128</v>
      </c>
    </row>
    <row r="2334" spans="1:7" x14ac:dyDescent="0.35">
      <c r="A2334">
        <v>282</v>
      </c>
      <c r="B2334">
        <f t="shared" si="180"/>
        <v>-1056.3520638224072</v>
      </c>
      <c r="C2334">
        <f t="shared" si="181"/>
        <v>1115879.682741859</v>
      </c>
      <c r="D2334">
        <v>40769</v>
      </c>
      <c r="E2334">
        <f t="shared" si="182"/>
        <v>4.0769000000000002</v>
      </c>
      <c r="F2334">
        <f t="shared" si="183"/>
        <v>0.69704401664932769</v>
      </c>
      <c r="G2334">
        <f t="shared" si="184"/>
        <v>0.48587036114662824</v>
      </c>
    </row>
    <row r="2335" spans="1:7" x14ac:dyDescent="0.35">
      <c r="A2335">
        <v>282</v>
      </c>
      <c r="B2335">
        <f t="shared" si="180"/>
        <v>-1056.3520638224072</v>
      </c>
      <c r="C2335">
        <f t="shared" si="181"/>
        <v>1115879.682741859</v>
      </c>
      <c r="D2335">
        <v>37188</v>
      </c>
      <c r="E2335">
        <f t="shared" si="182"/>
        <v>3.7187999999999999</v>
      </c>
      <c r="F2335">
        <f t="shared" si="183"/>
        <v>0.33894401664932738</v>
      </c>
      <c r="G2335">
        <f t="shared" si="184"/>
        <v>0.11488304642237952</v>
      </c>
    </row>
    <row r="2336" spans="1:7" x14ac:dyDescent="0.35">
      <c r="A2336">
        <v>282</v>
      </c>
      <c r="B2336">
        <f t="shared" si="180"/>
        <v>-1056.3520638224072</v>
      </c>
      <c r="C2336">
        <f t="shared" si="181"/>
        <v>1115879.682741859</v>
      </c>
      <c r="D2336">
        <v>33333</v>
      </c>
      <c r="E2336">
        <f t="shared" si="182"/>
        <v>3.3332999999999999</v>
      </c>
      <c r="F2336">
        <f t="shared" si="183"/>
        <v>-4.655598335067257E-2</v>
      </c>
      <c r="G2336">
        <f t="shared" si="184"/>
        <v>2.1674595857481016E-3</v>
      </c>
    </row>
    <row r="2337" spans="1:7" x14ac:dyDescent="0.35">
      <c r="A2337">
        <v>282</v>
      </c>
      <c r="B2337">
        <f t="shared" si="180"/>
        <v>-1056.3520638224072</v>
      </c>
      <c r="C2337">
        <f t="shared" si="181"/>
        <v>1115879.682741859</v>
      </c>
      <c r="D2337">
        <v>30308</v>
      </c>
      <c r="E2337">
        <f t="shared" si="182"/>
        <v>3.0308000000000002</v>
      </c>
      <c r="F2337">
        <f t="shared" si="183"/>
        <v>-0.34905598335067234</v>
      </c>
      <c r="G2337">
        <f t="shared" si="184"/>
        <v>0.12184007951290485</v>
      </c>
    </row>
    <row r="2338" spans="1:7" x14ac:dyDescent="0.35">
      <c r="A2338">
        <v>282</v>
      </c>
      <c r="B2338">
        <f t="shared" si="180"/>
        <v>-1056.3520638224072</v>
      </c>
      <c r="C2338">
        <f t="shared" si="181"/>
        <v>1115879.682741859</v>
      </c>
      <c r="D2338">
        <v>30000</v>
      </c>
      <c r="E2338">
        <f t="shared" si="182"/>
        <v>3</v>
      </c>
      <c r="F2338">
        <f t="shared" si="183"/>
        <v>-0.3798559833506725</v>
      </c>
      <c r="G2338">
        <f t="shared" si="184"/>
        <v>0.14429056808730639</v>
      </c>
    </row>
    <row r="2339" spans="1:7" x14ac:dyDescent="0.35">
      <c r="A2339">
        <v>282</v>
      </c>
      <c r="B2339">
        <f t="shared" si="180"/>
        <v>-1056.3520638224072</v>
      </c>
      <c r="C2339">
        <f t="shared" si="181"/>
        <v>1115879.682741859</v>
      </c>
      <c r="D2339">
        <v>25000</v>
      </c>
      <c r="E2339">
        <f t="shared" si="182"/>
        <v>2.5</v>
      </c>
      <c r="F2339">
        <f t="shared" si="183"/>
        <v>-0.8798559833506725</v>
      </c>
      <c r="G2339">
        <f t="shared" si="184"/>
        <v>0.77414655143797884</v>
      </c>
    </row>
    <row r="2340" spans="1:7" x14ac:dyDescent="0.35">
      <c r="A2340">
        <v>282</v>
      </c>
      <c r="B2340">
        <f t="shared" si="180"/>
        <v>-1056.3520638224072</v>
      </c>
      <c r="C2340">
        <f t="shared" si="181"/>
        <v>1115879.682741859</v>
      </c>
      <c r="D2340">
        <v>25694</v>
      </c>
      <c r="E2340">
        <f t="shared" si="182"/>
        <v>2.5693999999999999</v>
      </c>
      <c r="F2340">
        <f t="shared" si="183"/>
        <v>-0.81045598335067259</v>
      </c>
      <c r="G2340">
        <f t="shared" si="184"/>
        <v>0.65683890094890574</v>
      </c>
    </row>
    <row r="2341" spans="1:7" x14ac:dyDescent="0.35">
      <c r="A2341">
        <v>282</v>
      </c>
      <c r="B2341">
        <f t="shared" si="180"/>
        <v>-1056.3520638224072</v>
      </c>
      <c r="C2341">
        <f t="shared" si="181"/>
        <v>1115879.682741859</v>
      </c>
      <c r="D2341">
        <v>25000</v>
      </c>
      <c r="E2341">
        <f t="shared" si="182"/>
        <v>2.5</v>
      </c>
      <c r="F2341">
        <f t="shared" si="183"/>
        <v>-0.8798559833506725</v>
      </c>
      <c r="G2341">
        <f t="shared" si="184"/>
        <v>0.77414655143797884</v>
      </c>
    </row>
    <row r="2342" spans="1:7" x14ac:dyDescent="0.35">
      <c r="A2342">
        <v>282</v>
      </c>
      <c r="B2342">
        <f t="shared" si="180"/>
        <v>-1056.3520638224072</v>
      </c>
      <c r="C2342">
        <f t="shared" si="181"/>
        <v>1115879.682741859</v>
      </c>
      <c r="D2342">
        <v>15000</v>
      </c>
      <c r="E2342">
        <f t="shared" si="182"/>
        <v>1.5</v>
      </c>
      <c r="F2342">
        <f t="shared" si="183"/>
        <v>-1.8798559833506725</v>
      </c>
      <c r="G2342">
        <f t="shared" si="184"/>
        <v>3.5338585181393238</v>
      </c>
    </row>
    <row r="2343" spans="1:7" x14ac:dyDescent="0.35">
      <c r="A2343">
        <v>282</v>
      </c>
      <c r="B2343">
        <f t="shared" si="180"/>
        <v>-1056.3520638224072</v>
      </c>
      <c r="C2343">
        <f t="shared" si="181"/>
        <v>1115879.682741859</v>
      </c>
      <c r="D2343">
        <v>16667</v>
      </c>
      <c r="E2343">
        <f t="shared" si="182"/>
        <v>1.6667000000000001</v>
      </c>
      <c r="F2343">
        <f t="shared" si="183"/>
        <v>-1.7131559833506724</v>
      </c>
      <c r="G2343">
        <f t="shared" si="184"/>
        <v>2.9349034232902094</v>
      </c>
    </row>
    <row r="2344" spans="1:7" x14ac:dyDescent="0.35">
      <c r="A2344">
        <v>282</v>
      </c>
      <c r="B2344">
        <f t="shared" si="180"/>
        <v>-1056.3520638224072</v>
      </c>
      <c r="C2344">
        <f t="shared" si="181"/>
        <v>1115879.682741859</v>
      </c>
      <c r="D2344">
        <v>31290</v>
      </c>
      <c r="E2344">
        <f t="shared" si="182"/>
        <v>3.129</v>
      </c>
      <c r="F2344">
        <f t="shared" si="183"/>
        <v>-0.2508559833506725</v>
      </c>
      <c r="G2344">
        <f t="shared" si="184"/>
        <v>6.2928724382832882E-2</v>
      </c>
    </row>
    <row r="2345" spans="1:7" x14ac:dyDescent="0.35">
      <c r="A2345">
        <v>282</v>
      </c>
      <c r="B2345">
        <f t="shared" si="180"/>
        <v>-1056.3520638224072</v>
      </c>
      <c r="C2345">
        <f t="shared" si="181"/>
        <v>1115879.682741859</v>
      </c>
      <c r="D2345">
        <v>35937</v>
      </c>
      <c r="E2345">
        <f t="shared" si="182"/>
        <v>3.5937000000000001</v>
      </c>
      <c r="F2345">
        <f t="shared" si="183"/>
        <v>0.21384401664932762</v>
      </c>
      <c r="G2345">
        <f t="shared" si="184"/>
        <v>4.5729263456717906E-2</v>
      </c>
    </row>
    <row r="2346" spans="1:7" x14ac:dyDescent="0.35">
      <c r="A2346">
        <v>282</v>
      </c>
      <c r="B2346">
        <f t="shared" si="180"/>
        <v>-1056.3520638224072</v>
      </c>
      <c r="C2346">
        <f t="shared" si="181"/>
        <v>1115879.682741859</v>
      </c>
      <c r="D2346">
        <v>42459</v>
      </c>
      <c r="E2346">
        <f t="shared" si="182"/>
        <v>4.2458999999999998</v>
      </c>
      <c r="F2346">
        <f t="shared" si="183"/>
        <v>0.86604401664932729</v>
      </c>
      <c r="G2346">
        <f t="shared" si="184"/>
        <v>0.7500322387741003</v>
      </c>
    </row>
    <row r="2347" spans="1:7" x14ac:dyDescent="0.35">
      <c r="A2347">
        <v>282</v>
      </c>
      <c r="B2347">
        <f t="shared" si="180"/>
        <v>-1056.3520638224072</v>
      </c>
      <c r="C2347">
        <f t="shared" si="181"/>
        <v>1115879.682741859</v>
      </c>
      <c r="D2347">
        <v>57143</v>
      </c>
      <c r="E2347">
        <f t="shared" si="182"/>
        <v>5.7142999999999997</v>
      </c>
      <c r="F2347">
        <f t="shared" si="183"/>
        <v>2.3344440166493272</v>
      </c>
      <c r="G2347">
        <f t="shared" si="184"/>
        <v>5.449628866869844</v>
      </c>
    </row>
    <row r="2348" spans="1:7" x14ac:dyDescent="0.35">
      <c r="A2348">
        <v>282</v>
      </c>
      <c r="B2348">
        <f t="shared" si="180"/>
        <v>-1056.3520638224072</v>
      </c>
      <c r="C2348">
        <f t="shared" si="181"/>
        <v>1115879.682741859</v>
      </c>
      <c r="D2348">
        <v>20000</v>
      </c>
      <c r="E2348">
        <f t="shared" si="182"/>
        <v>2</v>
      </c>
      <c r="F2348">
        <f t="shared" si="183"/>
        <v>-1.3798559833506725</v>
      </c>
      <c r="G2348">
        <f t="shared" si="184"/>
        <v>1.9040025347886513</v>
      </c>
    </row>
    <row r="2349" spans="1:7" x14ac:dyDescent="0.35">
      <c r="A2349">
        <v>282</v>
      </c>
      <c r="B2349">
        <f t="shared" si="180"/>
        <v>-1056.3520638224072</v>
      </c>
      <c r="C2349">
        <f t="shared" si="181"/>
        <v>1115879.682741859</v>
      </c>
      <c r="D2349">
        <v>59701</v>
      </c>
      <c r="E2349">
        <f t="shared" si="182"/>
        <v>5.9701000000000004</v>
      </c>
      <c r="F2349">
        <f t="shared" si="183"/>
        <v>2.5902440166493279</v>
      </c>
      <c r="G2349">
        <f t="shared" si="184"/>
        <v>6.7093640657876437</v>
      </c>
    </row>
    <row r="2350" spans="1:7" x14ac:dyDescent="0.35">
      <c r="A2350">
        <v>282</v>
      </c>
      <c r="B2350">
        <f t="shared" si="180"/>
        <v>-1056.3520638224072</v>
      </c>
      <c r="C2350">
        <f t="shared" si="181"/>
        <v>1115879.682741859</v>
      </c>
      <c r="D2350">
        <v>60000</v>
      </c>
      <c r="E2350">
        <f t="shared" si="182"/>
        <v>6</v>
      </c>
      <c r="F2350">
        <f t="shared" si="183"/>
        <v>2.6201440166493275</v>
      </c>
      <c r="G2350">
        <f t="shared" si="184"/>
        <v>6.8651546679832718</v>
      </c>
    </row>
    <row r="2351" spans="1:7" x14ac:dyDescent="0.35">
      <c r="A2351">
        <v>282</v>
      </c>
      <c r="B2351">
        <f t="shared" si="180"/>
        <v>-1056.3520638224072</v>
      </c>
      <c r="C2351">
        <f t="shared" si="181"/>
        <v>1115879.682741859</v>
      </c>
      <c r="D2351">
        <v>60000</v>
      </c>
      <c r="E2351">
        <f t="shared" si="182"/>
        <v>6</v>
      </c>
      <c r="F2351">
        <f t="shared" si="183"/>
        <v>2.6201440166493275</v>
      </c>
      <c r="G2351">
        <f t="shared" si="184"/>
        <v>6.8651546679832718</v>
      </c>
    </row>
    <row r="2352" spans="1:7" x14ac:dyDescent="0.35">
      <c r="A2352">
        <v>282</v>
      </c>
      <c r="B2352">
        <f t="shared" si="180"/>
        <v>-1056.3520638224072</v>
      </c>
      <c r="C2352">
        <f t="shared" si="181"/>
        <v>1115879.682741859</v>
      </c>
      <c r="D2352">
        <v>54582</v>
      </c>
      <c r="E2352">
        <f t="shared" si="182"/>
        <v>5.4581999999999997</v>
      </c>
      <c r="F2352">
        <f t="shared" si="183"/>
        <v>2.0783440166493272</v>
      </c>
      <c r="G2352">
        <f t="shared" si="184"/>
        <v>4.3195138515420588</v>
      </c>
    </row>
    <row r="2353" spans="1:7" x14ac:dyDescent="0.35">
      <c r="A2353">
        <v>282</v>
      </c>
      <c r="B2353">
        <f t="shared" si="180"/>
        <v>-1056.3520638224072</v>
      </c>
      <c r="C2353">
        <f t="shared" si="181"/>
        <v>1115879.682741859</v>
      </c>
      <c r="D2353">
        <v>55057</v>
      </c>
      <c r="E2353">
        <f t="shared" si="182"/>
        <v>5.5057</v>
      </c>
      <c r="F2353">
        <f t="shared" si="183"/>
        <v>2.1258440166493275</v>
      </c>
      <c r="G2353">
        <f t="shared" si="184"/>
        <v>4.5192127831237467</v>
      </c>
    </row>
    <row r="2354" spans="1:7" x14ac:dyDescent="0.35">
      <c r="A2354">
        <v>282</v>
      </c>
      <c r="B2354">
        <f t="shared" si="180"/>
        <v>-1056.3520638224072</v>
      </c>
      <c r="C2354">
        <f t="shared" si="181"/>
        <v>1115879.682741859</v>
      </c>
      <c r="D2354">
        <v>61538</v>
      </c>
      <c r="E2354">
        <f t="shared" si="182"/>
        <v>6.1538000000000004</v>
      </c>
      <c r="F2354">
        <f t="shared" si="183"/>
        <v>2.7739440166493279</v>
      </c>
      <c r="G2354">
        <f t="shared" si="184"/>
        <v>7.6947654075046064</v>
      </c>
    </row>
    <row r="2355" spans="1:7" x14ac:dyDescent="0.35">
      <c r="A2355">
        <v>282</v>
      </c>
      <c r="B2355">
        <f t="shared" si="180"/>
        <v>-1056.3520638224072</v>
      </c>
      <c r="C2355">
        <f t="shared" si="181"/>
        <v>1115879.682741859</v>
      </c>
      <c r="D2355">
        <v>51579</v>
      </c>
      <c r="E2355">
        <f t="shared" si="182"/>
        <v>5.1578999999999997</v>
      </c>
      <c r="F2355">
        <f t="shared" si="183"/>
        <v>1.7780440166493272</v>
      </c>
      <c r="G2355">
        <f t="shared" si="184"/>
        <v>3.1614405251424729</v>
      </c>
    </row>
    <row r="2356" spans="1:7" x14ac:dyDescent="0.35">
      <c r="A2356">
        <v>282</v>
      </c>
      <c r="B2356">
        <f t="shared" si="180"/>
        <v>-1056.3520638224072</v>
      </c>
      <c r="C2356">
        <f t="shared" si="181"/>
        <v>1115879.682741859</v>
      </c>
      <c r="D2356">
        <v>47273</v>
      </c>
      <c r="E2356">
        <f t="shared" si="182"/>
        <v>4.7272999999999996</v>
      </c>
      <c r="F2356">
        <f t="shared" si="183"/>
        <v>1.3474440166493271</v>
      </c>
      <c r="G2356">
        <f t="shared" si="184"/>
        <v>1.8156053780040722</v>
      </c>
    </row>
    <row r="2357" spans="1:7" x14ac:dyDescent="0.35">
      <c r="A2357">
        <v>282</v>
      </c>
      <c r="B2357">
        <f t="shared" si="180"/>
        <v>-1056.3520638224072</v>
      </c>
      <c r="C2357">
        <f t="shared" si="181"/>
        <v>1115879.682741859</v>
      </c>
      <c r="D2357">
        <v>52000</v>
      </c>
      <c r="E2357">
        <f t="shared" si="182"/>
        <v>5.2</v>
      </c>
      <c r="F2357">
        <f t="shared" si="183"/>
        <v>1.8201440166493277</v>
      </c>
      <c r="G2357">
        <f t="shared" si="184"/>
        <v>3.3129242413443478</v>
      </c>
    </row>
    <row r="2358" spans="1:7" x14ac:dyDescent="0.35">
      <c r="A2358">
        <v>282</v>
      </c>
      <c r="B2358">
        <f t="shared" si="180"/>
        <v>-1056.3520638224072</v>
      </c>
      <c r="C2358">
        <f t="shared" si="181"/>
        <v>1115879.682741859</v>
      </c>
      <c r="D2358">
        <v>35583</v>
      </c>
      <c r="E2358">
        <f t="shared" si="182"/>
        <v>3.5583</v>
      </c>
      <c r="F2358">
        <f t="shared" si="183"/>
        <v>0.17844401664932752</v>
      </c>
      <c r="G2358">
        <f t="shared" si="184"/>
        <v>3.1842267077945477E-2</v>
      </c>
    </row>
    <row r="2359" spans="1:7" x14ac:dyDescent="0.35">
      <c r="A2359">
        <v>282</v>
      </c>
      <c r="B2359">
        <f t="shared" si="180"/>
        <v>-1056.3520638224072</v>
      </c>
      <c r="C2359">
        <f t="shared" si="181"/>
        <v>1115879.682741859</v>
      </c>
      <c r="D2359">
        <v>48691</v>
      </c>
      <c r="E2359">
        <f t="shared" si="182"/>
        <v>4.8691000000000004</v>
      </c>
      <c r="F2359">
        <f t="shared" si="183"/>
        <v>1.4892440166493279</v>
      </c>
      <c r="G2359">
        <f t="shared" si="184"/>
        <v>2.2178477411258237</v>
      </c>
    </row>
    <row r="2360" spans="1:7" x14ac:dyDescent="0.35">
      <c r="A2360">
        <v>282</v>
      </c>
      <c r="B2360">
        <f t="shared" si="180"/>
        <v>-1056.3520638224072</v>
      </c>
      <c r="C2360">
        <f t="shared" si="181"/>
        <v>1115879.682741859</v>
      </c>
      <c r="D2360">
        <v>14723</v>
      </c>
      <c r="E2360">
        <f t="shared" si="182"/>
        <v>1.4722999999999999</v>
      </c>
      <c r="F2360">
        <f t="shared" si="183"/>
        <v>-1.9075559833506726</v>
      </c>
      <c r="G2360">
        <f t="shared" si="184"/>
        <v>3.6387698296169515</v>
      </c>
    </row>
    <row r="2361" spans="1:7" x14ac:dyDescent="0.35">
      <c r="A2361">
        <v>282</v>
      </c>
      <c r="B2361">
        <f t="shared" si="180"/>
        <v>-1056.3520638224072</v>
      </c>
      <c r="C2361">
        <f t="shared" si="181"/>
        <v>1115879.682741859</v>
      </c>
      <c r="D2361">
        <v>20000</v>
      </c>
      <c r="E2361">
        <f t="shared" si="182"/>
        <v>2</v>
      </c>
      <c r="F2361">
        <f t="shared" si="183"/>
        <v>-1.3798559833506725</v>
      </c>
      <c r="G2361">
        <f t="shared" si="184"/>
        <v>1.9040025347886513</v>
      </c>
    </row>
    <row r="2362" spans="1:7" x14ac:dyDescent="0.35">
      <c r="A2362">
        <v>282</v>
      </c>
      <c r="B2362">
        <f t="shared" si="180"/>
        <v>-1056.3520638224072</v>
      </c>
      <c r="C2362">
        <f t="shared" si="181"/>
        <v>1115879.682741859</v>
      </c>
      <c r="D2362">
        <v>17500</v>
      </c>
      <c r="E2362">
        <f t="shared" si="182"/>
        <v>1.75</v>
      </c>
      <c r="F2362">
        <f t="shared" si="183"/>
        <v>-1.6298559833506725</v>
      </c>
      <c r="G2362">
        <f t="shared" si="184"/>
        <v>2.6564305264639878</v>
      </c>
    </row>
    <row r="2363" spans="1:7" x14ac:dyDescent="0.35">
      <c r="A2363">
        <v>282</v>
      </c>
      <c r="B2363">
        <f t="shared" si="180"/>
        <v>-1056.3520638224072</v>
      </c>
      <c r="C2363">
        <f t="shared" si="181"/>
        <v>1115879.682741859</v>
      </c>
      <c r="D2363">
        <v>18333</v>
      </c>
      <c r="E2363">
        <f t="shared" si="182"/>
        <v>1.8332999999999999</v>
      </c>
      <c r="F2363">
        <f t="shared" si="183"/>
        <v>-1.5465559833506726</v>
      </c>
      <c r="G2363">
        <f t="shared" si="184"/>
        <v>2.3918354096377659</v>
      </c>
    </row>
    <row r="2364" spans="1:7" x14ac:dyDescent="0.35">
      <c r="A2364">
        <v>495</v>
      </c>
      <c r="B2364">
        <f t="shared" si="180"/>
        <v>-843.35206382240722</v>
      </c>
      <c r="C2364">
        <f t="shared" si="181"/>
        <v>711242.70355351362</v>
      </c>
      <c r="D2364">
        <v>23077</v>
      </c>
      <c r="E2364">
        <f t="shared" si="182"/>
        <v>2.3077000000000001</v>
      </c>
      <c r="F2364">
        <f t="shared" si="183"/>
        <v>-1.0721559833506724</v>
      </c>
      <c r="G2364">
        <f t="shared" si="184"/>
        <v>1.1495184526346474</v>
      </c>
    </row>
    <row r="2365" spans="1:7" x14ac:dyDescent="0.35">
      <c r="A2365">
        <v>495</v>
      </c>
      <c r="B2365">
        <f t="shared" si="180"/>
        <v>-843.35206382240722</v>
      </c>
      <c r="C2365">
        <f t="shared" si="181"/>
        <v>711242.70355351362</v>
      </c>
      <c r="D2365">
        <v>23077</v>
      </c>
      <c r="E2365">
        <f t="shared" si="182"/>
        <v>2.3077000000000001</v>
      </c>
      <c r="F2365">
        <f t="shared" si="183"/>
        <v>-1.0721559833506724</v>
      </c>
      <c r="G2365">
        <f t="shared" si="184"/>
        <v>1.1495184526346474</v>
      </c>
    </row>
    <row r="2366" spans="1:7" x14ac:dyDescent="0.35">
      <c r="A2366">
        <v>495</v>
      </c>
      <c r="B2366">
        <f t="shared" si="180"/>
        <v>-843.35206382240722</v>
      </c>
      <c r="C2366">
        <f t="shared" si="181"/>
        <v>711242.70355351362</v>
      </c>
      <c r="D2366">
        <v>23077</v>
      </c>
      <c r="E2366">
        <f t="shared" si="182"/>
        <v>2.3077000000000001</v>
      </c>
      <c r="F2366">
        <f t="shared" si="183"/>
        <v>-1.0721559833506724</v>
      </c>
      <c r="G2366">
        <f t="shared" si="184"/>
        <v>1.1495184526346474</v>
      </c>
    </row>
    <row r="2367" spans="1:7" x14ac:dyDescent="0.35">
      <c r="A2367">
        <v>495</v>
      </c>
      <c r="B2367">
        <f t="shared" si="180"/>
        <v>-843.35206382240722</v>
      </c>
      <c r="C2367">
        <f t="shared" si="181"/>
        <v>711242.70355351362</v>
      </c>
      <c r="D2367">
        <v>23077</v>
      </c>
      <c r="E2367">
        <f t="shared" si="182"/>
        <v>2.3077000000000001</v>
      </c>
      <c r="F2367">
        <f t="shared" si="183"/>
        <v>-1.0721559833506724</v>
      </c>
      <c r="G2367">
        <f t="shared" si="184"/>
        <v>1.1495184526346474</v>
      </c>
    </row>
    <row r="2368" spans="1:7" x14ac:dyDescent="0.35">
      <c r="A2368">
        <v>495</v>
      </c>
      <c r="B2368">
        <f t="shared" si="180"/>
        <v>-843.35206382240722</v>
      </c>
      <c r="C2368">
        <f t="shared" si="181"/>
        <v>711242.70355351362</v>
      </c>
      <c r="D2368">
        <v>18976</v>
      </c>
      <c r="E2368">
        <f t="shared" si="182"/>
        <v>1.8976</v>
      </c>
      <c r="F2368">
        <f t="shared" si="183"/>
        <v>-1.4822559833506725</v>
      </c>
      <c r="G2368">
        <f t="shared" si="184"/>
        <v>2.1970828001788694</v>
      </c>
    </row>
    <row r="2369" spans="1:7" x14ac:dyDescent="0.35">
      <c r="A2369">
        <v>495</v>
      </c>
      <c r="B2369">
        <f t="shared" si="180"/>
        <v>-843.35206382240722</v>
      </c>
      <c r="C2369">
        <f t="shared" si="181"/>
        <v>711242.70355351362</v>
      </c>
      <c r="D2369">
        <v>21297</v>
      </c>
      <c r="E2369">
        <f t="shared" si="182"/>
        <v>2.1297000000000001</v>
      </c>
      <c r="F2369">
        <f t="shared" si="183"/>
        <v>-1.2501559833506724</v>
      </c>
      <c r="G2369">
        <f t="shared" si="184"/>
        <v>1.5628899827074865</v>
      </c>
    </row>
    <row r="2370" spans="1:7" x14ac:dyDescent="0.35">
      <c r="A2370">
        <v>495</v>
      </c>
      <c r="B2370">
        <f t="shared" si="180"/>
        <v>-843.35206382240722</v>
      </c>
      <c r="C2370">
        <f t="shared" si="181"/>
        <v>711242.70355351362</v>
      </c>
      <c r="D2370">
        <v>21503</v>
      </c>
      <c r="E2370">
        <f t="shared" si="182"/>
        <v>2.1503000000000001</v>
      </c>
      <c r="F2370">
        <f t="shared" si="183"/>
        <v>-1.2295559833506724</v>
      </c>
      <c r="G2370">
        <f t="shared" si="184"/>
        <v>1.511807916193439</v>
      </c>
    </row>
    <row r="2371" spans="1:7" x14ac:dyDescent="0.35">
      <c r="A2371">
        <v>495</v>
      </c>
      <c r="B2371">
        <f t="shared" ref="B2371:B2434" si="185">A2371-$J$1</f>
        <v>-843.35206382240722</v>
      </c>
      <c r="C2371">
        <f t="shared" ref="C2371:C2434" si="186">B2371^2</f>
        <v>711242.70355351362</v>
      </c>
      <c r="D2371">
        <v>21710</v>
      </c>
      <c r="E2371">
        <f t="shared" ref="E2371:E2434" si="187">D2371/10000</f>
        <v>2.1709999999999998</v>
      </c>
      <c r="F2371">
        <f t="shared" ref="F2371:F2434" si="188">E2371-$J$2</f>
        <v>-1.2088559833506727</v>
      </c>
      <c r="G2371">
        <f t="shared" ref="G2371:G2434" si="189">F2371^2</f>
        <v>1.4613327884827219</v>
      </c>
    </row>
    <row r="2372" spans="1:7" x14ac:dyDescent="0.35">
      <c r="A2372">
        <v>495</v>
      </c>
      <c r="B2372">
        <f t="shared" si="185"/>
        <v>-843.35206382240722</v>
      </c>
      <c r="C2372">
        <f t="shared" si="186"/>
        <v>711242.70355351362</v>
      </c>
      <c r="D2372">
        <v>21917</v>
      </c>
      <c r="E2372">
        <f t="shared" si="187"/>
        <v>2.1917</v>
      </c>
      <c r="F2372">
        <f t="shared" si="188"/>
        <v>-1.1881559833506725</v>
      </c>
      <c r="G2372">
        <f t="shared" si="189"/>
        <v>1.4117146407720036</v>
      </c>
    </row>
    <row r="2373" spans="1:7" x14ac:dyDescent="0.35">
      <c r="A2373">
        <v>495</v>
      </c>
      <c r="B2373">
        <f t="shared" si="185"/>
        <v>-843.35206382240722</v>
      </c>
      <c r="C2373">
        <f t="shared" si="186"/>
        <v>711242.70355351362</v>
      </c>
      <c r="D2373">
        <v>22124</v>
      </c>
      <c r="E2373">
        <f t="shared" si="187"/>
        <v>2.2124000000000001</v>
      </c>
      <c r="F2373">
        <f t="shared" si="188"/>
        <v>-1.1674559833506724</v>
      </c>
      <c r="G2373">
        <f t="shared" si="189"/>
        <v>1.3629534730612853</v>
      </c>
    </row>
    <row r="2374" spans="1:7" x14ac:dyDescent="0.35">
      <c r="A2374">
        <v>495</v>
      </c>
      <c r="B2374">
        <f t="shared" si="185"/>
        <v>-843.35206382240722</v>
      </c>
      <c r="C2374">
        <f t="shared" si="186"/>
        <v>711242.70355351362</v>
      </c>
      <c r="D2374">
        <v>22331</v>
      </c>
      <c r="E2374">
        <f t="shared" si="187"/>
        <v>2.2330999999999999</v>
      </c>
      <c r="F2374">
        <f t="shared" si="188"/>
        <v>-1.1467559833506726</v>
      </c>
      <c r="G2374">
        <f t="shared" si="189"/>
        <v>1.3150492853505682</v>
      </c>
    </row>
    <row r="2375" spans="1:7" x14ac:dyDescent="0.35">
      <c r="A2375">
        <v>495</v>
      </c>
      <c r="B2375">
        <f t="shared" si="185"/>
        <v>-843.35206382240722</v>
      </c>
      <c r="C2375">
        <f t="shared" si="186"/>
        <v>711242.70355351362</v>
      </c>
      <c r="D2375">
        <v>22537</v>
      </c>
      <c r="E2375">
        <f t="shared" si="187"/>
        <v>2.2536999999999998</v>
      </c>
      <c r="F2375">
        <f t="shared" si="188"/>
        <v>-1.1261559833506727</v>
      </c>
      <c r="G2375">
        <f t="shared" si="189"/>
        <v>1.2682272988365206</v>
      </c>
    </row>
    <row r="2376" spans="1:7" x14ac:dyDescent="0.35">
      <c r="A2376">
        <v>495</v>
      </c>
      <c r="B2376">
        <f t="shared" si="185"/>
        <v>-843.35206382240722</v>
      </c>
      <c r="C2376">
        <f t="shared" si="186"/>
        <v>711242.70355351362</v>
      </c>
      <c r="D2376">
        <v>22744</v>
      </c>
      <c r="E2376">
        <f t="shared" si="187"/>
        <v>2.2744</v>
      </c>
      <c r="F2376">
        <f t="shared" si="188"/>
        <v>-1.1054559833506725</v>
      </c>
      <c r="G2376">
        <f t="shared" si="189"/>
        <v>1.2220329311258025</v>
      </c>
    </row>
    <row r="2377" spans="1:7" x14ac:dyDescent="0.35">
      <c r="A2377">
        <v>495</v>
      </c>
      <c r="B2377">
        <f t="shared" si="185"/>
        <v>-843.35206382240722</v>
      </c>
      <c r="C2377">
        <f t="shared" si="186"/>
        <v>711242.70355351362</v>
      </c>
      <c r="D2377">
        <v>22949</v>
      </c>
      <c r="E2377">
        <f t="shared" si="187"/>
        <v>2.2949000000000002</v>
      </c>
      <c r="F2377">
        <f t="shared" si="188"/>
        <v>-1.0849559833506723</v>
      </c>
      <c r="G2377">
        <f t="shared" si="189"/>
        <v>1.1771294858084245</v>
      </c>
    </row>
    <row r="2378" spans="1:7" x14ac:dyDescent="0.35">
      <c r="A2378">
        <v>495</v>
      </c>
      <c r="B2378">
        <f t="shared" si="185"/>
        <v>-843.35206382240722</v>
      </c>
      <c r="C2378">
        <f t="shared" si="186"/>
        <v>711242.70355351362</v>
      </c>
      <c r="D2378">
        <v>22962</v>
      </c>
      <c r="E2378">
        <f t="shared" si="187"/>
        <v>2.2961999999999998</v>
      </c>
      <c r="F2378">
        <f t="shared" si="188"/>
        <v>-1.0836559833506727</v>
      </c>
      <c r="G2378">
        <f t="shared" si="189"/>
        <v>1.1743102902517135</v>
      </c>
    </row>
    <row r="2379" spans="1:7" x14ac:dyDescent="0.35">
      <c r="A2379">
        <v>495</v>
      </c>
      <c r="B2379">
        <f t="shared" si="185"/>
        <v>-843.35206382240722</v>
      </c>
      <c r="C2379">
        <f t="shared" si="186"/>
        <v>711242.70355351362</v>
      </c>
      <c r="D2379">
        <v>22857</v>
      </c>
      <c r="E2379">
        <f t="shared" si="187"/>
        <v>2.2856999999999998</v>
      </c>
      <c r="F2379">
        <f t="shared" si="188"/>
        <v>-1.0941559833506727</v>
      </c>
      <c r="G2379">
        <f t="shared" si="189"/>
        <v>1.1971773159020775</v>
      </c>
    </row>
    <row r="2380" spans="1:7" x14ac:dyDescent="0.35">
      <c r="A2380">
        <v>495</v>
      </c>
      <c r="B2380">
        <f t="shared" si="185"/>
        <v>-843.35206382240722</v>
      </c>
      <c r="C2380">
        <f t="shared" si="186"/>
        <v>711242.70355351362</v>
      </c>
      <c r="D2380">
        <v>23517</v>
      </c>
      <c r="E2380">
        <f t="shared" si="187"/>
        <v>2.3517000000000001</v>
      </c>
      <c r="F2380">
        <f t="shared" si="188"/>
        <v>-1.0281559833506724</v>
      </c>
      <c r="G2380">
        <f t="shared" si="189"/>
        <v>1.0571047260997881</v>
      </c>
    </row>
    <row r="2381" spans="1:7" x14ac:dyDescent="0.35">
      <c r="A2381">
        <v>495</v>
      </c>
      <c r="B2381">
        <f t="shared" si="185"/>
        <v>-843.35206382240722</v>
      </c>
      <c r="C2381">
        <f t="shared" si="186"/>
        <v>711242.70355351362</v>
      </c>
      <c r="D2381">
        <v>24139</v>
      </c>
      <c r="E2381">
        <f t="shared" si="187"/>
        <v>2.4138999999999999</v>
      </c>
      <c r="F2381">
        <f t="shared" si="188"/>
        <v>-0.96595598335067256</v>
      </c>
      <c r="G2381">
        <f t="shared" si="189"/>
        <v>0.93307096177096482</v>
      </c>
    </row>
    <row r="2382" spans="1:7" x14ac:dyDescent="0.35">
      <c r="A2382">
        <v>495</v>
      </c>
      <c r="B2382">
        <f t="shared" si="185"/>
        <v>-843.35206382240722</v>
      </c>
      <c r="C2382">
        <f t="shared" si="186"/>
        <v>711242.70355351362</v>
      </c>
      <c r="D2382">
        <v>24452</v>
      </c>
      <c r="E2382">
        <f t="shared" si="187"/>
        <v>2.4451999999999998</v>
      </c>
      <c r="F2382">
        <f t="shared" si="188"/>
        <v>-0.93465598335067268</v>
      </c>
      <c r="G2382">
        <f t="shared" si="189"/>
        <v>0.87358180721321288</v>
      </c>
    </row>
    <row r="2383" spans="1:7" x14ac:dyDescent="0.35">
      <c r="A2383">
        <v>495</v>
      </c>
      <c r="B2383">
        <f t="shared" si="185"/>
        <v>-843.35206382240722</v>
      </c>
      <c r="C2383">
        <f t="shared" si="186"/>
        <v>711242.70355351362</v>
      </c>
      <c r="D2383">
        <v>24755</v>
      </c>
      <c r="E2383">
        <f t="shared" si="187"/>
        <v>2.4754999999999998</v>
      </c>
      <c r="F2383">
        <f t="shared" si="188"/>
        <v>-0.90435598335067269</v>
      </c>
      <c r="G2383">
        <f t="shared" si="189"/>
        <v>0.81785974462216215</v>
      </c>
    </row>
    <row r="2384" spans="1:7" x14ac:dyDescent="0.35">
      <c r="A2384">
        <v>495</v>
      </c>
      <c r="B2384">
        <f t="shared" si="185"/>
        <v>-843.35206382240722</v>
      </c>
      <c r="C2384">
        <f t="shared" si="186"/>
        <v>711242.70355351362</v>
      </c>
      <c r="D2384">
        <v>25048</v>
      </c>
      <c r="E2384">
        <f t="shared" si="187"/>
        <v>2.5047999999999999</v>
      </c>
      <c r="F2384">
        <f t="shared" si="188"/>
        <v>-0.87505598335067258</v>
      </c>
      <c r="G2384">
        <f t="shared" si="189"/>
        <v>0.76572297399781253</v>
      </c>
    </row>
    <row r="2385" spans="1:7" x14ac:dyDescent="0.35">
      <c r="A2385">
        <v>495</v>
      </c>
      <c r="B2385">
        <f t="shared" si="185"/>
        <v>-843.35206382240722</v>
      </c>
      <c r="C2385">
        <f t="shared" si="186"/>
        <v>711242.70355351362</v>
      </c>
      <c r="D2385">
        <v>25334</v>
      </c>
      <c r="E2385">
        <f t="shared" si="187"/>
        <v>2.5333999999999999</v>
      </c>
      <c r="F2385">
        <f t="shared" si="188"/>
        <v>-0.84645598335067262</v>
      </c>
      <c r="G2385">
        <f t="shared" si="189"/>
        <v>0.71648773175015412</v>
      </c>
    </row>
    <row r="2386" spans="1:7" x14ac:dyDescent="0.35">
      <c r="A2386">
        <v>495</v>
      </c>
      <c r="B2386">
        <f t="shared" si="185"/>
        <v>-843.35206382240722</v>
      </c>
      <c r="C2386">
        <f t="shared" si="186"/>
        <v>711242.70355351362</v>
      </c>
      <c r="D2386">
        <v>25612</v>
      </c>
      <c r="E2386">
        <f t="shared" si="187"/>
        <v>2.5611999999999999</v>
      </c>
      <c r="F2386">
        <f t="shared" si="188"/>
        <v>-0.81865598335067258</v>
      </c>
      <c r="G2386">
        <f t="shared" si="189"/>
        <v>0.67019761907585673</v>
      </c>
    </row>
    <row r="2387" spans="1:7" x14ac:dyDescent="0.35">
      <c r="A2387">
        <v>495</v>
      </c>
      <c r="B2387">
        <f t="shared" si="185"/>
        <v>-843.35206382240722</v>
      </c>
      <c r="C2387">
        <f t="shared" si="186"/>
        <v>711242.70355351362</v>
      </c>
      <c r="D2387">
        <v>25885</v>
      </c>
      <c r="E2387">
        <f t="shared" si="187"/>
        <v>2.5884999999999998</v>
      </c>
      <c r="F2387">
        <f t="shared" si="188"/>
        <v>-0.7913559833506727</v>
      </c>
      <c r="G2387">
        <f t="shared" si="189"/>
        <v>0.6262442923849102</v>
      </c>
    </row>
    <row r="2388" spans="1:7" x14ac:dyDescent="0.35">
      <c r="A2388">
        <v>495</v>
      </c>
      <c r="B2388">
        <f t="shared" si="185"/>
        <v>-843.35206382240722</v>
      </c>
      <c r="C2388">
        <f t="shared" si="186"/>
        <v>711242.70355351362</v>
      </c>
      <c r="D2388">
        <v>26151</v>
      </c>
      <c r="E2388">
        <f t="shared" si="187"/>
        <v>2.6151</v>
      </c>
      <c r="F2388">
        <f t="shared" si="188"/>
        <v>-0.76475598335067252</v>
      </c>
      <c r="G2388">
        <f t="shared" si="189"/>
        <v>0.58485171407065406</v>
      </c>
    </row>
    <row r="2389" spans="1:7" x14ac:dyDescent="0.35">
      <c r="A2389">
        <v>495</v>
      </c>
      <c r="B2389">
        <f t="shared" si="185"/>
        <v>-843.35206382240722</v>
      </c>
      <c r="C2389">
        <f t="shared" si="186"/>
        <v>711242.70355351362</v>
      </c>
      <c r="D2389">
        <v>27273</v>
      </c>
      <c r="E2389">
        <f t="shared" si="187"/>
        <v>2.7273000000000001</v>
      </c>
      <c r="F2389">
        <f t="shared" si="188"/>
        <v>-0.65255598335067244</v>
      </c>
      <c r="G2389">
        <f t="shared" si="189"/>
        <v>0.42582931140676311</v>
      </c>
    </row>
    <row r="2390" spans="1:7" x14ac:dyDescent="0.35">
      <c r="A2390">
        <v>495</v>
      </c>
      <c r="B2390">
        <f t="shared" si="185"/>
        <v>-843.35206382240722</v>
      </c>
      <c r="C2390">
        <f t="shared" si="186"/>
        <v>711242.70355351362</v>
      </c>
      <c r="D2390">
        <v>26087</v>
      </c>
      <c r="E2390">
        <f t="shared" si="187"/>
        <v>2.6086999999999998</v>
      </c>
      <c r="F2390">
        <f t="shared" si="188"/>
        <v>-0.7711559833506727</v>
      </c>
      <c r="G2390">
        <f t="shared" si="189"/>
        <v>0.59468155065754302</v>
      </c>
    </row>
    <row r="2391" spans="1:7" x14ac:dyDescent="0.35">
      <c r="A2391">
        <v>495</v>
      </c>
      <c r="B2391">
        <f t="shared" si="185"/>
        <v>-843.35206382240722</v>
      </c>
      <c r="C2391">
        <f t="shared" si="186"/>
        <v>711242.70355351362</v>
      </c>
      <c r="D2391">
        <v>26702</v>
      </c>
      <c r="E2391">
        <f t="shared" si="187"/>
        <v>2.6701999999999999</v>
      </c>
      <c r="F2391">
        <f t="shared" si="188"/>
        <v>-0.70965598335067259</v>
      </c>
      <c r="G2391">
        <f t="shared" si="189"/>
        <v>0.50361161470541005</v>
      </c>
    </row>
    <row r="2392" spans="1:7" x14ac:dyDescent="0.35">
      <c r="A2392">
        <v>495</v>
      </c>
      <c r="B2392">
        <f t="shared" si="185"/>
        <v>-843.35206382240722</v>
      </c>
      <c r="C2392">
        <f t="shared" si="186"/>
        <v>711242.70355351362</v>
      </c>
      <c r="D2392">
        <v>26949</v>
      </c>
      <c r="E2392">
        <f t="shared" si="187"/>
        <v>2.6949000000000001</v>
      </c>
      <c r="F2392">
        <f t="shared" si="188"/>
        <v>-0.68495598335067243</v>
      </c>
      <c r="G2392">
        <f t="shared" si="189"/>
        <v>0.46916469912788666</v>
      </c>
    </row>
    <row r="2393" spans="1:7" x14ac:dyDescent="0.35">
      <c r="A2393">
        <v>495</v>
      </c>
      <c r="B2393">
        <f t="shared" si="185"/>
        <v>-843.35206382240722</v>
      </c>
      <c r="C2393">
        <f t="shared" si="186"/>
        <v>711242.70355351362</v>
      </c>
      <c r="D2393">
        <v>27212</v>
      </c>
      <c r="E2393">
        <f t="shared" si="187"/>
        <v>2.7212000000000001</v>
      </c>
      <c r="F2393">
        <f t="shared" si="188"/>
        <v>-0.65865598335067244</v>
      </c>
      <c r="G2393">
        <f t="shared" si="189"/>
        <v>0.43382770440364127</v>
      </c>
    </row>
    <row r="2394" spans="1:7" x14ac:dyDescent="0.35">
      <c r="A2394">
        <v>636</v>
      </c>
      <c r="B2394">
        <f t="shared" si="185"/>
        <v>-702.35206382240722</v>
      </c>
      <c r="C2394">
        <f t="shared" si="186"/>
        <v>493298.42155559477</v>
      </c>
      <c r="D2394">
        <v>61980</v>
      </c>
      <c r="E2394">
        <f t="shared" si="187"/>
        <v>6.1980000000000004</v>
      </c>
      <c r="F2394">
        <f t="shared" si="188"/>
        <v>2.8181440166493279</v>
      </c>
      <c r="G2394">
        <f t="shared" si="189"/>
        <v>7.9419356985764074</v>
      </c>
    </row>
    <row r="2395" spans="1:7" x14ac:dyDescent="0.35">
      <c r="A2395">
        <v>636</v>
      </c>
      <c r="B2395">
        <f t="shared" si="185"/>
        <v>-702.35206382240722</v>
      </c>
      <c r="C2395">
        <f t="shared" si="186"/>
        <v>493298.42155559477</v>
      </c>
      <c r="D2395">
        <v>63245</v>
      </c>
      <c r="E2395">
        <f t="shared" si="187"/>
        <v>6.3244999999999996</v>
      </c>
      <c r="F2395">
        <f t="shared" si="188"/>
        <v>2.9446440166493271</v>
      </c>
      <c r="G2395">
        <f t="shared" si="189"/>
        <v>8.6709283847886827</v>
      </c>
    </row>
    <row r="2396" spans="1:7" x14ac:dyDescent="0.35">
      <c r="A2396">
        <v>636</v>
      </c>
      <c r="B2396">
        <f t="shared" si="185"/>
        <v>-702.35206382240722</v>
      </c>
      <c r="C2396">
        <f t="shared" si="186"/>
        <v>493298.42155559477</v>
      </c>
      <c r="D2396">
        <v>63284</v>
      </c>
      <c r="E2396">
        <f t="shared" si="187"/>
        <v>6.3284000000000002</v>
      </c>
      <c r="F2396">
        <f t="shared" si="188"/>
        <v>2.9485440166493277</v>
      </c>
      <c r="G2396">
        <f t="shared" si="189"/>
        <v>8.6939118181185506</v>
      </c>
    </row>
    <row r="2397" spans="1:7" x14ac:dyDescent="0.35">
      <c r="A2397">
        <v>636</v>
      </c>
      <c r="B2397">
        <f t="shared" si="185"/>
        <v>-702.35206382240722</v>
      </c>
      <c r="C2397">
        <f t="shared" si="186"/>
        <v>493298.42155559477</v>
      </c>
      <c r="D2397">
        <v>58410</v>
      </c>
      <c r="E2397">
        <f t="shared" si="187"/>
        <v>5.8410000000000002</v>
      </c>
      <c r="F2397">
        <f t="shared" si="188"/>
        <v>2.4611440166493277</v>
      </c>
      <c r="G2397">
        <f t="shared" si="189"/>
        <v>6.0572298706887864</v>
      </c>
    </row>
    <row r="2398" spans="1:7" x14ac:dyDescent="0.35">
      <c r="A2398">
        <v>636</v>
      </c>
      <c r="B2398">
        <f t="shared" si="185"/>
        <v>-702.35206382240722</v>
      </c>
      <c r="C2398">
        <f t="shared" si="186"/>
        <v>493298.42155559477</v>
      </c>
      <c r="D2398">
        <v>63209</v>
      </c>
      <c r="E2398">
        <f t="shared" si="187"/>
        <v>6.3209</v>
      </c>
      <c r="F2398">
        <f t="shared" si="188"/>
        <v>2.9410440166493275</v>
      </c>
      <c r="G2398">
        <f t="shared" si="189"/>
        <v>8.6497399078688098</v>
      </c>
    </row>
    <row r="2399" spans="1:7" x14ac:dyDescent="0.35">
      <c r="A2399">
        <v>636</v>
      </c>
      <c r="B2399">
        <f t="shared" si="185"/>
        <v>-702.35206382240722</v>
      </c>
      <c r="C2399">
        <f t="shared" si="186"/>
        <v>493298.42155559477</v>
      </c>
      <c r="D2399">
        <v>62082</v>
      </c>
      <c r="E2399">
        <f t="shared" si="187"/>
        <v>6.2081999999999997</v>
      </c>
      <c r="F2399">
        <f t="shared" si="188"/>
        <v>2.8283440166493272</v>
      </c>
      <c r="G2399">
        <f t="shared" si="189"/>
        <v>7.9995298765160499</v>
      </c>
    </row>
    <row r="2400" spans="1:7" x14ac:dyDescent="0.35">
      <c r="A2400">
        <v>636</v>
      </c>
      <c r="B2400">
        <f t="shared" si="185"/>
        <v>-702.35206382240722</v>
      </c>
      <c r="C2400">
        <f t="shared" si="186"/>
        <v>493298.42155559477</v>
      </c>
      <c r="D2400">
        <v>64481</v>
      </c>
      <c r="E2400">
        <f t="shared" si="187"/>
        <v>6.4481000000000002</v>
      </c>
      <c r="F2400">
        <f t="shared" si="188"/>
        <v>3.0682440166493277</v>
      </c>
      <c r="G2400">
        <f t="shared" si="189"/>
        <v>9.4141213457044</v>
      </c>
    </row>
    <row r="2401" spans="1:7" x14ac:dyDescent="0.35">
      <c r="A2401">
        <v>636</v>
      </c>
      <c r="B2401">
        <f t="shared" si="185"/>
        <v>-702.35206382240722</v>
      </c>
      <c r="C2401">
        <f t="shared" si="186"/>
        <v>493298.42155559477</v>
      </c>
      <c r="D2401">
        <v>66694</v>
      </c>
      <c r="E2401">
        <f t="shared" si="187"/>
        <v>6.6694000000000004</v>
      </c>
      <c r="F2401">
        <f t="shared" si="188"/>
        <v>3.2895440166493279</v>
      </c>
      <c r="G2401">
        <f t="shared" si="189"/>
        <v>10.821099837473394</v>
      </c>
    </row>
    <row r="2402" spans="1:7" x14ac:dyDescent="0.35">
      <c r="A2402">
        <v>636</v>
      </c>
      <c r="B2402">
        <f t="shared" si="185"/>
        <v>-702.35206382240722</v>
      </c>
      <c r="C2402">
        <f t="shared" si="186"/>
        <v>493298.42155559477</v>
      </c>
      <c r="D2402">
        <v>61109</v>
      </c>
      <c r="E2402">
        <f t="shared" si="187"/>
        <v>6.1109</v>
      </c>
      <c r="F2402">
        <f t="shared" si="188"/>
        <v>2.7310440166493275</v>
      </c>
      <c r="G2402">
        <f t="shared" si="189"/>
        <v>7.458601420876092</v>
      </c>
    </row>
    <row r="2403" spans="1:7" x14ac:dyDescent="0.35">
      <c r="A2403">
        <v>636</v>
      </c>
      <c r="B2403">
        <f t="shared" si="185"/>
        <v>-702.35206382240722</v>
      </c>
      <c r="C2403">
        <f t="shared" si="186"/>
        <v>493298.42155559477</v>
      </c>
      <c r="D2403">
        <v>60459</v>
      </c>
      <c r="E2403">
        <f t="shared" si="187"/>
        <v>6.0458999999999996</v>
      </c>
      <c r="F2403">
        <f t="shared" si="188"/>
        <v>2.6660440166493271</v>
      </c>
      <c r="G2403">
        <f t="shared" si="189"/>
        <v>7.1077906987116775</v>
      </c>
    </row>
    <row r="2404" spans="1:7" x14ac:dyDescent="0.35">
      <c r="A2404">
        <v>636</v>
      </c>
      <c r="B2404">
        <f t="shared" si="185"/>
        <v>-702.35206382240722</v>
      </c>
      <c r="C2404">
        <f t="shared" si="186"/>
        <v>493298.42155559477</v>
      </c>
      <c r="D2404">
        <v>69838</v>
      </c>
      <c r="E2404">
        <f t="shared" si="187"/>
        <v>6.9837999999999996</v>
      </c>
      <c r="F2404">
        <f t="shared" si="188"/>
        <v>3.6039440166493271</v>
      </c>
      <c r="G2404">
        <f t="shared" si="189"/>
        <v>12.988412475142486</v>
      </c>
    </row>
    <row r="2405" spans="1:7" x14ac:dyDescent="0.35">
      <c r="A2405">
        <v>636</v>
      </c>
      <c r="B2405">
        <f t="shared" si="185"/>
        <v>-702.35206382240722</v>
      </c>
      <c r="C2405">
        <f t="shared" si="186"/>
        <v>493298.42155559477</v>
      </c>
      <c r="D2405">
        <v>68295</v>
      </c>
      <c r="E2405">
        <f t="shared" si="187"/>
        <v>6.8295000000000003</v>
      </c>
      <c r="F2405">
        <f t="shared" si="188"/>
        <v>3.4496440166493278</v>
      </c>
      <c r="G2405">
        <f t="shared" si="189"/>
        <v>11.900043841604509</v>
      </c>
    </row>
    <row r="2406" spans="1:7" x14ac:dyDescent="0.35">
      <c r="A2406">
        <v>636</v>
      </c>
      <c r="B2406">
        <f t="shared" si="185"/>
        <v>-702.35206382240722</v>
      </c>
      <c r="C2406">
        <f t="shared" si="186"/>
        <v>493298.42155559477</v>
      </c>
      <c r="D2406">
        <v>70657</v>
      </c>
      <c r="E2406">
        <f t="shared" si="187"/>
        <v>7.0656999999999996</v>
      </c>
      <c r="F2406">
        <f t="shared" si="188"/>
        <v>3.6858440166493271</v>
      </c>
      <c r="G2406">
        <f t="shared" si="189"/>
        <v>13.585446115069646</v>
      </c>
    </row>
    <row r="2407" spans="1:7" x14ac:dyDescent="0.35">
      <c r="A2407">
        <v>636</v>
      </c>
      <c r="B2407">
        <f t="shared" si="185"/>
        <v>-702.35206382240722</v>
      </c>
      <c r="C2407">
        <f t="shared" si="186"/>
        <v>493298.42155559477</v>
      </c>
      <c r="D2407">
        <v>75388</v>
      </c>
      <c r="E2407">
        <f t="shared" si="187"/>
        <v>7.5388000000000002</v>
      </c>
      <c r="F2407">
        <f t="shared" si="188"/>
        <v>4.1589440166493272</v>
      </c>
      <c r="G2407">
        <f t="shared" si="189"/>
        <v>17.29681533362324</v>
      </c>
    </row>
    <row r="2408" spans="1:7" x14ac:dyDescent="0.35">
      <c r="A2408">
        <v>636</v>
      </c>
      <c r="B2408">
        <f t="shared" si="185"/>
        <v>-702.35206382240722</v>
      </c>
      <c r="C2408">
        <f t="shared" si="186"/>
        <v>493298.42155559477</v>
      </c>
      <c r="D2408">
        <v>70661</v>
      </c>
      <c r="E2408">
        <f t="shared" si="187"/>
        <v>7.0660999999999996</v>
      </c>
      <c r="F2408">
        <f t="shared" si="188"/>
        <v>3.6862440166493271</v>
      </c>
      <c r="G2408">
        <f t="shared" si="189"/>
        <v>13.588394950282964</v>
      </c>
    </row>
    <row r="2409" spans="1:7" x14ac:dyDescent="0.35">
      <c r="A2409">
        <v>636</v>
      </c>
      <c r="B2409">
        <f t="shared" si="185"/>
        <v>-702.35206382240722</v>
      </c>
      <c r="C2409">
        <f t="shared" si="186"/>
        <v>493298.42155559477</v>
      </c>
      <c r="D2409">
        <v>75795</v>
      </c>
      <c r="E2409">
        <f t="shared" si="187"/>
        <v>7.5795000000000003</v>
      </c>
      <c r="F2409">
        <f t="shared" si="188"/>
        <v>4.1996440166493283</v>
      </c>
      <c r="G2409">
        <f t="shared" si="189"/>
        <v>17.637009866578502</v>
      </c>
    </row>
    <row r="2410" spans="1:7" x14ac:dyDescent="0.35">
      <c r="A2410">
        <v>636</v>
      </c>
      <c r="B2410">
        <f t="shared" si="185"/>
        <v>-702.35206382240722</v>
      </c>
      <c r="C2410">
        <f t="shared" si="186"/>
        <v>493298.42155559477</v>
      </c>
      <c r="D2410">
        <v>72172</v>
      </c>
      <c r="E2410">
        <f t="shared" si="187"/>
        <v>7.2172000000000001</v>
      </c>
      <c r="F2410">
        <f t="shared" si="188"/>
        <v>3.8373440166493276</v>
      </c>
      <c r="G2410">
        <f t="shared" si="189"/>
        <v>14.725209102114395</v>
      </c>
    </row>
    <row r="2411" spans="1:7" x14ac:dyDescent="0.35">
      <c r="A2411">
        <v>636</v>
      </c>
      <c r="B2411">
        <f t="shared" si="185"/>
        <v>-702.35206382240722</v>
      </c>
      <c r="C2411">
        <f t="shared" si="186"/>
        <v>493298.42155559477</v>
      </c>
      <c r="D2411">
        <v>72015</v>
      </c>
      <c r="E2411">
        <f t="shared" si="187"/>
        <v>7.2015000000000002</v>
      </c>
      <c r="F2411">
        <f t="shared" si="188"/>
        <v>3.8216440166493277</v>
      </c>
      <c r="G2411">
        <f t="shared" si="189"/>
        <v>14.604962989991607</v>
      </c>
    </row>
    <row r="2412" spans="1:7" x14ac:dyDescent="0.35">
      <c r="A2412">
        <v>636</v>
      </c>
      <c r="B2412">
        <f t="shared" si="185"/>
        <v>-702.35206382240722</v>
      </c>
      <c r="C2412">
        <f t="shared" si="186"/>
        <v>493298.42155559477</v>
      </c>
      <c r="D2412">
        <v>69166</v>
      </c>
      <c r="E2412">
        <f t="shared" si="187"/>
        <v>6.9165999999999999</v>
      </c>
      <c r="F2412">
        <f t="shared" si="188"/>
        <v>3.5367440166493274</v>
      </c>
      <c r="G2412">
        <f t="shared" si="189"/>
        <v>12.508558239304817</v>
      </c>
    </row>
    <row r="2413" spans="1:7" x14ac:dyDescent="0.35">
      <c r="A2413">
        <v>636</v>
      </c>
      <c r="B2413">
        <f t="shared" si="185"/>
        <v>-702.35206382240722</v>
      </c>
      <c r="C2413">
        <f t="shared" si="186"/>
        <v>493298.42155559477</v>
      </c>
      <c r="D2413">
        <v>67992</v>
      </c>
      <c r="E2413">
        <f t="shared" si="187"/>
        <v>6.7991999999999999</v>
      </c>
      <c r="F2413">
        <f t="shared" si="188"/>
        <v>3.4193440166493274</v>
      </c>
      <c r="G2413">
        <f t="shared" si="189"/>
        <v>11.691913504195556</v>
      </c>
    </row>
    <row r="2414" spans="1:7" x14ac:dyDescent="0.35">
      <c r="A2414">
        <v>636</v>
      </c>
      <c r="B2414">
        <f t="shared" si="185"/>
        <v>-702.35206382240722</v>
      </c>
      <c r="C2414">
        <f t="shared" si="186"/>
        <v>493298.42155559477</v>
      </c>
      <c r="D2414">
        <v>71228</v>
      </c>
      <c r="E2414">
        <f t="shared" si="187"/>
        <v>7.1227999999999998</v>
      </c>
      <c r="F2414">
        <f t="shared" si="188"/>
        <v>3.7429440166493273</v>
      </c>
      <c r="G2414">
        <f t="shared" si="189"/>
        <v>14.009629911771</v>
      </c>
    </row>
    <row r="2415" spans="1:7" x14ac:dyDescent="0.35">
      <c r="A2415">
        <v>636</v>
      </c>
      <c r="B2415">
        <f t="shared" si="185"/>
        <v>-702.35206382240722</v>
      </c>
      <c r="C2415">
        <f t="shared" si="186"/>
        <v>493298.42155559477</v>
      </c>
      <c r="D2415">
        <v>69220</v>
      </c>
      <c r="E2415">
        <f t="shared" si="187"/>
        <v>6.9219999999999997</v>
      </c>
      <c r="F2415">
        <f t="shared" si="188"/>
        <v>3.5421440166493272</v>
      </c>
      <c r="G2415">
        <f t="shared" si="189"/>
        <v>12.54678423468463</v>
      </c>
    </row>
    <row r="2416" spans="1:7" x14ac:dyDescent="0.35">
      <c r="A2416">
        <v>636</v>
      </c>
      <c r="B2416">
        <f t="shared" si="185"/>
        <v>-702.35206382240722</v>
      </c>
      <c r="C2416">
        <f t="shared" si="186"/>
        <v>493298.42155559477</v>
      </c>
      <c r="D2416">
        <v>76593</v>
      </c>
      <c r="E2416">
        <f t="shared" si="187"/>
        <v>7.6593</v>
      </c>
      <c r="F2416">
        <f t="shared" si="188"/>
        <v>4.2794440166493271</v>
      </c>
      <c r="G2416">
        <f t="shared" si="189"/>
        <v>18.313641091635727</v>
      </c>
    </row>
    <row r="2417" spans="1:7" x14ac:dyDescent="0.35">
      <c r="A2417">
        <v>636</v>
      </c>
      <c r="B2417">
        <f t="shared" si="185"/>
        <v>-702.35206382240722</v>
      </c>
      <c r="C2417">
        <f t="shared" si="186"/>
        <v>493298.42155559477</v>
      </c>
      <c r="D2417">
        <v>75936</v>
      </c>
      <c r="E2417">
        <f t="shared" si="187"/>
        <v>7.5936000000000003</v>
      </c>
      <c r="F2417">
        <f t="shared" si="188"/>
        <v>4.2137440166493274</v>
      </c>
      <c r="G2417">
        <f t="shared" si="189"/>
        <v>17.755638637848008</v>
      </c>
    </row>
    <row r="2418" spans="1:7" x14ac:dyDescent="0.35">
      <c r="A2418">
        <v>636</v>
      </c>
      <c r="B2418">
        <f t="shared" si="185"/>
        <v>-702.35206382240722</v>
      </c>
      <c r="C2418">
        <f t="shared" si="186"/>
        <v>493298.42155559477</v>
      </c>
      <c r="D2418">
        <v>75800</v>
      </c>
      <c r="E2418">
        <f t="shared" si="187"/>
        <v>7.58</v>
      </c>
      <c r="F2418">
        <f t="shared" si="188"/>
        <v>4.2001440166493271</v>
      </c>
      <c r="G2418">
        <f t="shared" si="189"/>
        <v>17.641209760595142</v>
      </c>
    </row>
    <row r="2419" spans="1:7" x14ac:dyDescent="0.35">
      <c r="A2419">
        <v>636</v>
      </c>
      <c r="B2419">
        <f t="shared" si="185"/>
        <v>-702.35206382240722</v>
      </c>
      <c r="C2419">
        <f t="shared" si="186"/>
        <v>493298.42155559477</v>
      </c>
      <c r="D2419">
        <v>79739</v>
      </c>
      <c r="E2419">
        <f t="shared" si="187"/>
        <v>7.9739000000000004</v>
      </c>
      <c r="F2419">
        <f t="shared" si="188"/>
        <v>4.5940440166493275</v>
      </c>
      <c r="G2419">
        <f t="shared" si="189"/>
        <v>21.105240426911486</v>
      </c>
    </row>
    <row r="2420" spans="1:7" x14ac:dyDescent="0.35">
      <c r="A2420">
        <v>636</v>
      </c>
      <c r="B2420">
        <f t="shared" si="185"/>
        <v>-702.35206382240722</v>
      </c>
      <c r="C2420">
        <f t="shared" si="186"/>
        <v>493298.42155559477</v>
      </c>
      <c r="D2420">
        <v>77902</v>
      </c>
      <c r="E2420">
        <f t="shared" si="187"/>
        <v>7.7901999999999996</v>
      </c>
      <c r="F2420">
        <f t="shared" si="188"/>
        <v>4.4103440166493275</v>
      </c>
      <c r="G2420">
        <f t="shared" si="189"/>
        <v>19.451134345194525</v>
      </c>
    </row>
    <row r="2421" spans="1:7" x14ac:dyDescent="0.35">
      <c r="A2421">
        <v>636</v>
      </c>
      <c r="B2421">
        <f t="shared" si="185"/>
        <v>-702.35206382240722</v>
      </c>
      <c r="C2421">
        <f t="shared" si="186"/>
        <v>493298.42155559477</v>
      </c>
      <c r="D2421">
        <v>77985</v>
      </c>
      <c r="E2421">
        <f t="shared" si="187"/>
        <v>7.7984999999999998</v>
      </c>
      <c r="F2421">
        <f t="shared" si="188"/>
        <v>4.4186440166493277</v>
      </c>
      <c r="G2421">
        <f t="shared" si="189"/>
        <v>19.524414945870905</v>
      </c>
    </row>
    <row r="2422" spans="1:7" x14ac:dyDescent="0.35">
      <c r="A2422">
        <v>636</v>
      </c>
      <c r="B2422">
        <f t="shared" si="185"/>
        <v>-702.35206382240722</v>
      </c>
      <c r="C2422">
        <f t="shared" si="186"/>
        <v>493298.42155559477</v>
      </c>
      <c r="D2422">
        <v>77503</v>
      </c>
      <c r="E2422">
        <f t="shared" si="187"/>
        <v>7.7503000000000002</v>
      </c>
      <c r="F2422">
        <f t="shared" si="188"/>
        <v>4.3704440166493281</v>
      </c>
      <c r="G2422">
        <f t="shared" si="189"/>
        <v>19.100780902665914</v>
      </c>
    </row>
    <row r="2423" spans="1:7" x14ac:dyDescent="0.35">
      <c r="A2423">
        <v>636</v>
      </c>
      <c r="B2423">
        <f t="shared" si="185"/>
        <v>-702.35206382240722</v>
      </c>
      <c r="C2423">
        <f t="shared" si="186"/>
        <v>493298.42155559477</v>
      </c>
      <c r="D2423">
        <v>78277</v>
      </c>
      <c r="E2423">
        <f t="shared" si="187"/>
        <v>7.8277000000000001</v>
      </c>
      <c r="F2423">
        <f t="shared" si="188"/>
        <v>4.4478440166493272</v>
      </c>
      <c r="G2423">
        <f t="shared" si="189"/>
        <v>19.783316396443219</v>
      </c>
    </row>
    <row r="2424" spans="1:7" x14ac:dyDescent="0.35">
      <c r="A2424">
        <v>1712</v>
      </c>
      <c r="B2424">
        <f t="shared" si="185"/>
        <v>373.64793617759278</v>
      </c>
      <c r="C2424">
        <f t="shared" si="186"/>
        <v>139612.78020977444</v>
      </c>
      <c r="D2424">
        <v>30777</v>
      </c>
      <c r="E2424">
        <f t="shared" si="187"/>
        <v>3.0777000000000001</v>
      </c>
      <c r="F2424">
        <f t="shared" si="188"/>
        <v>-0.3021559833506724</v>
      </c>
      <c r="G2424">
        <f t="shared" si="189"/>
        <v>9.1298238274611809E-2</v>
      </c>
    </row>
    <row r="2425" spans="1:7" x14ac:dyDescent="0.35">
      <c r="A2425">
        <v>1712</v>
      </c>
      <c r="B2425">
        <f t="shared" si="185"/>
        <v>373.64793617759278</v>
      </c>
      <c r="C2425">
        <f t="shared" si="186"/>
        <v>139612.78020977444</v>
      </c>
      <c r="D2425">
        <v>30944</v>
      </c>
      <c r="E2425">
        <f t="shared" si="187"/>
        <v>3.0943999999999998</v>
      </c>
      <c r="F2425">
        <f t="shared" si="188"/>
        <v>-0.28545598335067268</v>
      </c>
      <c r="G2425">
        <f t="shared" si="189"/>
        <v>8.1485118430699513E-2</v>
      </c>
    </row>
    <row r="2426" spans="1:7" x14ac:dyDescent="0.35">
      <c r="A2426">
        <v>1712</v>
      </c>
      <c r="B2426">
        <f t="shared" si="185"/>
        <v>373.64793617759278</v>
      </c>
      <c r="C2426">
        <f t="shared" si="186"/>
        <v>139612.78020977444</v>
      </c>
      <c r="D2426">
        <v>31318</v>
      </c>
      <c r="E2426">
        <f t="shared" si="187"/>
        <v>3.1318000000000001</v>
      </c>
      <c r="F2426">
        <f t="shared" si="188"/>
        <v>-0.24805598335067236</v>
      </c>
      <c r="G2426">
        <f t="shared" si="189"/>
        <v>6.1531770876069043E-2</v>
      </c>
    </row>
    <row r="2427" spans="1:7" x14ac:dyDescent="0.35">
      <c r="A2427">
        <v>1712</v>
      </c>
      <c r="B2427">
        <f t="shared" si="185"/>
        <v>373.64793617759278</v>
      </c>
      <c r="C2427">
        <f t="shared" si="186"/>
        <v>139612.78020977444</v>
      </c>
      <c r="D2427">
        <v>29916</v>
      </c>
      <c r="E2427">
        <f t="shared" si="187"/>
        <v>2.9916</v>
      </c>
      <c r="F2427">
        <f t="shared" si="188"/>
        <v>-0.38825598335067246</v>
      </c>
      <c r="G2427">
        <f t="shared" si="189"/>
        <v>0.15074270860759764</v>
      </c>
    </row>
    <row r="2428" spans="1:7" x14ac:dyDescent="0.35">
      <c r="A2428">
        <v>1712</v>
      </c>
      <c r="B2428">
        <f t="shared" si="185"/>
        <v>373.64793617759278</v>
      </c>
      <c r="C2428">
        <f t="shared" si="186"/>
        <v>139612.78020977444</v>
      </c>
      <c r="D2428">
        <v>30643</v>
      </c>
      <c r="E2428">
        <f t="shared" si="187"/>
        <v>3.0642999999999998</v>
      </c>
      <c r="F2428">
        <f t="shared" si="188"/>
        <v>-0.3155559833506727</v>
      </c>
      <c r="G2428">
        <f t="shared" si="189"/>
        <v>9.957557862841003E-2</v>
      </c>
    </row>
    <row r="2429" spans="1:7" x14ac:dyDescent="0.35">
      <c r="A2429">
        <v>1712</v>
      </c>
      <c r="B2429">
        <f t="shared" si="185"/>
        <v>373.64793617759278</v>
      </c>
      <c r="C2429">
        <f t="shared" si="186"/>
        <v>139612.78020977444</v>
      </c>
      <c r="D2429">
        <v>30215</v>
      </c>
      <c r="E2429">
        <f t="shared" si="187"/>
        <v>3.0215000000000001</v>
      </c>
      <c r="F2429">
        <f t="shared" si="188"/>
        <v>-0.35835598335067242</v>
      </c>
      <c r="G2429">
        <f t="shared" si="189"/>
        <v>0.1284190108032274</v>
      </c>
    </row>
    <row r="2430" spans="1:7" x14ac:dyDescent="0.35">
      <c r="A2430">
        <v>1712</v>
      </c>
      <c r="B2430">
        <f t="shared" si="185"/>
        <v>373.64793617759278</v>
      </c>
      <c r="C2430">
        <f t="shared" si="186"/>
        <v>139612.78020977444</v>
      </c>
      <c r="D2430">
        <v>30544</v>
      </c>
      <c r="E2430">
        <f t="shared" si="187"/>
        <v>3.0543999999999998</v>
      </c>
      <c r="F2430">
        <f t="shared" si="188"/>
        <v>-0.32545598335067272</v>
      </c>
      <c r="G2430">
        <f t="shared" si="189"/>
        <v>0.10592159709875336</v>
      </c>
    </row>
    <row r="2431" spans="1:7" x14ac:dyDescent="0.35">
      <c r="A2431">
        <v>1712</v>
      </c>
      <c r="B2431">
        <f t="shared" si="185"/>
        <v>373.64793617759278</v>
      </c>
      <c r="C2431">
        <f t="shared" si="186"/>
        <v>139612.78020977444</v>
      </c>
      <c r="D2431">
        <v>31350</v>
      </c>
      <c r="E2431">
        <f t="shared" si="187"/>
        <v>3.1349999999999998</v>
      </c>
      <c r="F2431">
        <f t="shared" si="188"/>
        <v>-0.24485598335067271</v>
      </c>
      <c r="G2431">
        <f t="shared" si="189"/>
        <v>5.9954452582624912E-2</v>
      </c>
    </row>
    <row r="2432" spans="1:7" x14ac:dyDescent="0.35">
      <c r="A2432">
        <v>1712</v>
      </c>
      <c r="B2432">
        <f t="shared" si="185"/>
        <v>373.64793617759278</v>
      </c>
      <c r="C2432">
        <f t="shared" si="186"/>
        <v>139612.78020977444</v>
      </c>
      <c r="D2432">
        <v>29933</v>
      </c>
      <c r="E2432">
        <f t="shared" si="187"/>
        <v>2.9933000000000001</v>
      </c>
      <c r="F2432">
        <f t="shared" si="188"/>
        <v>-0.38655598335067243</v>
      </c>
      <c r="G2432">
        <f t="shared" si="189"/>
        <v>0.14942552826420533</v>
      </c>
    </row>
    <row r="2433" spans="1:7" x14ac:dyDescent="0.35">
      <c r="A2433">
        <v>1712</v>
      </c>
      <c r="B2433">
        <f t="shared" si="185"/>
        <v>373.64793617759278</v>
      </c>
      <c r="C2433">
        <f t="shared" si="186"/>
        <v>139612.78020977444</v>
      </c>
      <c r="D2433">
        <v>31586</v>
      </c>
      <c r="E2433">
        <f t="shared" si="187"/>
        <v>3.1585999999999999</v>
      </c>
      <c r="F2433">
        <f t="shared" si="188"/>
        <v>-0.22125598335067265</v>
      </c>
      <c r="G2433">
        <f t="shared" si="189"/>
        <v>4.8954210168473129E-2</v>
      </c>
    </row>
    <row r="2434" spans="1:7" x14ac:dyDescent="0.35">
      <c r="A2434">
        <v>1712</v>
      </c>
      <c r="B2434">
        <f t="shared" si="185"/>
        <v>373.64793617759278</v>
      </c>
      <c r="C2434">
        <f t="shared" si="186"/>
        <v>139612.78020977444</v>
      </c>
      <c r="D2434">
        <v>31231</v>
      </c>
      <c r="E2434">
        <f t="shared" si="187"/>
        <v>3.1231</v>
      </c>
      <c r="F2434">
        <f t="shared" si="188"/>
        <v>-0.25675598335067251</v>
      </c>
      <c r="G2434">
        <f t="shared" si="189"/>
        <v>6.5923634986370827E-2</v>
      </c>
    </row>
    <row r="2435" spans="1:7" x14ac:dyDescent="0.35">
      <c r="A2435">
        <v>1712</v>
      </c>
      <c r="B2435">
        <f t="shared" ref="B2435:B2498" si="190">A2435-$J$1</f>
        <v>373.64793617759278</v>
      </c>
      <c r="C2435">
        <f t="shared" ref="C2435:C2498" si="191">B2435^2</f>
        <v>139612.78020977444</v>
      </c>
      <c r="D2435">
        <v>32451</v>
      </c>
      <c r="E2435">
        <f t="shared" ref="E2435:E2498" si="192">D2435/10000</f>
        <v>3.2450999999999999</v>
      </c>
      <c r="F2435">
        <f t="shared" ref="F2435:F2498" si="193">E2435-$J$2</f>
        <v>-0.13475598335067263</v>
      </c>
      <c r="G2435">
        <f t="shared" ref="G2435:G2498" si="194">F2435^2</f>
        <v>1.8159175048806757E-2</v>
      </c>
    </row>
    <row r="2436" spans="1:7" x14ac:dyDescent="0.35">
      <c r="A2436">
        <v>1712</v>
      </c>
      <c r="B2436">
        <f t="shared" si="190"/>
        <v>373.64793617759278</v>
      </c>
      <c r="C2436">
        <f t="shared" si="191"/>
        <v>139612.78020977444</v>
      </c>
      <c r="D2436">
        <v>35102</v>
      </c>
      <c r="E2436">
        <f t="shared" si="192"/>
        <v>3.5102000000000002</v>
      </c>
      <c r="F2436">
        <f t="shared" si="193"/>
        <v>0.13034401664932771</v>
      </c>
      <c r="G2436">
        <f t="shared" si="194"/>
        <v>1.6989562676280219E-2</v>
      </c>
    </row>
    <row r="2437" spans="1:7" x14ac:dyDescent="0.35">
      <c r="A2437">
        <v>1712</v>
      </c>
      <c r="B2437">
        <f t="shared" si="190"/>
        <v>373.64793617759278</v>
      </c>
      <c r="C2437">
        <f t="shared" si="191"/>
        <v>139612.78020977444</v>
      </c>
      <c r="D2437">
        <v>32810</v>
      </c>
      <c r="E2437">
        <f t="shared" si="192"/>
        <v>3.2810000000000001</v>
      </c>
      <c r="F2437">
        <f t="shared" si="193"/>
        <v>-9.8855983350672361E-2</v>
      </c>
      <c r="G2437">
        <f t="shared" si="194"/>
        <v>9.7725054442284118E-3</v>
      </c>
    </row>
    <row r="2438" spans="1:7" x14ac:dyDescent="0.35">
      <c r="A2438">
        <v>1712</v>
      </c>
      <c r="B2438">
        <f t="shared" si="190"/>
        <v>373.64793617759278</v>
      </c>
      <c r="C2438">
        <f t="shared" si="191"/>
        <v>139612.78020977444</v>
      </c>
      <c r="D2438">
        <v>34374</v>
      </c>
      <c r="E2438">
        <f t="shared" si="192"/>
        <v>3.4373999999999998</v>
      </c>
      <c r="F2438">
        <f t="shared" si="193"/>
        <v>5.754401664932729E-2</v>
      </c>
      <c r="G2438">
        <f t="shared" si="194"/>
        <v>3.3113138521380565E-3</v>
      </c>
    </row>
    <row r="2439" spans="1:7" x14ac:dyDescent="0.35">
      <c r="A2439">
        <v>1712</v>
      </c>
      <c r="B2439">
        <f t="shared" si="190"/>
        <v>373.64793617759278</v>
      </c>
      <c r="C2439">
        <f t="shared" si="191"/>
        <v>139612.78020977444</v>
      </c>
      <c r="D2439">
        <v>35228</v>
      </c>
      <c r="E2439">
        <f t="shared" si="192"/>
        <v>3.5228000000000002</v>
      </c>
      <c r="F2439">
        <f t="shared" si="193"/>
        <v>0.14294401664932765</v>
      </c>
      <c r="G2439">
        <f t="shared" si="194"/>
        <v>2.0432991895843262E-2</v>
      </c>
    </row>
    <row r="2440" spans="1:7" x14ac:dyDescent="0.35">
      <c r="A2440">
        <v>1712</v>
      </c>
      <c r="B2440">
        <f t="shared" si="190"/>
        <v>373.64793617759278</v>
      </c>
      <c r="C2440">
        <f t="shared" si="191"/>
        <v>139612.78020977444</v>
      </c>
      <c r="D2440">
        <v>34889</v>
      </c>
      <c r="E2440">
        <f t="shared" si="192"/>
        <v>3.4889000000000001</v>
      </c>
      <c r="F2440">
        <f t="shared" si="193"/>
        <v>0.10904401664932761</v>
      </c>
      <c r="G2440">
        <f t="shared" si="194"/>
        <v>1.1890597567018837E-2</v>
      </c>
    </row>
    <row r="2441" spans="1:7" x14ac:dyDescent="0.35">
      <c r="A2441">
        <v>1712</v>
      </c>
      <c r="B2441">
        <f t="shared" si="190"/>
        <v>373.64793617759278</v>
      </c>
      <c r="C2441">
        <f t="shared" si="191"/>
        <v>139612.78020977444</v>
      </c>
      <c r="D2441">
        <v>36516</v>
      </c>
      <c r="E2441">
        <f t="shared" si="192"/>
        <v>3.6516000000000002</v>
      </c>
      <c r="F2441">
        <f t="shared" si="193"/>
        <v>0.27174401664932768</v>
      </c>
      <c r="G2441">
        <f t="shared" si="194"/>
        <v>7.3844810584710083E-2</v>
      </c>
    </row>
    <row r="2442" spans="1:7" x14ac:dyDescent="0.35">
      <c r="A2442">
        <v>1712</v>
      </c>
      <c r="B2442">
        <f t="shared" si="190"/>
        <v>373.64793617759278</v>
      </c>
      <c r="C2442">
        <f t="shared" si="191"/>
        <v>139612.78020977444</v>
      </c>
      <c r="D2442">
        <v>35465</v>
      </c>
      <c r="E2442">
        <f t="shared" si="192"/>
        <v>3.5465</v>
      </c>
      <c r="F2442">
        <f t="shared" si="193"/>
        <v>0.16664401664932749</v>
      </c>
      <c r="G2442">
        <f t="shared" si="194"/>
        <v>2.7770228285021337E-2</v>
      </c>
    </row>
    <row r="2443" spans="1:7" x14ac:dyDescent="0.35">
      <c r="A2443">
        <v>1712</v>
      </c>
      <c r="B2443">
        <f t="shared" si="190"/>
        <v>373.64793617759278</v>
      </c>
      <c r="C2443">
        <f t="shared" si="191"/>
        <v>139612.78020977444</v>
      </c>
      <c r="D2443">
        <v>36705</v>
      </c>
      <c r="E2443">
        <f t="shared" si="192"/>
        <v>3.6705000000000001</v>
      </c>
      <c r="F2443">
        <f t="shared" si="193"/>
        <v>0.2906440166493276</v>
      </c>
      <c r="G2443">
        <f t="shared" si="194"/>
        <v>8.4473944414054619E-2</v>
      </c>
    </row>
    <row r="2444" spans="1:7" x14ac:dyDescent="0.35">
      <c r="A2444">
        <v>1712</v>
      </c>
      <c r="B2444">
        <f t="shared" si="190"/>
        <v>373.64793617759278</v>
      </c>
      <c r="C2444">
        <f t="shared" si="191"/>
        <v>139612.78020977444</v>
      </c>
      <c r="D2444">
        <v>38337</v>
      </c>
      <c r="E2444">
        <f t="shared" si="192"/>
        <v>3.8336999999999999</v>
      </c>
      <c r="F2444">
        <f t="shared" si="193"/>
        <v>0.45384401664932739</v>
      </c>
      <c r="G2444">
        <f t="shared" si="194"/>
        <v>0.20597439144839497</v>
      </c>
    </row>
    <row r="2445" spans="1:7" x14ac:dyDescent="0.35">
      <c r="A2445">
        <v>1712</v>
      </c>
      <c r="B2445">
        <f t="shared" si="190"/>
        <v>373.64793617759278</v>
      </c>
      <c r="C2445">
        <f t="shared" si="191"/>
        <v>139612.78020977444</v>
      </c>
      <c r="D2445">
        <v>36800</v>
      </c>
      <c r="E2445">
        <f t="shared" si="192"/>
        <v>3.68</v>
      </c>
      <c r="F2445">
        <f t="shared" si="193"/>
        <v>0.30014401664932766</v>
      </c>
      <c r="G2445">
        <f t="shared" si="194"/>
        <v>9.0086430730391881E-2</v>
      </c>
    </row>
    <row r="2446" spans="1:7" x14ac:dyDescent="0.35">
      <c r="A2446">
        <v>1712</v>
      </c>
      <c r="B2446">
        <f t="shared" si="190"/>
        <v>373.64793617759278</v>
      </c>
      <c r="C2446">
        <f t="shared" si="191"/>
        <v>139612.78020977444</v>
      </c>
      <c r="D2446">
        <v>38748</v>
      </c>
      <c r="E2446">
        <f t="shared" si="192"/>
        <v>3.8748</v>
      </c>
      <c r="F2446">
        <f t="shared" si="193"/>
        <v>0.49494401664932752</v>
      </c>
      <c r="G2446">
        <f t="shared" si="194"/>
        <v>0.2449695796169698</v>
      </c>
    </row>
    <row r="2447" spans="1:7" x14ac:dyDescent="0.35">
      <c r="A2447">
        <v>1712</v>
      </c>
      <c r="B2447">
        <f t="shared" si="190"/>
        <v>373.64793617759278</v>
      </c>
      <c r="C2447">
        <f t="shared" si="191"/>
        <v>139612.78020977444</v>
      </c>
      <c r="D2447">
        <v>40558</v>
      </c>
      <c r="E2447">
        <f t="shared" si="192"/>
        <v>4.0557999999999996</v>
      </c>
      <c r="F2447">
        <f t="shared" si="193"/>
        <v>0.67594401664932713</v>
      </c>
      <c r="G2447">
        <f t="shared" si="194"/>
        <v>0.45690031364402584</v>
      </c>
    </row>
    <row r="2448" spans="1:7" x14ac:dyDescent="0.35">
      <c r="A2448">
        <v>1712</v>
      </c>
      <c r="B2448">
        <f t="shared" si="190"/>
        <v>373.64793617759278</v>
      </c>
      <c r="C2448">
        <f t="shared" si="191"/>
        <v>139612.78020977444</v>
      </c>
      <c r="D2448">
        <v>35699</v>
      </c>
      <c r="E2448">
        <f t="shared" si="192"/>
        <v>3.5699000000000001</v>
      </c>
      <c r="F2448">
        <f t="shared" si="193"/>
        <v>0.19004401664932757</v>
      </c>
      <c r="G2448">
        <f t="shared" si="194"/>
        <v>3.6116728264209898E-2</v>
      </c>
    </row>
    <row r="2449" spans="1:7" x14ac:dyDescent="0.35">
      <c r="A2449">
        <v>1712</v>
      </c>
      <c r="B2449">
        <f t="shared" si="190"/>
        <v>373.64793617759278</v>
      </c>
      <c r="C2449">
        <f t="shared" si="191"/>
        <v>139612.78020977444</v>
      </c>
      <c r="D2449">
        <v>36057</v>
      </c>
      <c r="E2449">
        <f t="shared" si="192"/>
        <v>3.6057000000000001</v>
      </c>
      <c r="F2449">
        <f t="shared" si="193"/>
        <v>0.22584401664932763</v>
      </c>
      <c r="G2449">
        <f t="shared" si="194"/>
        <v>5.1005519856301772E-2</v>
      </c>
    </row>
    <row r="2450" spans="1:7" x14ac:dyDescent="0.35">
      <c r="A2450">
        <v>1712</v>
      </c>
      <c r="B2450">
        <f t="shared" si="190"/>
        <v>373.64793617759278</v>
      </c>
      <c r="C2450">
        <f t="shared" si="191"/>
        <v>139612.78020977444</v>
      </c>
      <c r="D2450">
        <v>38897</v>
      </c>
      <c r="E2450">
        <f t="shared" si="192"/>
        <v>3.8896999999999999</v>
      </c>
      <c r="F2450">
        <f t="shared" si="193"/>
        <v>0.50984401664932744</v>
      </c>
      <c r="G2450">
        <f t="shared" si="194"/>
        <v>0.25994092131311969</v>
      </c>
    </row>
    <row r="2451" spans="1:7" x14ac:dyDescent="0.35">
      <c r="A2451">
        <v>1712</v>
      </c>
      <c r="B2451">
        <f t="shared" si="190"/>
        <v>373.64793617759278</v>
      </c>
      <c r="C2451">
        <f t="shared" si="191"/>
        <v>139612.78020977444</v>
      </c>
      <c r="D2451">
        <v>38377</v>
      </c>
      <c r="E2451">
        <f t="shared" si="192"/>
        <v>3.8376999999999999</v>
      </c>
      <c r="F2451">
        <f t="shared" si="193"/>
        <v>0.45784401664932739</v>
      </c>
      <c r="G2451">
        <f t="shared" si="194"/>
        <v>0.20962114358158956</v>
      </c>
    </row>
    <row r="2452" spans="1:7" x14ac:dyDescent="0.35">
      <c r="A2452">
        <v>1712</v>
      </c>
      <c r="B2452">
        <f t="shared" si="190"/>
        <v>373.64793617759278</v>
      </c>
      <c r="C2452">
        <f t="shared" si="191"/>
        <v>139612.78020977444</v>
      </c>
      <c r="D2452">
        <v>38726</v>
      </c>
      <c r="E2452">
        <f t="shared" si="192"/>
        <v>3.8725999999999998</v>
      </c>
      <c r="F2452">
        <f t="shared" si="193"/>
        <v>0.49274401664932732</v>
      </c>
      <c r="G2452">
        <f t="shared" si="194"/>
        <v>0.24279666594371255</v>
      </c>
    </row>
    <row r="2453" spans="1:7" x14ac:dyDescent="0.35">
      <c r="A2453">
        <v>1712</v>
      </c>
      <c r="B2453">
        <f t="shared" si="190"/>
        <v>373.64793617759278</v>
      </c>
      <c r="C2453">
        <f t="shared" si="191"/>
        <v>139612.78020977444</v>
      </c>
      <c r="D2453">
        <v>39160</v>
      </c>
      <c r="E2453">
        <f t="shared" si="192"/>
        <v>3.9159999999999999</v>
      </c>
      <c r="F2453">
        <f t="shared" si="193"/>
        <v>0.53614401664932743</v>
      </c>
      <c r="G2453">
        <f t="shared" si="194"/>
        <v>0.28745040658887427</v>
      </c>
    </row>
    <row r="2454" spans="1:7" x14ac:dyDescent="0.35">
      <c r="A2454">
        <v>1712</v>
      </c>
      <c r="B2454">
        <f t="shared" si="190"/>
        <v>373.64793617759278</v>
      </c>
      <c r="C2454">
        <f t="shared" si="191"/>
        <v>139612.78020977444</v>
      </c>
      <c r="D2454">
        <v>31746</v>
      </c>
      <c r="E2454">
        <f t="shared" si="192"/>
        <v>3.1745999999999999</v>
      </c>
      <c r="F2454">
        <f t="shared" si="193"/>
        <v>-0.20525598335067263</v>
      </c>
      <c r="G2454">
        <f t="shared" si="194"/>
        <v>4.2130018701251604E-2</v>
      </c>
    </row>
    <row r="2455" spans="1:7" x14ac:dyDescent="0.35">
      <c r="A2455">
        <v>1712</v>
      </c>
      <c r="B2455">
        <f t="shared" si="190"/>
        <v>373.64793617759278</v>
      </c>
      <c r="C2455">
        <f t="shared" si="191"/>
        <v>139612.78020977444</v>
      </c>
      <c r="D2455">
        <v>33060</v>
      </c>
      <c r="E2455">
        <f t="shared" si="192"/>
        <v>3.306</v>
      </c>
      <c r="F2455">
        <f t="shared" si="193"/>
        <v>-7.3855983350672449E-2</v>
      </c>
      <c r="G2455">
        <f t="shared" si="194"/>
        <v>5.4547062766948061E-3</v>
      </c>
    </row>
    <row r="2456" spans="1:7" x14ac:dyDescent="0.35">
      <c r="A2456">
        <v>1712</v>
      </c>
      <c r="B2456">
        <f t="shared" si="190"/>
        <v>373.64793617759278</v>
      </c>
      <c r="C2456">
        <f t="shared" si="191"/>
        <v>139612.78020977444</v>
      </c>
      <c r="D2456">
        <v>10821</v>
      </c>
      <c r="E2456">
        <f t="shared" si="192"/>
        <v>1.0821000000000001</v>
      </c>
      <c r="F2456">
        <f t="shared" si="193"/>
        <v>-2.2977559833506724</v>
      </c>
      <c r="G2456">
        <f t="shared" si="194"/>
        <v>5.2796825590238159</v>
      </c>
    </row>
    <row r="2457" spans="1:7" x14ac:dyDescent="0.35">
      <c r="A2457">
        <v>1712</v>
      </c>
      <c r="B2457">
        <f t="shared" si="190"/>
        <v>373.64793617759278</v>
      </c>
      <c r="C2457">
        <f t="shared" si="191"/>
        <v>139612.78020977444</v>
      </c>
      <c r="D2457">
        <v>42328</v>
      </c>
      <c r="E2457">
        <f t="shared" si="192"/>
        <v>4.2328000000000001</v>
      </c>
      <c r="F2457">
        <f t="shared" si="193"/>
        <v>0.85294401664932762</v>
      </c>
      <c r="G2457">
        <f t="shared" si="194"/>
        <v>0.72751349553788847</v>
      </c>
    </row>
    <row r="2458" spans="1:7" x14ac:dyDescent="0.35">
      <c r="A2458">
        <v>1712</v>
      </c>
      <c r="B2458">
        <f t="shared" si="190"/>
        <v>373.64793617759278</v>
      </c>
      <c r="C2458">
        <f t="shared" si="191"/>
        <v>139612.78020977444</v>
      </c>
      <c r="D2458">
        <v>39216</v>
      </c>
      <c r="E2458">
        <f t="shared" si="192"/>
        <v>3.9216000000000002</v>
      </c>
      <c r="F2458">
        <f t="shared" si="193"/>
        <v>0.5417440166493277</v>
      </c>
      <c r="G2458">
        <f t="shared" si="194"/>
        <v>0.29348657957534707</v>
      </c>
    </row>
    <row r="2459" spans="1:7" x14ac:dyDescent="0.35">
      <c r="A2459">
        <v>2331</v>
      </c>
      <c r="B2459">
        <f t="shared" si="190"/>
        <v>992.64793617759278</v>
      </c>
      <c r="C2459">
        <f t="shared" si="191"/>
        <v>985349.92519763426</v>
      </c>
      <c r="D2459">
        <v>39950</v>
      </c>
      <c r="E2459">
        <f t="shared" si="192"/>
        <v>3.9950000000000001</v>
      </c>
      <c r="F2459">
        <f t="shared" si="193"/>
        <v>0.61514401664932761</v>
      </c>
      <c r="G2459">
        <f t="shared" si="194"/>
        <v>0.37840216121946824</v>
      </c>
    </row>
    <row r="2460" spans="1:7" x14ac:dyDescent="0.35">
      <c r="A2460">
        <v>2331</v>
      </c>
      <c r="B2460">
        <f t="shared" si="190"/>
        <v>992.64793617759278</v>
      </c>
      <c r="C2460">
        <f t="shared" si="191"/>
        <v>985349.92519763426</v>
      </c>
      <c r="D2460">
        <v>39921</v>
      </c>
      <c r="E2460">
        <f t="shared" si="192"/>
        <v>3.9921000000000002</v>
      </c>
      <c r="F2460">
        <f t="shared" si="193"/>
        <v>0.6122440166493277</v>
      </c>
      <c r="G2460">
        <f t="shared" si="194"/>
        <v>0.37484273592290224</v>
      </c>
    </row>
    <row r="2461" spans="1:7" x14ac:dyDescent="0.35">
      <c r="A2461">
        <v>2331</v>
      </c>
      <c r="B2461">
        <f t="shared" si="190"/>
        <v>992.64793617759278</v>
      </c>
      <c r="C2461">
        <f t="shared" si="191"/>
        <v>985349.92519763426</v>
      </c>
      <c r="D2461">
        <v>38170</v>
      </c>
      <c r="E2461">
        <f t="shared" si="192"/>
        <v>3.8170000000000002</v>
      </c>
      <c r="F2461">
        <f t="shared" si="193"/>
        <v>0.43714401664932767</v>
      </c>
      <c r="G2461">
        <f t="shared" si="194"/>
        <v>0.19109489129230767</v>
      </c>
    </row>
    <row r="2462" spans="1:7" x14ac:dyDescent="0.35">
      <c r="A2462">
        <v>2331</v>
      </c>
      <c r="B2462">
        <f t="shared" si="190"/>
        <v>992.64793617759278</v>
      </c>
      <c r="C2462">
        <f t="shared" si="191"/>
        <v>985349.92519763426</v>
      </c>
      <c r="D2462">
        <v>37345</v>
      </c>
      <c r="E2462">
        <f t="shared" si="192"/>
        <v>3.7345000000000002</v>
      </c>
      <c r="F2462">
        <f t="shared" si="193"/>
        <v>0.35464401664932765</v>
      </c>
      <c r="G2462">
        <f t="shared" si="194"/>
        <v>0.12577237854516859</v>
      </c>
    </row>
    <row r="2463" spans="1:7" x14ac:dyDescent="0.35">
      <c r="A2463">
        <v>2331</v>
      </c>
      <c r="B2463">
        <f t="shared" si="190"/>
        <v>992.64793617759278</v>
      </c>
      <c r="C2463">
        <f t="shared" si="191"/>
        <v>985349.92519763426</v>
      </c>
      <c r="D2463">
        <v>37691</v>
      </c>
      <c r="E2463">
        <f t="shared" si="192"/>
        <v>3.7690999999999999</v>
      </c>
      <c r="F2463">
        <f t="shared" si="193"/>
        <v>0.3892440166493274</v>
      </c>
      <c r="G2463">
        <f t="shared" si="194"/>
        <v>0.15151090449730187</v>
      </c>
    </row>
    <row r="2464" spans="1:7" x14ac:dyDescent="0.35">
      <c r="A2464">
        <v>2331</v>
      </c>
      <c r="B2464">
        <f t="shared" si="190"/>
        <v>992.64793617759278</v>
      </c>
      <c r="C2464">
        <f t="shared" si="191"/>
        <v>985349.92519763426</v>
      </c>
      <c r="D2464">
        <v>38156</v>
      </c>
      <c r="E2464">
        <f t="shared" si="192"/>
        <v>3.8155999999999999</v>
      </c>
      <c r="F2464">
        <f t="shared" si="193"/>
        <v>0.43574401664932738</v>
      </c>
      <c r="G2464">
        <f t="shared" si="194"/>
        <v>0.1898728480456893</v>
      </c>
    </row>
    <row r="2465" spans="1:7" x14ac:dyDescent="0.35">
      <c r="A2465">
        <v>2331</v>
      </c>
      <c r="B2465">
        <f t="shared" si="190"/>
        <v>992.64793617759278</v>
      </c>
      <c r="C2465">
        <f t="shared" si="191"/>
        <v>985349.92519763426</v>
      </c>
      <c r="D2465">
        <v>37975</v>
      </c>
      <c r="E2465">
        <f t="shared" si="192"/>
        <v>3.7974999999999999</v>
      </c>
      <c r="F2465">
        <f t="shared" si="193"/>
        <v>0.41764401664932738</v>
      </c>
      <c r="G2465">
        <f t="shared" si="194"/>
        <v>0.17442652464298364</v>
      </c>
    </row>
    <row r="2466" spans="1:7" x14ac:dyDescent="0.35">
      <c r="A2466">
        <v>2331</v>
      </c>
      <c r="B2466">
        <f t="shared" si="190"/>
        <v>992.64793617759278</v>
      </c>
      <c r="C2466">
        <f t="shared" si="191"/>
        <v>985349.92519763426</v>
      </c>
      <c r="D2466">
        <v>36987</v>
      </c>
      <c r="E2466">
        <f t="shared" si="192"/>
        <v>3.6987000000000001</v>
      </c>
      <c r="F2466">
        <f t="shared" si="193"/>
        <v>0.3188440166493276</v>
      </c>
      <c r="G2466">
        <f t="shared" si="194"/>
        <v>0.1016615069530767</v>
      </c>
    </row>
    <row r="2467" spans="1:7" x14ac:dyDescent="0.35">
      <c r="A2467">
        <v>2331</v>
      </c>
      <c r="B2467">
        <f t="shared" si="190"/>
        <v>992.64793617759278</v>
      </c>
      <c r="C2467">
        <f t="shared" si="191"/>
        <v>985349.92519763426</v>
      </c>
      <c r="D2467">
        <v>36325</v>
      </c>
      <c r="E2467">
        <f t="shared" si="192"/>
        <v>3.6324999999999998</v>
      </c>
      <c r="F2467">
        <f t="shared" si="193"/>
        <v>0.25264401664932734</v>
      </c>
      <c r="G2467">
        <f t="shared" si="194"/>
        <v>6.3828999148705587E-2</v>
      </c>
    </row>
    <row r="2468" spans="1:7" x14ac:dyDescent="0.35">
      <c r="A2468">
        <v>2331</v>
      </c>
      <c r="B2468">
        <f t="shared" si="190"/>
        <v>992.64793617759278</v>
      </c>
      <c r="C2468">
        <f t="shared" si="191"/>
        <v>985349.92519763426</v>
      </c>
      <c r="D2468">
        <v>35186</v>
      </c>
      <c r="E2468">
        <f t="shared" si="192"/>
        <v>3.5186000000000002</v>
      </c>
      <c r="F2468">
        <f t="shared" si="193"/>
        <v>0.13874401664932767</v>
      </c>
      <c r="G2468">
        <f t="shared" si="194"/>
        <v>1.9249902155988916E-2</v>
      </c>
    </row>
    <row r="2469" spans="1:7" x14ac:dyDescent="0.35">
      <c r="A2469">
        <v>2331</v>
      </c>
      <c r="B2469">
        <f t="shared" si="190"/>
        <v>992.64793617759278</v>
      </c>
      <c r="C2469">
        <f t="shared" si="191"/>
        <v>985349.92519763426</v>
      </c>
      <c r="D2469">
        <v>37025</v>
      </c>
      <c r="E2469">
        <f t="shared" si="192"/>
        <v>3.7025000000000001</v>
      </c>
      <c r="F2469">
        <f t="shared" si="193"/>
        <v>0.32264401664932763</v>
      </c>
      <c r="G2469">
        <f t="shared" si="194"/>
        <v>0.1040991614796116</v>
      </c>
    </row>
    <row r="2470" spans="1:7" x14ac:dyDescent="0.35">
      <c r="A2470">
        <v>2331</v>
      </c>
      <c r="B2470">
        <f t="shared" si="190"/>
        <v>992.64793617759278</v>
      </c>
      <c r="C2470">
        <f t="shared" si="191"/>
        <v>985349.92519763426</v>
      </c>
      <c r="D2470">
        <v>39827</v>
      </c>
      <c r="E2470">
        <f t="shared" si="192"/>
        <v>3.9826999999999999</v>
      </c>
      <c r="F2470">
        <f t="shared" si="193"/>
        <v>0.60284401664932741</v>
      </c>
      <c r="G2470">
        <f t="shared" si="194"/>
        <v>0.36342090840989455</v>
      </c>
    </row>
    <row r="2471" spans="1:7" x14ac:dyDescent="0.35">
      <c r="A2471">
        <v>2331</v>
      </c>
      <c r="B2471">
        <f t="shared" si="190"/>
        <v>992.64793617759278</v>
      </c>
      <c r="C2471">
        <f t="shared" si="191"/>
        <v>985349.92519763426</v>
      </c>
      <c r="D2471">
        <v>37581</v>
      </c>
      <c r="E2471">
        <f t="shared" si="192"/>
        <v>3.7581000000000002</v>
      </c>
      <c r="F2471">
        <f t="shared" si="193"/>
        <v>0.37824401664932772</v>
      </c>
      <c r="G2471">
        <f t="shared" si="194"/>
        <v>0.14306853613101692</v>
      </c>
    </row>
    <row r="2472" spans="1:7" x14ac:dyDescent="0.35">
      <c r="A2472">
        <v>2331</v>
      </c>
      <c r="B2472">
        <f t="shared" si="190"/>
        <v>992.64793617759278</v>
      </c>
      <c r="C2472">
        <f t="shared" si="191"/>
        <v>985349.92519763426</v>
      </c>
      <c r="D2472">
        <v>37205</v>
      </c>
      <c r="E2472">
        <f t="shared" si="192"/>
        <v>3.7204999999999999</v>
      </c>
      <c r="F2472">
        <f t="shared" si="193"/>
        <v>0.34064401664932742</v>
      </c>
      <c r="G2472">
        <f t="shared" si="194"/>
        <v>0.11603834607898726</v>
      </c>
    </row>
    <row r="2473" spans="1:7" x14ac:dyDescent="0.35">
      <c r="A2473">
        <v>2331</v>
      </c>
      <c r="B2473">
        <f t="shared" si="190"/>
        <v>992.64793617759278</v>
      </c>
      <c r="C2473">
        <f t="shared" si="191"/>
        <v>985349.92519763426</v>
      </c>
      <c r="D2473">
        <v>38970</v>
      </c>
      <c r="E2473">
        <f t="shared" si="192"/>
        <v>3.8969999999999998</v>
      </c>
      <c r="F2473">
        <f t="shared" si="193"/>
        <v>0.5171440166493273</v>
      </c>
      <c r="G2473">
        <f t="shared" si="194"/>
        <v>0.26743793395619969</v>
      </c>
    </row>
    <row r="2474" spans="1:7" x14ac:dyDescent="0.35">
      <c r="A2474">
        <v>2331</v>
      </c>
      <c r="B2474">
        <f t="shared" si="190"/>
        <v>992.64793617759278</v>
      </c>
      <c r="C2474">
        <f t="shared" si="191"/>
        <v>985349.92519763426</v>
      </c>
      <c r="D2474">
        <v>37671</v>
      </c>
      <c r="E2474">
        <f t="shared" si="192"/>
        <v>3.7671000000000001</v>
      </c>
      <c r="F2474">
        <f t="shared" si="193"/>
        <v>0.38724401664932762</v>
      </c>
      <c r="G2474">
        <f t="shared" si="194"/>
        <v>0.14995792843070471</v>
      </c>
    </row>
    <row r="2475" spans="1:7" x14ac:dyDescent="0.35">
      <c r="A2475">
        <v>2331</v>
      </c>
      <c r="B2475">
        <f t="shared" si="190"/>
        <v>992.64793617759278</v>
      </c>
      <c r="C2475">
        <f t="shared" si="191"/>
        <v>985349.92519763426</v>
      </c>
      <c r="D2475">
        <v>39227</v>
      </c>
      <c r="E2475">
        <f t="shared" si="192"/>
        <v>3.9226999999999999</v>
      </c>
      <c r="F2475">
        <f t="shared" si="193"/>
        <v>0.54284401664932735</v>
      </c>
      <c r="G2475">
        <f t="shared" si="194"/>
        <v>0.2946796264119752</v>
      </c>
    </row>
    <row r="2476" spans="1:7" x14ac:dyDescent="0.35">
      <c r="A2476">
        <v>2331</v>
      </c>
      <c r="B2476">
        <f t="shared" si="190"/>
        <v>992.64793617759278</v>
      </c>
      <c r="C2476">
        <f t="shared" si="191"/>
        <v>985349.92519763426</v>
      </c>
      <c r="D2476">
        <v>35596</v>
      </c>
      <c r="E2476">
        <f t="shared" si="192"/>
        <v>3.5596000000000001</v>
      </c>
      <c r="F2476">
        <f t="shared" si="193"/>
        <v>0.1797440166493276</v>
      </c>
      <c r="G2476">
        <f t="shared" si="194"/>
        <v>3.2307911521233759E-2</v>
      </c>
    </row>
    <row r="2477" spans="1:7" x14ac:dyDescent="0.35">
      <c r="A2477">
        <v>2331</v>
      </c>
      <c r="B2477">
        <f t="shared" si="190"/>
        <v>992.64793617759278</v>
      </c>
      <c r="C2477">
        <f t="shared" si="191"/>
        <v>985349.92519763426</v>
      </c>
      <c r="D2477">
        <v>35984</v>
      </c>
      <c r="E2477">
        <f t="shared" si="192"/>
        <v>3.5983999999999998</v>
      </c>
      <c r="F2477">
        <f t="shared" si="193"/>
        <v>0.21854401664932732</v>
      </c>
      <c r="G2477">
        <f t="shared" si="194"/>
        <v>4.776148721322146E-2</v>
      </c>
    </row>
    <row r="2478" spans="1:7" x14ac:dyDescent="0.35">
      <c r="A2478">
        <v>2331</v>
      </c>
      <c r="B2478">
        <f t="shared" si="190"/>
        <v>992.64793617759278</v>
      </c>
      <c r="C2478">
        <f t="shared" si="191"/>
        <v>985349.92519763426</v>
      </c>
      <c r="D2478">
        <v>41296</v>
      </c>
      <c r="E2478">
        <f t="shared" si="192"/>
        <v>4.1295999999999999</v>
      </c>
      <c r="F2478">
        <f t="shared" si="193"/>
        <v>0.74974401664932744</v>
      </c>
      <c r="G2478">
        <f t="shared" si="194"/>
        <v>0.56211609050146694</v>
      </c>
    </row>
    <row r="2479" spans="1:7" x14ac:dyDescent="0.35">
      <c r="A2479">
        <v>2331</v>
      </c>
      <c r="B2479">
        <f t="shared" si="190"/>
        <v>992.64793617759278</v>
      </c>
      <c r="C2479">
        <f t="shared" si="191"/>
        <v>985349.92519763426</v>
      </c>
      <c r="D2479">
        <v>42534</v>
      </c>
      <c r="E2479">
        <f t="shared" si="192"/>
        <v>4.2534000000000001</v>
      </c>
      <c r="F2479">
        <f t="shared" si="193"/>
        <v>0.87354401664932757</v>
      </c>
      <c r="G2479">
        <f t="shared" si="194"/>
        <v>0.76307914902384066</v>
      </c>
    </row>
    <row r="2480" spans="1:7" x14ac:dyDescent="0.35">
      <c r="A2480">
        <v>2331</v>
      </c>
      <c r="B2480">
        <f t="shared" si="190"/>
        <v>992.64793617759278</v>
      </c>
      <c r="C2480">
        <f t="shared" si="191"/>
        <v>985349.92519763426</v>
      </c>
      <c r="D2480">
        <v>41892</v>
      </c>
      <c r="E2480">
        <f t="shared" si="192"/>
        <v>4.1891999999999996</v>
      </c>
      <c r="F2480">
        <f t="shared" si="193"/>
        <v>0.80934401664932709</v>
      </c>
      <c r="G2480">
        <f t="shared" si="194"/>
        <v>0.65503773728606629</v>
      </c>
    </row>
    <row r="2481" spans="1:7" x14ac:dyDescent="0.35">
      <c r="A2481">
        <v>2331</v>
      </c>
      <c r="B2481">
        <f t="shared" si="190"/>
        <v>992.64793617759278</v>
      </c>
      <c r="C2481">
        <f t="shared" si="191"/>
        <v>985349.92519763426</v>
      </c>
      <c r="D2481">
        <v>42092</v>
      </c>
      <c r="E2481">
        <f t="shared" si="192"/>
        <v>4.2092000000000001</v>
      </c>
      <c r="F2481">
        <f t="shared" si="193"/>
        <v>0.82934401664932755</v>
      </c>
      <c r="G2481">
        <f t="shared" si="194"/>
        <v>0.68781149795204011</v>
      </c>
    </row>
    <row r="2482" spans="1:7" x14ac:dyDescent="0.35">
      <c r="A2482">
        <v>2331</v>
      </c>
      <c r="B2482">
        <f t="shared" si="190"/>
        <v>992.64793617759278</v>
      </c>
      <c r="C2482">
        <f t="shared" si="191"/>
        <v>985349.92519763426</v>
      </c>
      <c r="D2482">
        <v>42329</v>
      </c>
      <c r="E2482">
        <f t="shared" si="192"/>
        <v>4.2328999999999999</v>
      </c>
      <c r="F2482">
        <f t="shared" si="193"/>
        <v>0.85304401664932739</v>
      </c>
      <c r="G2482">
        <f t="shared" si="194"/>
        <v>0.72768409434121795</v>
      </c>
    </row>
    <row r="2483" spans="1:7" x14ac:dyDescent="0.35">
      <c r="A2483">
        <v>2331</v>
      </c>
      <c r="B2483">
        <f t="shared" si="190"/>
        <v>992.64793617759278</v>
      </c>
      <c r="C2483">
        <f t="shared" si="191"/>
        <v>985349.92519763426</v>
      </c>
      <c r="D2483">
        <v>41331</v>
      </c>
      <c r="E2483">
        <f t="shared" si="192"/>
        <v>4.1330999999999998</v>
      </c>
      <c r="F2483">
        <f t="shared" si="193"/>
        <v>0.75324401664932727</v>
      </c>
      <c r="G2483">
        <f t="shared" si="194"/>
        <v>0.56737654861801201</v>
      </c>
    </row>
    <row r="2484" spans="1:7" x14ac:dyDescent="0.35">
      <c r="A2484">
        <v>2331</v>
      </c>
      <c r="B2484">
        <f t="shared" si="190"/>
        <v>992.64793617759278</v>
      </c>
      <c r="C2484">
        <f t="shared" si="191"/>
        <v>985349.92519763426</v>
      </c>
      <c r="D2484">
        <v>43622</v>
      </c>
      <c r="E2484">
        <f t="shared" si="192"/>
        <v>4.3621999999999996</v>
      </c>
      <c r="F2484">
        <f t="shared" si="193"/>
        <v>0.98234401664932713</v>
      </c>
      <c r="G2484">
        <f t="shared" si="194"/>
        <v>0.96499976704673351</v>
      </c>
    </row>
    <row r="2485" spans="1:7" x14ac:dyDescent="0.35">
      <c r="A2485">
        <v>2331</v>
      </c>
      <c r="B2485">
        <f t="shared" si="190"/>
        <v>992.64793617759278</v>
      </c>
      <c r="C2485">
        <f t="shared" si="191"/>
        <v>985349.92519763426</v>
      </c>
      <c r="D2485">
        <v>44965</v>
      </c>
      <c r="E2485">
        <f t="shared" si="192"/>
        <v>4.4965000000000002</v>
      </c>
      <c r="F2485">
        <f t="shared" si="193"/>
        <v>1.1166440166493277</v>
      </c>
      <c r="G2485">
        <f t="shared" si="194"/>
        <v>1.246893859918744</v>
      </c>
    </row>
    <row r="2486" spans="1:7" x14ac:dyDescent="0.35">
      <c r="A2486">
        <v>2331</v>
      </c>
      <c r="B2486">
        <f t="shared" si="190"/>
        <v>992.64793617759278</v>
      </c>
      <c r="C2486">
        <f t="shared" si="191"/>
        <v>985349.92519763426</v>
      </c>
      <c r="D2486">
        <v>44341</v>
      </c>
      <c r="E2486">
        <f t="shared" si="192"/>
        <v>4.4340999999999999</v>
      </c>
      <c r="F2486">
        <f t="shared" si="193"/>
        <v>1.0542440166493274</v>
      </c>
      <c r="G2486">
        <f t="shared" si="194"/>
        <v>1.1114304466409073</v>
      </c>
    </row>
    <row r="2487" spans="1:7" x14ac:dyDescent="0.35">
      <c r="A2487">
        <v>2331</v>
      </c>
      <c r="B2487">
        <f t="shared" si="190"/>
        <v>992.64793617759278</v>
      </c>
      <c r="C2487">
        <f t="shared" si="191"/>
        <v>985349.92519763426</v>
      </c>
      <c r="D2487">
        <v>45309</v>
      </c>
      <c r="E2487">
        <f t="shared" si="192"/>
        <v>4.5308999999999999</v>
      </c>
      <c r="F2487">
        <f t="shared" si="193"/>
        <v>1.1510440166493274</v>
      </c>
      <c r="G2487">
        <f t="shared" si="194"/>
        <v>1.3249023282642172</v>
      </c>
    </row>
    <row r="2488" spans="1:7" x14ac:dyDescent="0.35">
      <c r="A2488">
        <v>2331</v>
      </c>
      <c r="B2488">
        <f t="shared" si="190"/>
        <v>992.64793617759278</v>
      </c>
      <c r="C2488">
        <f t="shared" si="191"/>
        <v>985349.92519763426</v>
      </c>
      <c r="D2488">
        <v>44341</v>
      </c>
      <c r="E2488">
        <f t="shared" si="192"/>
        <v>4.4340999999999999</v>
      </c>
      <c r="F2488">
        <f t="shared" si="193"/>
        <v>1.0542440166493274</v>
      </c>
      <c r="G2488">
        <f t="shared" si="194"/>
        <v>1.1114304466409073</v>
      </c>
    </row>
    <row r="2489" spans="1:7" x14ac:dyDescent="0.35">
      <c r="A2489">
        <v>788</v>
      </c>
      <c r="B2489">
        <f t="shared" si="190"/>
        <v>-550.35206382240722</v>
      </c>
      <c r="C2489">
        <f t="shared" si="191"/>
        <v>302887.39415358298</v>
      </c>
      <c r="D2489">
        <v>75000</v>
      </c>
      <c r="E2489">
        <f t="shared" si="192"/>
        <v>7.5</v>
      </c>
      <c r="F2489">
        <f t="shared" si="193"/>
        <v>4.1201440166493271</v>
      </c>
      <c r="G2489">
        <f t="shared" si="194"/>
        <v>16.97558671793125</v>
      </c>
    </row>
    <row r="2490" spans="1:7" x14ac:dyDescent="0.35">
      <c r="A2490">
        <v>788</v>
      </c>
      <c r="B2490">
        <f t="shared" si="190"/>
        <v>-550.35206382240722</v>
      </c>
      <c r="C2490">
        <f t="shared" si="191"/>
        <v>302887.39415358298</v>
      </c>
      <c r="D2490">
        <v>75000</v>
      </c>
      <c r="E2490">
        <f t="shared" si="192"/>
        <v>7.5</v>
      </c>
      <c r="F2490">
        <f t="shared" si="193"/>
        <v>4.1201440166493271</v>
      </c>
      <c r="G2490">
        <f t="shared" si="194"/>
        <v>16.97558671793125</v>
      </c>
    </row>
    <row r="2491" spans="1:7" x14ac:dyDescent="0.35">
      <c r="A2491">
        <v>788</v>
      </c>
      <c r="B2491">
        <f t="shared" si="190"/>
        <v>-550.35206382240722</v>
      </c>
      <c r="C2491">
        <f t="shared" si="191"/>
        <v>302887.39415358298</v>
      </c>
      <c r="D2491">
        <v>75000</v>
      </c>
      <c r="E2491">
        <f t="shared" si="192"/>
        <v>7.5</v>
      </c>
      <c r="F2491">
        <f t="shared" si="193"/>
        <v>4.1201440166493271</v>
      </c>
      <c r="G2491">
        <f t="shared" si="194"/>
        <v>16.97558671793125</v>
      </c>
    </row>
    <row r="2492" spans="1:7" x14ac:dyDescent="0.35">
      <c r="A2492">
        <v>788</v>
      </c>
      <c r="B2492">
        <f t="shared" si="190"/>
        <v>-550.35206382240722</v>
      </c>
      <c r="C2492">
        <f t="shared" si="191"/>
        <v>302887.39415358298</v>
      </c>
      <c r="D2492">
        <v>75000</v>
      </c>
      <c r="E2492">
        <f t="shared" si="192"/>
        <v>7.5</v>
      </c>
      <c r="F2492">
        <f t="shared" si="193"/>
        <v>4.1201440166493271</v>
      </c>
      <c r="G2492">
        <f t="shared" si="194"/>
        <v>16.97558671793125</v>
      </c>
    </row>
    <row r="2493" spans="1:7" x14ac:dyDescent="0.35">
      <c r="A2493">
        <v>788</v>
      </c>
      <c r="B2493">
        <f t="shared" si="190"/>
        <v>-550.35206382240722</v>
      </c>
      <c r="C2493">
        <f t="shared" si="191"/>
        <v>302887.39415358298</v>
      </c>
      <c r="D2493">
        <v>91492</v>
      </c>
      <c r="E2493">
        <f t="shared" si="192"/>
        <v>9.1492000000000004</v>
      </c>
      <c r="F2493">
        <f t="shared" si="193"/>
        <v>5.7693440166493275</v>
      </c>
      <c r="G2493">
        <f t="shared" si="194"/>
        <v>33.285330382447398</v>
      </c>
    </row>
    <row r="2494" spans="1:7" x14ac:dyDescent="0.35">
      <c r="A2494">
        <v>788</v>
      </c>
      <c r="B2494">
        <f t="shared" si="190"/>
        <v>-550.35206382240722</v>
      </c>
      <c r="C2494">
        <f t="shared" si="191"/>
        <v>302887.39415358298</v>
      </c>
      <c r="D2494">
        <v>75000</v>
      </c>
      <c r="E2494">
        <f t="shared" si="192"/>
        <v>7.5</v>
      </c>
      <c r="F2494">
        <f t="shared" si="193"/>
        <v>4.1201440166493271</v>
      </c>
      <c r="G2494">
        <f t="shared" si="194"/>
        <v>16.97558671793125</v>
      </c>
    </row>
    <row r="2495" spans="1:7" x14ac:dyDescent="0.35">
      <c r="A2495">
        <v>788</v>
      </c>
      <c r="B2495">
        <f t="shared" si="190"/>
        <v>-550.35206382240722</v>
      </c>
      <c r="C2495">
        <f t="shared" si="191"/>
        <v>302887.39415358298</v>
      </c>
      <c r="D2495">
        <v>61660</v>
      </c>
      <c r="E2495">
        <f t="shared" si="192"/>
        <v>6.1660000000000004</v>
      </c>
      <c r="F2495">
        <f t="shared" si="193"/>
        <v>2.7861440166493279</v>
      </c>
      <c r="G2495">
        <f t="shared" si="194"/>
        <v>7.7625984815108504</v>
      </c>
    </row>
    <row r="2496" spans="1:7" x14ac:dyDescent="0.35">
      <c r="A2496">
        <v>788</v>
      </c>
      <c r="B2496">
        <f t="shared" si="190"/>
        <v>-550.35206382240722</v>
      </c>
      <c r="C2496">
        <f t="shared" si="191"/>
        <v>302887.39415358298</v>
      </c>
      <c r="D2496">
        <v>50000</v>
      </c>
      <c r="E2496">
        <f t="shared" si="192"/>
        <v>5</v>
      </c>
      <c r="F2496">
        <f t="shared" si="193"/>
        <v>1.6201440166493275</v>
      </c>
      <c r="G2496">
        <f t="shared" si="194"/>
        <v>2.6248666346846163</v>
      </c>
    </row>
    <row r="2497" spans="1:7" x14ac:dyDescent="0.35">
      <c r="A2497">
        <v>788</v>
      </c>
      <c r="B2497">
        <f t="shared" si="190"/>
        <v>-550.35206382240722</v>
      </c>
      <c r="C2497">
        <f t="shared" si="191"/>
        <v>302887.39415358298</v>
      </c>
      <c r="D2497">
        <v>55000</v>
      </c>
      <c r="E2497">
        <f t="shared" si="192"/>
        <v>5.5</v>
      </c>
      <c r="F2497">
        <f t="shared" si="193"/>
        <v>2.1201440166493275</v>
      </c>
      <c r="G2497">
        <f t="shared" si="194"/>
        <v>4.4950106513339438</v>
      </c>
    </row>
    <row r="2498" spans="1:7" x14ac:dyDescent="0.35">
      <c r="A2498">
        <v>788</v>
      </c>
      <c r="B2498">
        <f t="shared" si="190"/>
        <v>-550.35206382240722</v>
      </c>
      <c r="C2498">
        <f t="shared" si="191"/>
        <v>302887.39415358298</v>
      </c>
      <c r="D2498">
        <v>53162</v>
      </c>
      <c r="E2498">
        <f t="shared" si="192"/>
        <v>5.3162000000000003</v>
      </c>
      <c r="F2498">
        <f t="shared" si="193"/>
        <v>1.9363440166493278</v>
      </c>
      <c r="G2498">
        <f t="shared" si="194"/>
        <v>3.7494281508136522</v>
      </c>
    </row>
    <row r="2499" spans="1:7" x14ac:dyDescent="0.35">
      <c r="A2499">
        <v>788</v>
      </c>
      <c r="B2499">
        <f t="shared" ref="B2499:B2562" si="195">A2499-$J$1</f>
        <v>-550.35206382240722</v>
      </c>
      <c r="C2499">
        <f t="shared" ref="C2499:C2562" si="196">B2499^2</f>
        <v>302887.39415358298</v>
      </c>
      <c r="D2499">
        <v>46491</v>
      </c>
      <c r="E2499">
        <f t="shared" ref="E2499:E2562" si="197">D2499/10000</f>
        <v>4.6490999999999998</v>
      </c>
      <c r="F2499">
        <f t="shared" ref="F2499:F2562" si="198">E2499-$J$2</f>
        <v>1.2692440166493273</v>
      </c>
      <c r="G2499">
        <f t="shared" ref="G2499:G2562" si="199">F2499^2</f>
        <v>1.6109803738001178</v>
      </c>
    </row>
    <row r="2500" spans="1:7" x14ac:dyDescent="0.35">
      <c r="A2500">
        <v>788</v>
      </c>
      <c r="B2500">
        <f t="shared" si="195"/>
        <v>-550.35206382240722</v>
      </c>
      <c r="C2500">
        <f t="shared" si="196"/>
        <v>302887.39415358298</v>
      </c>
      <c r="D2500">
        <v>51375</v>
      </c>
      <c r="E2500">
        <f t="shared" si="197"/>
        <v>5.1375000000000002</v>
      </c>
      <c r="F2500">
        <f t="shared" si="198"/>
        <v>1.7576440166493277</v>
      </c>
      <c r="G2500">
        <f t="shared" si="199"/>
        <v>3.089312489263182</v>
      </c>
    </row>
    <row r="2501" spans="1:7" x14ac:dyDescent="0.35">
      <c r="A2501">
        <v>788</v>
      </c>
      <c r="B2501">
        <f t="shared" si="195"/>
        <v>-550.35206382240722</v>
      </c>
      <c r="C2501">
        <f t="shared" si="196"/>
        <v>302887.39415358298</v>
      </c>
      <c r="D2501">
        <v>70000</v>
      </c>
      <c r="E2501">
        <f t="shared" si="197"/>
        <v>7</v>
      </c>
      <c r="F2501">
        <f t="shared" si="198"/>
        <v>3.6201440166493275</v>
      </c>
      <c r="G2501">
        <f t="shared" si="199"/>
        <v>13.105442701281927</v>
      </c>
    </row>
    <row r="2502" spans="1:7" x14ac:dyDescent="0.35">
      <c r="A2502">
        <v>788</v>
      </c>
      <c r="B2502">
        <f t="shared" si="195"/>
        <v>-550.35206382240722</v>
      </c>
      <c r="C2502">
        <f t="shared" si="196"/>
        <v>302887.39415358298</v>
      </c>
      <c r="D2502">
        <v>33333</v>
      </c>
      <c r="E2502">
        <f t="shared" si="197"/>
        <v>3.3332999999999999</v>
      </c>
      <c r="F2502">
        <f t="shared" si="198"/>
        <v>-4.655598335067257E-2</v>
      </c>
      <c r="G2502">
        <f t="shared" si="199"/>
        <v>2.1674595857481016E-3</v>
      </c>
    </row>
    <row r="2503" spans="1:7" x14ac:dyDescent="0.35">
      <c r="A2503">
        <v>788</v>
      </c>
      <c r="B2503">
        <f t="shared" si="195"/>
        <v>-550.35206382240722</v>
      </c>
      <c r="C2503">
        <f t="shared" si="196"/>
        <v>302887.39415358298</v>
      </c>
      <c r="D2503">
        <v>34000</v>
      </c>
      <c r="E2503">
        <f t="shared" si="197"/>
        <v>3.4</v>
      </c>
      <c r="F2503">
        <f t="shared" si="198"/>
        <v>2.0144016649327412E-2</v>
      </c>
      <c r="G2503">
        <f t="shared" si="199"/>
        <v>4.0578140676837996E-4</v>
      </c>
    </row>
    <row r="2504" spans="1:7" x14ac:dyDescent="0.35">
      <c r="A2504">
        <v>788</v>
      </c>
      <c r="B2504">
        <f t="shared" si="195"/>
        <v>-550.35206382240722</v>
      </c>
      <c r="C2504">
        <f t="shared" si="196"/>
        <v>302887.39415358298</v>
      </c>
      <c r="D2504">
        <v>37995</v>
      </c>
      <c r="E2504">
        <f t="shared" si="197"/>
        <v>3.7995000000000001</v>
      </c>
      <c r="F2504">
        <f t="shared" si="198"/>
        <v>0.4196440166493276</v>
      </c>
      <c r="G2504">
        <f t="shared" si="199"/>
        <v>0.17610110070958113</v>
      </c>
    </row>
    <row r="2505" spans="1:7" x14ac:dyDescent="0.35">
      <c r="A2505">
        <v>788</v>
      </c>
      <c r="B2505">
        <f t="shared" si="195"/>
        <v>-550.35206382240722</v>
      </c>
      <c r="C2505">
        <f t="shared" si="196"/>
        <v>302887.39415358298</v>
      </c>
      <c r="D2505">
        <v>39549</v>
      </c>
      <c r="E2505">
        <f t="shared" si="197"/>
        <v>3.9548999999999999</v>
      </c>
      <c r="F2505">
        <f t="shared" si="198"/>
        <v>0.57504401664932736</v>
      </c>
      <c r="G2505">
        <f t="shared" si="199"/>
        <v>0.33067562108419191</v>
      </c>
    </row>
    <row r="2506" spans="1:7" x14ac:dyDescent="0.35">
      <c r="A2506">
        <v>788</v>
      </c>
      <c r="B2506">
        <f t="shared" si="195"/>
        <v>-550.35206382240722</v>
      </c>
      <c r="C2506">
        <f t="shared" si="196"/>
        <v>302887.39415358298</v>
      </c>
      <c r="D2506">
        <v>39342</v>
      </c>
      <c r="E2506">
        <f t="shared" si="197"/>
        <v>3.9342000000000001</v>
      </c>
      <c r="F2506">
        <f t="shared" si="198"/>
        <v>0.55434401664932764</v>
      </c>
      <c r="G2506">
        <f t="shared" si="199"/>
        <v>0.30729728879491003</v>
      </c>
    </row>
    <row r="2507" spans="1:7" x14ac:dyDescent="0.35">
      <c r="A2507">
        <v>788</v>
      </c>
      <c r="B2507">
        <f t="shared" si="195"/>
        <v>-550.35206382240722</v>
      </c>
      <c r="C2507">
        <f t="shared" si="196"/>
        <v>302887.39415358298</v>
      </c>
      <c r="D2507">
        <v>38675</v>
      </c>
      <c r="E2507">
        <f t="shared" si="197"/>
        <v>3.8675000000000002</v>
      </c>
      <c r="F2507">
        <f t="shared" si="198"/>
        <v>0.48764401664932766</v>
      </c>
      <c r="G2507">
        <f t="shared" si="199"/>
        <v>0.23779668697388975</v>
      </c>
    </row>
    <row r="2508" spans="1:7" x14ac:dyDescent="0.35">
      <c r="A2508">
        <v>788</v>
      </c>
      <c r="B2508">
        <f t="shared" si="195"/>
        <v>-550.35206382240722</v>
      </c>
      <c r="C2508">
        <f t="shared" si="196"/>
        <v>302887.39415358298</v>
      </c>
      <c r="D2508">
        <v>38008</v>
      </c>
      <c r="E2508">
        <f t="shared" si="197"/>
        <v>3.8008000000000002</v>
      </c>
      <c r="F2508">
        <f t="shared" si="198"/>
        <v>0.42094401664932768</v>
      </c>
      <c r="G2508">
        <f t="shared" si="199"/>
        <v>0.17719386515286945</v>
      </c>
    </row>
    <row r="2509" spans="1:7" x14ac:dyDescent="0.35">
      <c r="A2509">
        <v>788</v>
      </c>
      <c r="B2509">
        <f t="shared" si="195"/>
        <v>-550.35206382240722</v>
      </c>
      <c r="C2509">
        <f t="shared" si="196"/>
        <v>302887.39415358298</v>
      </c>
      <c r="D2509">
        <v>37340</v>
      </c>
      <c r="E2509">
        <f t="shared" si="197"/>
        <v>3.734</v>
      </c>
      <c r="F2509">
        <f t="shared" si="198"/>
        <v>0.35414401664932749</v>
      </c>
      <c r="G2509">
        <f t="shared" si="199"/>
        <v>0.12541798452851916</v>
      </c>
    </row>
    <row r="2510" spans="1:7" x14ac:dyDescent="0.35">
      <c r="A2510">
        <v>788</v>
      </c>
      <c r="B2510">
        <f t="shared" si="195"/>
        <v>-550.35206382240722</v>
      </c>
      <c r="C2510">
        <f t="shared" si="196"/>
        <v>302887.39415358298</v>
      </c>
      <c r="D2510">
        <v>36673</v>
      </c>
      <c r="E2510">
        <f t="shared" si="197"/>
        <v>3.6673</v>
      </c>
      <c r="F2510">
        <f t="shared" si="198"/>
        <v>0.28744401664932751</v>
      </c>
      <c r="G2510">
        <f t="shared" si="199"/>
        <v>8.2624062707498863E-2</v>
      </c>
    </row>
    <row r="2511" spans="1:7" x14ac:dyDescent="0.35">
      <c r="A2511">
        <v>788</v>
      </c>
      <c r="B2511">
        <f t="shared" si="195"/>
        <v>-550.35206382240722</v>
      </c>
      <c r="C2511">
        <f t="shared" si="196"/>
        <v>302887.39415358298</v>
      </c>
      <c r="D2511">
        <v>36005</v>
      </c>
      <c r="E2511">
        <f t="shared" si="197"/>
        <v>3.6004999999999998</v>
      </c>
      <c r="F2511">
        <f t="shared" si="198"/>
        <v>0.22064401664932731</v>
      </c>
      <c r="G2511">
        <f t="shared" si="199"/>
        <v>4.8683782083148629E-2</v>
      </c>
    </row>
    <row r="2512" spans="1:7" x14ac:dyDescent="0.35">
      <c r="A2512">
        <v>788</v>
      </c>
      <c r="B2512">
        <f t="shared" si="195"/>
        <v>-550.35206382240722</v>
      </c>
      <c r="C2512">
        <f t="shared" si="196"/>
        <v>302887.39415358298</v>
      </c>
      <c r="D2512">
        <v>35338</v>
      </c>
      <c r="E2512">
        <f t="shared" si="197"/>
        <v>3.5337999999999998</v>
      </c>
      <c r="F2512">
        <f t="shared" si="198"/>
        <v>0.15394401664932733</v>
      </c>
      <c r="G2512">
        <f t="shared" si="199"/>
        <v>2.369876026212837E-2</v>
      </c>
    </row>
    <row r="2513" spans="1:7" x14ac:dyDescent="0.35">
      <c r="A2513">
        <v>788</v>
      </c>
      <c r="B2513">
        <f t="shared" si="195"/>
        <v>-550.35206382240722</v>
      </c>
      <c r="C2513">
        <f t="shared" si="196"/>
        <v>302887.39415358298</v>
      </c>
      <c r="D2513">
        <v>34670</v>
      </c>
      <c r="E2513">
        <f t="shared" si="197"/>
        <v>3.4670000000000001</v>
      </c>
      <c r="F2513">
        <f t="shared" si="198"/>
        <v>8.7144016649327583E-2</v>
      </c>
      <c r="G2513">
        <f t="shared" si="199"/>
        <v>7.5940796377782826E-3</v>
      </c>
    </row>
    <row r="2514" spans="1:7" x14ac:dyDescent="0.35">
      <c r="A2514">
        <v>788</v>
      </c>
      <c r="B2514">
        <f t="shared" si="195"/>
        <v>-550.35206382240722</v>
      </c>
      <c r="C2514">
        <f t="shared" si="196"/>
        <v>302887.39415358298</v>
      </c>
      <c r="D2514">
        <v>34003</v>
      </c>
      <c r="E2514">
        <f t="shared" si="197"/>
        <v>3.4003000000000001</v>
      </c>
      <c r="F2514">
        <f t="shared" si="198"/>
        <v>2.0444016649327601E-2</v>
      </c>
      <c r="G2514">
        <f t="shared" si="199"/>
        <v>4.1795781675798416E-4</v>
      </c>
    </row>
    <row r="2515" spans="1:7" x14ac:dyDescent="0.35">
      <c r="A2515">
        <v>788</v>
      </c>
      <c r="B2515">
        <f t="shared" si="195"/>
        <v>-550.35206382240722</v>
      </c>
      <c r="C2515">
        <f t="shared" si="196"/>
        <v>302887.39415358298</v>
      </c>
      <c r="D2515">
        <v>33782</v>
      </c>
      <c r="E2515">
        <f t="shared" si="197"/>
        <v>3.3782000000000001</v>
      </c>
      <c r="F2515">
        <f t="shared" si="198"/>
        <v>-1.6559833506724075E-3</v>
      </c>
      <c r="G2515">
        <f t="shared" si="199"/>
        <v>2.7422808577042138E-6</v>
      </c>
    </row>
    <row r="2516" spans="1:7" x14ac:dyDescent="0.35">
      <c r="A2516">
        <v>788</v>
      </c>
      <c r="B2516">
        <f t="shared" si="195"/>
        <v>-550.35206382240722</v>
      </c>
      <c r="C2516">
        <f t="shared" si="196"/>
        <v>302887.39415358298</v>
      </c>
      <c r="D2516">
        <v>34134</v>
      </c>
      <c r="E2516">
        <f t="shared" si="197"/>
        <v>3.4134000000000002</v>
      </c>
      <c r="F2516">
        <f t="shared" si="198"/>
        <v>3.3544016649327713E-2</v>
      </c>
      <c r="G2516">
        <f t="shared" si="199"/>
        <v>1.1252010529703748E-3</v>
      </c>
    </row>
    <row r="2517" spans="1:7" x14ac:dyDescent="0.35">
      <c r="A2517">
        <v>788</v>
      </c>
      <c r="B2517">
        <f t="shared" si="195"/>
        <v>-550.35206382240722</v>
      </c>
      <c r="C2517">
        <f t="shared" si="196"/>
        <v>302887.39415358298</v>
      </c>
      <c r="D2517">
        <v>34486</v>
      </c>
      <c r="E2517">
        <f t="shared" si="197"/>
        <v>3.4485999999999999</v>
      </c>
      <c r="F2517">
        <f t="shared" si="198"/>
        <v>6.8744016649327389E-2</v>
      </c>
      <c r="G2517">
        <f t="shared" si="199"/>
        <v>4.7257398250830016E-3</v>
      </c>
    </row>
    <row r="2518" spans="1:7" x14ac:dyDescent="0.35">
      <c r="A2518">
        <v>788</v>
      </c>
      <c r="B2518">
        <f t="shared" si="195"/>
        <v>-550.35206382240722</v>
      </c>
      <c r="C2518">
        <f t="shared" si="196"/>
        <v>302887.39415358298</v>
      </c>
      <c r="D2518">
        <v>34837</v>
      </c>
      <c r="E2518">
        <f t="shared" si="197"/>
        <v>3.4836999999999998</v>
      </c>
      <c r="F2518">
        <f t="shared" si="198"/>
        <v>0.1038440166493273</v>
      </c>
      <c r="G2518">
        <f t="shared" si="199"/>
        <v>1.0783579793865765E-2</v>
      </c>
    </row>
    <row r="2519" spans="1:7" x14ac:dyDescent="0.35">
      <c r="A2519">
        <v>691</v>
      </c>
      <c r="B2519">
        <f t="shared" si="195"/>
        <v>-647.35206382240722</v>
      </c>
      <c r="C2519">
        <f t="shared" si="196"/>
        <v>419064.69453512999</v>
      </c>
      <c r="D2519">
        <v>20184</v>
      </c>
      <c r="E2519">
        <f t="shared" si="197"/>
        <v>2.0184000000000002</v>
      </c>
      <c r="F2519">
        <f t="shared" si="198"/>
        <v>-1.3614559833506723</v>
      </c>
      <c r="G2519">
        <f t="shared" si="199"/>
        <v>1.8535623946013462</v>
      </c>
    </row>
    <row r="2520" spans="1:7" x14ac:dyDescent="0.35">
      <c r="A2520">
        <v>691</v>
      </c>
      <c r="B2520">
        <f t="shared" si="195"/>
        <v>-647.35206382240722</v>
      </c>
      <c r="C2520">
        <f t="shared" si="196"/>
        <v>419064.69453512999</v>
      </c>
      <c r="D2520">
        <v>18306</v>
      </c>
      <c r="E2520">
        <f t="shared" si="197"/>
        <v>1.8306</v>
      </c>
      <c r="F2520">
        <f t="shared" si="198"/>
        <v>-1.5492559833506725</v>
      </c>
      <c r="G2520">
        <f t="shared" si="199"/>
        <v>2.4001941019478594</v>
      </c>
    </row>
    <row r="2521" spans="1:7" x14ac:dyDescent="0.35">
      <c r="A2521">
        <v>691</v>
      </c>
      <c r="B2521">
        <f t="shared" si="195"/>
        <v>-647.35206382240722</v>
      </c>
      <c r="C2521">
        <f t="shared" si="196"/>
        <v>419064.69453512999</v>
      </c>
      <c r="D2521">
        <v>15385</v>
      </c>
      <c r="E2521">
        <f t="shared" si="197"/>
        <v>1.5385</v>
      </c>
      <c r="F2521">
        <f t="shared" si="198"/>
        <v>-1.8413559833506725</v>
      </c>
      <c r="G2521">
        <f t="shared" si="199"/>
        <v>3.3905918574213221</v>
      </c>
    </row>
    <row r="2522" spans="1:7" x14ac:dyDescent="0.35">
      <c r="A2522">
        <v>691</v>
      </c>
      <c r="B2522">
        <f t="shared" si="195"/>
        <v>-647.35206382240722</v>
      </c>
      <c r="C2522">
        <f t="shared" si="196"/>
        <v>419064.69453512999</v>
      </c>
      <c r="D2522">
        <v>18000</v>
      </c>
      <c r="E2522">
        <f t="shared" si="197"/>
        <v>1.8</v>
      </c>
      <c r="F2522">
        <f t="shared" si="198"/>
        <v>-1.5798559833506725</v>
      </c>
      <c r="G2522">
        <f t="shared" si="199"/>
        <v>2.4959449281289201</v>
      </c>
    </row>
    <row r="2523" spans="1:7" x14ac:dyDescent="0.35">
      <c r="A2523">
        <v>691</v>
      </c>
      <c r="B2523">
        <f t="shared" si="195"/>
        <v>-647.35206382240722</v>
      </c>
      <c r="C2523">
        <f t="shared" si="196"/>
        <v>419064.69453512999</v>
      </c>
      <c r="D2523">
        <v>17268</v>
      </c>
      <c r="E2523">
        <f t="shared" si="197"/>
        <v>1.7267999999999999</v>
      </c>
      <c r="F2523">
        <f t="shared" si="198"/>
        <v>-1.6530559833506726</v>
      </c>
      <c r="G2523">
        <f t="shared" si="199"/>
        <v>2.7325940840914593</v>
      </c>
    </row>
    <row r="2524" spans="1:7" x14ac:dyDescent="0.35">
      <c r="A2524">
        <v>691</v>
      </c>
      <c r="B2524">
        <f t="shared" si="195"/>
        <v>-647.35206382240722</v>
      </c>
      <c r="C2524">
        <f t="shared" si="196"/>
        <v>419064.69453512999</v>
      </c>
      <c r="D2524">
        <v>27093</v>
      </c>
      <c r="E2524">
        <f t="shared" si="197"/>
        <v>2.7092999999999998</v>
      </c>
      <c r="F2524">
        <f t="shared" si="198"/>
        <v>-0.67055598335067268</v>
      </c>
      <c r="G2524">
        <f t="shared" si="199"/>
        <v>0.44964532680738761</v>
      </c>
    </row>
    <row r="2525" spans="1:7" x14ac:dyDescent="0.35">
      <c r="A2525">
        <v>691</v>
      </c>
      <c r="B2525">
        <f t="shared" si="195"/>
        <v>-647.35206382240722</v>
      </c>
      <c r="C2525">
        <f t="shared" si="196"/>
        <v>419064.69453512999</v>
      </c>
      <c r="D2525">
        <v>24566</v>
      </c>
      <c r="E2525">
        <f t="shared" si="197"/>
        <v>2.4565999999999999</v>
      </c>
      <c r="F2525">
        <f t="shared" si="198"/>
        <v>-0.9232559833506726</v>
      </c>
      <c r="G2525">
        <f t="shared" si="199"/>
        <v>0.8524016107928174</v>
      </c>
    </row>
    <row r="2526" spans="1:7" x14ac:dyDescent="0.35">
      <c r="A2526">
        <v>691</v>
      </c>
      <c r="B2526">
        <f t="shared" si="195"/>
        <v>-647.35206382240722</v>
      </c>
      <c r="C2526">
        <f t="shared" si="196"/>
        <v>419064.69453512999</v>
      </c>
      <c r="D2526">
        <v>24908</v>
      </c>
      <c r="E2526">
        <f t="shared" si="197"/>
        <v>2.4908000000000001</v>
      </c>
      <c r="F2526">
        <f t="shared" si="198"/>
        <v>-0.88905598335067237</v>
      </c>
      <c r="G2526">
        <f t="shared" si="199"/>
        <v>0.79042054153163099</v>
      </c>
    </row>
    <row r="2527" spans="1:7" x14ac:dyDescent="0.35">
      <c r="A2527">
        <v>691</v>
      </c>
      <c r="B2527">
        <f t="shared" si="195"/>
        <v>-647.35206382240722</v>
      </c>
      <c r="C2527">
        <f t="shared" si="196"/>
        <v>419064.69453512999</v>
      </c>
      <c r="D2527">
        <v>37900</v>
      </c>
      <c r="E2527">
        <f t="shared" si="197"/>
        <v>3.79</v>
      </c>
      <c r="F2527">
        <f t="shared" si="198"/>
        <v>0.41014401664932754</v>
      </c>
      <c r="G2527">
        <f t="shared" si="199"/>
        <v>0.16821811439324386</v>
      </c>
    </row>
    <row r="2528" spans="1:7" x14ac:dyDescent="0.35">
      <c r="A2528">
        <v>691</v>
      </c>
      <c r="B2528">
        <f t="shared" si="195"/>
        <v>-647.35206382240722</v>
      </c>
      <c r="C2528">
        <f t="shared" si="196"/>
        <v>419064.69453512999</v>
      </c>
      <c r="D2528">
        <v>26100</v>
      </c>
      <c r="E2528">
        <f t="shared" si="197"/>
        <v>2.61</v>
      </c>
      <c r="F2528">
        <f t="shared" si="198"/>
        <v>-0.76985598335067262</v>
      </c>
      <c r="G2528">
        <f t="shared" si="199"/>
        <v>0.59267823510083117</v>
      </c>
    </row>
    <row r="2529" spans="1:7" x14ac:dyDescent="0.35">
      <c r="A2529">
        <v>691</v>
      </c>
      <c r="B2529">
        <f t="shared" si="195"/>
        <v>-647.35206382240722</v>
      </c>
      <c r="C2529">
        <f t="shared" si="196"/>
        <v>419064.69453512999</v>
      </c>
      <c r="D2529">
        <v>28523</v>
      </c>
      <c r="E2529">
        <f t="shared" si="197"/>
        <v>2.8523000000000001</v>
      </c>
      <c r="F2529">
        <f t="shared" si="198"/>
        <v>-0.52755598335067244</v>
      </c>
      <c r="G2529">
        <f t="shared" si="199"/>
        <v>0.278315315569095</v>
      </c>
    </row>
    <row r="2530" spans="1:7" x14ac:dyDescent="0.35">
      <c r="A2530">
        <v>691</v>
      </c>
      <c r="B2530">
        <f t="shared" si="195"/>
        <v>-647.35206382240722</v>
      </c>
      <c r="C2530">
        <f t="shared" si="196"/>
        <v>419064.69453512999</v>
      </c>
      <c r="D2530">
        <v>36408</v>
      </c>
      <c r="E2530">
        <f t="shared" si="197"/>
        <v>3.6408</v>
      </c>
      <c r="F2530">
        <f t="shared" si="198"/>
        <v>0.26094401664932754</v>
      </c>
      <c r="G2530">
        <f t="shared" si="199"/>
        <v>6.8091779825084534E-2</v>
      </c>
    </row>
    <row r="2531" spans="1:7" x14ac:dyDescent="0.35">
      <c r="A2531">
        <v>691</v>
      </c>
      <c r="B2531">
        <f t="shared" si="195"/>
        <v>-647.35206382240722</v>
      </c>
      <c r="C2531">
        <f t="shared" si="196"/>
        <v>419064.69453512999</v>
      </c>
      <c r="D2531">
        <v>32844</v>
      </c>
      <c r="E2531">
        <f t="shared" si="197"/>
        <v>3.2844000000000002</v>
      </c>
      <c r="F2531">
        <f t="shared" si="198"/>
        <v>-9.5455983350672291E-2</v>
      </c>
      <c r="G2531">
        <f t="shared" si="199"/>
        <v>9.1118447574438256E-3</v>
      </c>
    </row>
    <row r="2532" spans="1:7" x14ac:dyDescent="0.35">
      <c r="A2532">
        <v>691</v>
      </c>
      <c r="B2532">
        <f t="shared" si="195"/>
        <v>-647.35206382240722</v>
      </c>
      <c r="C2532">
        <f t="shared" si="196"/>
        <v>419064.69453512999</v>
      </c>
      <c r="D2532">
        <v>31415</v>
      </c>
      <c r="E2532">
        <f t="shared" si="197"/>
        <v>3.1415000000000002</v>
      </c>
      <c r="F2532">
        <f t="shared" si="198"/>
        <v>-0.23835598335067232</v>
      </c>
      <c r="G2532">
        <f t="shared" si="199"/>
        <v>5.6813574799065979E-2</v>
      </c>
    </row>
    <row r="2533" spans="1:7" x14ac:dyDescent="0.35">
      <c r="A2533">
        <v>691</v>
      </c>
      <c r="B2533">
        <f t="shared" si="195"/>
        <v>-647.35206382240722</v>
      </c>
      <c r="C2533">
        <f t="shared" si="196"/>
        <v>419064.69453512999</v>
      </c>
      <c r="D2533">
        <v>30707</v>
      </c>
      <c r="E2533">
        <f t="shared" si="197"/>
        <v>3.0707</v>
      </c>
      <c r="F2533">
        <f t="shared" si="198"/>
        <v>-0.30915598335067251</v>
      </c>
      <c r="G2533">
        <f t="shared" si="199"/>
        <v>9.5577422041521296E-2</v>
      </c>
    </row>
    <row r="2534" spans="1:7" x14ac:dyDescent="0.35">
      <c r="A2534">
        <v>691</v>
      </c>
      <c r="B2534">
        <f t="shared" si="195"/>
        <v>-647.35206382240722</v>
      </c>
      <c r="C2534">
        <f t="shared" si="196"/>
        <v>419064.69453512999</v>
      </c>
      <c r="D2534">
        <v>52616</v>
      </c>
      <c r="E2534">
        <f t="shared" si="197"/>
        <v>5.2615999999999996</v>
      </c>
      <c r="F2534">
        <f t="shared" si="198"/>
        <v>1.8817440166493271</v>
      </c>
      <c r="G2534">
        <f t="shared" si="199"/>
        <v>3.540960544195543</v>
      </c>
    </row>
    <row r="2535" spans="1:7" x14ac:dyDescent="0.35">
      <c r="A2535">
        <v>691</v>
      </c>
      <c r="B2535">
        <f t="shared" si="195"/>
        <v>-647.35206382240722</v>
      </c>
      <c r="C2535">
        <f t="shared" si="196"/>
        <v>419064.69453512999</v>
      </c>
      <c r="D2535">
        <v>43558</v>
      </c>
      <c r="E2535">
        <f t="shared" si="197"/>
        <v>4.3558000000000003</v>
      </c>
      <c r="F2535">
        <f t="shared" si="198"/>
        <v>0.97594401664932784</v>
      </c>
      <c r="G2535">
        <f t="shared" si="199"/>
        <v>0.9524667236336235</v>
      </c>
    </row>
    <row r="2536" spans="1:7" x14ac:dyDescent="0.35">
      <c r="A2536">
        <v>691</v>
      </c>
      <c r="B2536">
        <f t="shared" si="195"/>
        <v>-647.35206382240722</v>
      </c>
      <c r="C2536">
        <f t="shared" si="196"/>
        <v>419064.69453512999</v>
      </c>
      <c r="D2536">
        <v>51740</v>
      </c>
      <c r="E2536">
        <f t="shared" si="197"/>
        <v>5.1740000000000004</v>
      </c>
      <c r="F2536">
        <f t="shared" si="198"/>
        <v>1.7941440166493279</v>
      </c>
      <c r="G2536">
        <f t="shared" si="199"/>
        <v>3.2189527524785837</v>
      </c>
    </row>
    <row r="2537" spans="1:7" x14ac:dyDescent="0.35">
      <c r="A2537">
        <v>691</v>
      </c>
      <c r="B2537">
        <f t="shared" si="195"/>
        <v>-647.35206382240722</v>
      </c>
      <c r="C2537">
        <f t="shared" si="196"/>
        <v>419064.69453512999</v>
      </c>
      <c r="D2537">
        <v>58186</v>
      </c>
      <c r="E2537">
        <f t="shared" si="197"/>
        <v>5.8186</v>
      </c>
      <c r="F2537">
        <f t="shared" si="198"/>
        <v>2.4387440166493275</v>
      </c>
      <c r="G2537">
        <f t="shared" si="199"/>
        <v>5.9474723787428951</v>
      </c>
    </row>
    <row r="2538" spans="1:7" x14ac:dyDescent="0.35">
      <c r="A2538">
        <v>691</v>
      </c>
      <c r="B2538">
        <f t="shared" si="195"/>
        <v>-647.35206382240722</v>
      </c>
      <c r="C2538">
        <f t="shared" si="196"/>
        <v>419064.69453512999</v>
      </c>
      <c r="D2538">
        <v>62517</v>
      </c>
      <c r="E2538">
        <f t="shared" si="197"/>
        <v>6.2516999999999996</v>
      </c>
      <c r="F2538">
        <f t="shared" si="198"/>
        <v>2.8718440166493271</v>
      </c>
      <c r="G2538">
        <f t="shared" si="199"/>
        <v>8.2474880559645403</v>
      </c>
    </row>
    <row r="2539" spans="1:7" x14ac:dyDescent="0.35">
      <c r="A2539">
        <v>691</v>
      </c>
      <c r="B2539">
        <f t="shared" si="195"/>
        <v>-647.35206382240722</v>
      </c>
      <c r="C2539">
        <f t="shared" si="196"/>
        <v>419064.69453512999</v>
      </c>
      <c r="D2539">
        <v>66592</v>
      </c>
      <c r="E2539">
        <f t="shared" si="197"/>
        <v>6.6592000000000002</v>
      </c>
      <c r="F2539">
        <f t="shared" si="198"/>
        <v>3.2793440166493277</v>
      </c>
      <c r="G2539">
        <f t="shared" si="199"/>
        <v>10.754097179533746</v>
      </c>
    </row>
    <row r="2540" spans="1:7" x14ac:dyDescent="0.35">
      <c r="A2540">
        <v>691</v>
      </c>
      <c r="B2540">
        <f t="shared" si="195"/>
        <v>-647.35206382240722</v>
      </c>
      <c r="C2540">
        <f t="shared" si="196"/>
        <v>419064.69453512999</v>
      </c>
      <c r="D2540">
        <v>71960</v>
      </c>
      <c r="E2540">
        <f t="shared" si="197"/>
        <v>7.1959999999999997</v>
      </c>
      <c r="F2540">
        <f t="shared" si="198"/>
        <v>3.8161440166493272</v>
      </c>
      <c r="G2540">
        <f t="shared" si="199"/>
        <v>14.56295515580846</v>
      </c>
    </row>
    <row r="2541" spans="1:7" x14ac:dyDescent="0.35">
      <c r="A2541">
        <v>691</v>
      </c>
      <c r="B2541">
        <f t="shared" si="195"/>
        <v>-647.35206382240722</v>
      </c>
      <c r="C2541">
        <f t="shared" si="196"/>
        <v>419064.69453512999</v>
      </c>
      <c r="D2541">
        <v>72909</v>
      </c>
      <c r="E2541">
        <f t="shared" si="197"/>
        <v>7.2908999999999997</v>
      </c>
      <c r="F2541">
        <f t="shared" si="198"/>
        <v>3.9110440166493272</v>
      </c>
      <c r="G2541">
        <f t="shared" si="199"/>
        <v>15.296265300168503</v>
      </c>
    </row>
    <row r="2542" spans="1:7" x14ac:dyDescent="0.35">
      <c r="A2542">
        <v>691</v>
      </c>
      <c r="B2542">
        <f t="shared" si="195"/>
        <v>-647.35206382240722</v>
      </c>
      <c r="C2542">
        <f t="shared" si="196"/>
        <v>419064.69453512999</v>
      </c>
      <c r="D2542">
        <v>70534</v>
      </c>
      <c r="E2542">
        <f t="shared" si="197"/>
        <v>7.0533999999999999</v>
      </c>
      <c r="F2542">
        <f t="shared" si="198"/>
        <v>3.6735440166493274</v>
      </c>
      <c r="G2542">
        <f t="shared" si="199"/>
        <v>13.494925642260073</v>
      </c>
    </row>
    <row r="2543" spans="1:7" x14ac:dyDescent="0.35">
      <c r="A2543">
        <v>1622</v>
      </c>
      <c r="B2543">
        <f t="shared" si="195"/>
        <v>283.64793617759278</v>
      </c>
      <c r="C2543">
        <f t="shared" si="196"/>
        <v>80456.151697807742</v>
      </c>
      <c r="D2543">
        <v>20608</v>
      </c>
      <c r="E2543">
        <f t="shared" si="197"/>
        <v>2.0608</v>
      </c>
      <c r="F2543">
        <f t="shared" si="198"/>
        <v>-1.3190559833506725</v>
      </c>
      <c r="G2543">
        <f t="shared" si="199"/>
        <v>1.7399086872132097</v>
      </c>
    </row>
    <row r="2544" spans="1:7" x14ac:dyDescent="0.35">
      <c r="A2544">
        <v>1622</v>
      </c>
      <c r="B2544">
        <f t="shared" si="195"/>
        <v>283.64793617759278</v>
      </c>
      <c r="C2544">
        <f t="shared" si="196"/>
        <v>80456.151697807742</v>
      </c>
      <c r="D2544">
        <v>20522</v>
      </c>
      <c r="E2544">
        <f t="shared" si="197"/>
        <v>2.0522</v>
      </c>
      <c r="F2544">
        <f t="shared" si="198"/>
        <v>-1.3276559833506725</v>
      </c>
      <c r="G2544">
        <f t="shared" si="199"/>
        <v>1.7626704101268411</v>
      </c>
    </row>
    <row r="2545" spans="1:7" x14ac:dyDescent="0.35">
      <c r="A2545">
        <v>1622</v>
      </c>
      <c r="B2545">
        <f t="shared" si="195"/>
        <v>283.64793617759278</v>
      </c>
      <c r="C2545">
        <f t="shared" si="196"/>
        <v>80456.151697807742</v>
      </c>
      <c r="D2545">
        <v>20147</v>
      </c>
      <c r="E2545">
        <f t="shared" si="197"/>
        <v>2.0146999999999999</v>
      </c>
      <c r="F2545">
        <f t="shared" si="198"/>
        <v>-1.3651559833506726</v>
      </c>
      <c r="G2545">
        <f t="shared" si="199"/>
        <v>1.8636508588781417</v>
      </c>
    </row>
    <row r="2546" spans="1:7" x14ac:dyDescent="0.35">
      <c r="A2546">
        <v>1622</v>
      </c>
      <c r="B2546">
        <f t="shared" si="195"/>
        <v>283.64793617759278</v>
      </c>
      <c r="C2546">
        <f t="shared" si="196"/>
        <v>80456.151697807742</v>
      </c>
      <c r="D2546">
        <v>20853</v>
      </c>
      <c r="E2546">
        <f t="shared" si="197"/>
        <v>2.0853000000000002</v>
      </c>
      <c r="F2546">
        <f t="shared" si="198"/>
        <v>-1.2945559833506723</v>
      </c>
      <c r="G2546">
        <f t="shared" si="199"/>
        <v>1.6758751940290262</v>
      </c>
    </row>
    <row r="2547" spans="1:7" x14ac:dyDescent="0.35">
      <c r="A2547">
        <v>1622</v>
      </c>
      <c r="B2547">
        <f t="shared" si="195"/>
        <v>283.64793617759278</v>
      </c>
      <c r="C2547">
        <f t="shared" si="196"/>
        <v>80456.151697807742</v>
      </c>
      <c r="D2547">
        <v>19556</v>
      </c>
      <c r="E2547">
        <f t="shared" si="197"/>
        <v>1.9556</v>
      </c>
      <c r="F2547">
        <f t="shared" si="198"/>
        <v>-1.4242559833506725</v>
      </c>
      <c r="G2547">
        <f t="shared" si="199"/>
        <v>2.0285051061101913</v>
      </c>
    </row>
    <row r="2548" spans="1:7" x14ac:dyDescent="0.35">
      <c r="A2548">
        <v>1622</v>
      </c>
      <c r="B2548">
        <f t="shared" si="195"/>
        <v>283.64793617759278</v>
      </c>
      <c r="C2548">
        <f t="shared" si="196"/>
        <v>80456.151697807742</v>
      </c>
      <c r="D2548">
        <v>22534</v>
      </c>
      <c r="E2548">
        <f t="shared" si="197"/>
        <v>2.2534000000000001</v>
      </c>
      <c r="F2548">
        <f t="shared" si="198"/>
        <v>-1.1264559833506724</v>
      </c>
      <c r="G2548">
        <f t="shared" si="199"/>
        <v>1.2689030824265304</v>
      </c>
    </row>
    <row r="2549" spans="1:7" x14ac:dyDescent="0.35">
      <c r="A2549">
        <v>1622</v>
      </c>
      <c r="B2549">
        <f t="shared" si="195"/>
        <v>283.64793617759278</v>
      </c>
      <c r="C2549">
        <f t="shared" si="196"/>
        <v>80456.151697807742</v>
      </c>
      <c r="D2549">
        <v>21745</v>
      </c>
      <c r="E2549">
        <f t="shared" si="197"/>
        <v>2.1745000000000001</v>
      </c>
      <c r="F2549">
        <f t="shared" si="198"/>
        <v>-1.2053559833506724</v>
      </c>
      <c r="G2549">
        <f t="shared" si="199"/>
        <v>1.4528830465992664</v>
      </c>
    </row>
    <row r="2550" spans="1:7" x14ac:dyDescent="0.35">
      <c r="A2550">
        <v>1622</v>
      </c>
      <c r="B2550">
        <f t="shared" si="195"/>
        <v>283.64793617759278</v>
      </c>
      <c r="C2550">
        <f t="shared" si="196"/>
        <v>80456.151697807742</v>
      </c>
      <c r="D2550">
        <v>20497</v>
      </c>
      <c r="E2550">
        <f t="shared" si="197"/>
        <v>2.0497000000000001</v>
      </c>
      <c r="F2550">
        <f t="shared" si="198"/>
        <v>-1.3301559833506724</v>
      </c>
      <c r="G2550">
        <f t="shared" si="199"/>
        <v>1.7693149400435944</v>
      </c>
    </row>
    <row r="2551" spans="1:7" x14ac:dyDescent="0.35">
      <c r="A2551">
        <v>1622</v>
      </c>
      <c r="B2551">
        <f t="shared" si="195"/>
        <v>283.64793617759278</v>
      </c>
      <c r="C2551">
        <f t="shared" si="196"/>
        <v>80456.151697807742</v>
      </c>
      <c r="D2551">
        <v>23521</v>
      </c>
      <c r="E2551">
        <f t="shared" si="197"/>
        <v>2.3521000000000001</v>
      </c>
      <c r="F2551">
        <f t="shared" si="198"/>
        <v>-1.0277559833506724</v>
      </c>
      <c r="G2551">
        <f t="shared" si="199"/>
        <v>1.0562823613131076</v>
      </c>
    </row>
    <row r="2552" spans="1:7" x14ac:dyDescent="0.35">
      <c r="A2552">
        <v>1622</v>
      </c>
      <c r="B2552">
        <f t="shared" si="195"/>
        <v>283.64793617759278</v>
      </c>
      <c r="C2552">
        <f t="shared" si="196"/>
        <v>80456.151697807742</v>
      </c>
      <c r="D2552">
        <v>24158</v>
      </c>
      <c r="E2552">
        <f t="shared" si="197"/>
        <v>2.4157999999999999</v>
      </c>
      <c r="F2552">
        <f t="shared" si="198"/>
        <v>-0.96405598335067255</v>
      </c>
      <c r="G2552">
        <f t="shared" si="199"/>
        <v>0.92940393903423224</v>
      </c>
    </row>
    <row r="2553" spans="1:7" x14ac:dyDescent="0.35">
      <c r="A2553">
        <v>1622</v>
      </c>
      <c r="B2553">
        <f t="shared" si="195"/>
        <v>283.64793617759278</v>
      </c>
      <c r="C2553">
        <f t="shared" si="196"/>
        <v>80456.151697807742</v>
      </c>
      <c r="D2553">
        <v>24098</v>
      </c>
      <c r="E2553">
        <f t="shared" si="197"/>
        <v>2.4098000000000002</v>
      </c>
      <c r="F2553">
        <f t="shared" si="198"/>
        <v>-0.97005598335067234</v>
      </c>
      <c r="G2553">
        <f t="shared" si="199"/>
        <v>0.94100861083443987</v>
      </c>
    </row>
    <row r="2554" spans="1:7" x14ac:dyDescent="0.35">
      <c r="A2554">
        <v>1622</v>
      </c>
      <c r="B2554">
        <f t="shared" si="195"/>
        <v>283.64793617759278</v>
      </c>
      <c r="C2554">
        <f t="shared" si="196"/>
        <v>80456.151697807742</v>
      </c>
      <c r="D2554">
        <v>23788</v>
      </c>
      <c r="E2554">
        <f t="shared" si="197"/>
        <v>2.3788</v>
      </c>
      <c r="F2554">
        <f t="shared" si="198"/>
        <v>-1.0010559833506725</v>
      </c>
      <c r="G2554">
        <f t="shared" si="199"/>
        <v>1.0021130818021819</v>
      </c>
    </row>
    <row r="2555" spans="1:7" x14ac:dyDescent="0.35">
      <c r="A2555">
        <v>1622</v>
      </c>
      <c r="B2555">
        <f t="shared" si="195"/>
        <v>283.64793617759278</v>
      </c>
      <c r="C2555">
        <f t="shared" si="196"/>
        <v>80456.151697807742</v>
      </c>
      <c r="D2555">
        <v>24180</v>
      </c>
      <c r="E2555">
        <f t="shared" si="197"/>
        <v>2.4180000000000001</v>
      </c>
      <c r="F2555">
        <f t="shared" si="198"/>
        <v>-0.96185598335067235</v>
      </c>
      <c r="G2555">
        <f t="shared" si="199"/>
        <v>0.92516693270748884</v>
      </c>
    </row>
    <row r="2556" spans="1:7" x14ac:dyDescent="0.35">
      <c r="A2556">
        <v>1622</v>
      </c>
      <c r="B2556">
        <f t="shared" si="195"/>
        <v>283.64793617759278</v>
      </c>
      <c r="C2556">
        <f t="shared" si="196"/>
        <v>80456.151697807742</v>
      </c>
      <c r="D2556">
        <v>24244</v>
      </c>
      <c r="E2556">
        <f t="shared" si="197"/>
        <v>2.4243999999999999</v>
      </c>
      <c r="F2556">
        <f t="shared" si="198"/>
        <v>-0.95545598335067261</v>
      </c>
      <c r="G2556">
        <f t="shared" si="199"/>
        <v>0.91289613612060083</v>
      </c>
    </row>
    <row r="2557" spans="1:7" x14ac:dyDescent="0.35">
      <c r="A2557">
        <v>1622</v>
      </c>
      <c r="B2557">
        <f t="shared" si="195"/>
        <v>283.64793617759278</v>
      </c>
      <c r="C2557">
        <f t="shared" si="196"/>
        <v>80456.151697807742</v>
      </c>
      <c r="D2557">
        <v>26128</v>
      </c>
      <c r="E2557">
        <f t="shared" si="197"/>
        <v>2.6128</v>
      </c>
      <c r="F2557">
        <f t="shared" si="198"/>
        <v>-0.76705598335067249</v>
      </c>
      <c r="G2557">
        <f t="shared" si="199"/>
        <v>0.58837488159406715</v>
      </c>
    </row>
    <row r="2558" spans="1:7" x14ac:dyDescent="0.35">
      <c r="A2558">
        <v>1622</v>
      </c>
      <c r="B2558">
        <f t="shared" si="195"/>
        <v>283.64793617759278</v>
      </c>
      <c r="C2558">
        <f t="shared" si="196"/>
        <v>80456.151697807742</v>
      </c>
      <c r="D2558">
        <v>28739</v>
      </c>
      <c r="E2558">
        <f t="shared" si="197"/>
        <v>2.8738999999999999</v>
      </c>
      <c r="F2558">
        <f t="shared" si="198"/>
        <v>-0.5059559833506726</v>
      </c>
      <c r="G2558">
        <f t="shared" si="199"/>
        <v>0.25599145708834609</v>
      </c>
    </row>
    <row r="2559" spans="1:7" x14ac:dyDescent="0.35">
      <c r="A2559">
        <v>1622</v>
      </c>
      <c r="B2559">
        <f t="shared" si="195"/>
        <v>283.64793617759278</v>
      </c>
      <c r="C2559">
        <f t="shared" si="196"/>
        <v>80456.151697807742</v>
      </c>
      <c r="D2559">
        <v>29338</v>
      </c>
      <c r="E2559">
        <f t="shared" si="197"/>
        <v>2.9338000000000002</v>
      </c>
      <c r="F2559">
        <f t="shared" si="198"/>
        <v>-0.44605598335067231</v>
      </c>
      <c r="G2559">
        <f t="shared" si="199"/>
        <v>0.19896594028293527</v>
      </c>
    </row>
    <row r="2560" spans="1:7" x14ac:dyDescent="0.35">
      <c r="A2560">
        <v>1622</v>
      </c>
      <c r="B2560">
        <f t="shared" si="195"/>
        <v>283.64793617759278</v>
      </c>
      <c r="C2560">
        <f t="shared" si="196"/>
        <v>80456.151697807742</v>
      </c>
      <c r="D2560">
        <v>28895</v>
      </c>
      <c r="E2560">
        <f t="shared" si="197"/>
        <v>2.8895</v>
      </c>
      <c r="F2560">
        <f t="shared" si="198"/>
        <v>-0.49035598335067254</v>
      </c>
      <c r="G2560">
        <f t="shared" si="199"/>
        <v>0.24044899040780504</v>
      </c>
    </row>
    <row r="2561" spans="1:7" x14ac:dyDescent="0.35">
      <c r="A2561">
        <v>1622</v>
      </c>
      <c r="B2561">
        <f t="shared" si="195"/>
        <v>283.64793617759278</v>
      </c>
      <c r="C2561">
        <f t="shared" si="196"/>
        <v>80456.151697807742</v>
      </c>
      <c r="D2561">
        <v>29974</v>
      </c>
      <c r="E2561">
        <f t="shared" si="197"/>
        <v>2.9973999999999998</v>
      </c>
      <c r="F2561">
        <f t="shared" si="198"/>
        <v>-0.38245598335067266</v>
      </c>
      <c r="G2561">
        <f t="shared" si="199"/>
        <v>0.14627257920073</v>
      </c>
    </row>
    <row r="2562" spans="1:7" x14ac:dyDescent="0.35">
      <c r="A2562">
        <v>1622</v>
      </c>
      <c r="B2562">
        <f t="shared" si="195"/>
        <v>283.64793617759278</v>
      </c>
      <c r="C2562">
        <f t="shared" si="196"/>
        <v>80456.151697807742</v>
      </c>
      <c r="D2562">
        <v>29503</v>
      </c>
      <c r="E2562">
        <f t="shared" si="197"/>
        <v>2.9502999999999999</v>
      </c>
      <c r="F2562">
        <f t="shared" si="198"/>
        <v>-0.42955598335067258</v>
      </c>
      <c r="G2562">
        <f t="shared" si="199"/>
        <v>0.18451834283236329</v>
      </c>
    </row>
    <row r="2563" spans="1:7" x14ac:dyDescent="0.35">
      <c r="A2563">
        <v>1622</v>
      </c>
      <c r="B2563">
        <f t="shared" ref="B2563:B2626" si="200">A2563-$J$1</f>
        <v>283.64793617759278</v>
      </c>
      <c r="C2563">
        <f t="shared" ref="C2563:C2626" si="201">B2563^2</f>
        <v>80456.151697807742</v>
      </c>
      <c r="D2563">
        <v>30441</v>
      </c>
      <c r="E2563">
        <f t="shared" ref="E2563:E2626" si="202">D2563/10000</f>
        <v>3.0440999999999998</v>
      </c>
      <c r="F2563">
        <f t="shared" ref="F2563:F2626" si="203">E2563-$J$2</f>
        <v>-0.33575598335067269</v>
      </c>
      <c r="G2563">
        <f t="shared" ref="G2563:G2626" si="204">F2563^2</f>
        <v>0.1127320803557772</v>
      </c>
    </row>
    <row r="2564" spans="1:7" x14ac:dyDescent="0.35">
      <c r="A2564">
        <v>1622</v>
      </c>
      <c r="B2564">
        <f t="shared" si="200"/>
        <v>283.64793617759278</v>
      </c>
      <c r="C2564">
        <f t="shared" si="201"/>
        <v>80456.151697807742</v>
      </c>
      <c r="D2564">
        <v>29974</v>
      </c>
      <c r="E2564">
        <f t="shared" si="202"/>
        <v>2.9973999999999998</v>
      </c>
      <c r="F2564">
        <f t="shared" si="203"/>
        <v>-0.38245598335067266</v>
      </c>
      <c r="G2564">
        <f t="shared" si="204"/>
        <v>0.14627257920073</v>
      </c>
    </row>
    <row r="2565" spans="1:7" x14ac:dyDescent="0.35">
      <c r="A2565">
        <v>1622</v>
      </c>
      <c r="B2565">
        <f t="shared" si="200"/>
        <v>283.64793617759278</v>
      </c>
      <c r="C2565">
        <f t="shared" si="201"/>
        <v>80456.151697807742</v>
      </c>
      <c r="D2565">
        <v>29079</v>
      </c>
      <c r="E2565">
        <f t="shared" si="202"/>
        <v>2.9079000000000002</v>
      </c>
      <c r="F2565">
        <f t="shared" si="203"/>
        <v>-0.47195598335067235</v>
      </c>
      <c r="G2565">
        <f t="shared" si="204"/>
        <v>0.22274245022050013</v>
      </c>
    </row>
    <row r="2566" spans="1:7" x14ac:dyDescent="0.35">
      <c r="A2566">
        <v>1622</v>
      </c>
      <c r="B2566">
        <f t="shared" si="200"/>
        <v>283.64793617759278</v>
      </c>
      <c r="C2566">
        <f t="shared" si="201"/>
        <v>80456.151697807742</v>
      </c>
      <c r="D2566">
        <v>29921</v>
      </c>
      <c r="E2566">
        <f t="shared" si="202"/>
        <v>2.9921000000000002</v>
      </c>
      <c r="F2566">
        <f t="shared" si="203"/>
        <v>-0.3877559833506723</v>
      </c>
      <c r="G2566">
        <f t="shared" si="204"/>
        <v>0.15035470262424686</v>
      </c>
    </row>
    <row r="2567" spans="1:7" x14ac:dyDescent="0.35">
      <c r="A2567">
        <v>1622</v>
      </c>
      <c r="B2567">
        <f t="shared" si="200"/>
        <v>283.64793617759278</v>
      </c>
      <c r="C2567">
        <f t="shared" si="201"/>
        <v>80456.151697807742</v>
      </c>
      <c r="D2567">
        <v>31867</v>
      </c>
      <c r="E2567">
        <f t="shared" si="202"/>
        <v>3.1867000000000001</v>
      </c>
      <c r="F2567">
        <f t="shared" si="203"/>
        <v>-0.19315598335067241</v>
      </c>
      <c r="G2567">
        <f t="shared" si="204"/>
        <v>3.730923390416524E-2</v>
      </c>
    </row>
    <row r="2568" spans="1:7" x14ac:dyDescent="0.35">
      <c r="A2568">
        <v>1622</v>
      </c>
      <c r="B2568">
        <f t="shared" si="200"/>
        <v>283.64793617759278</v>
      </c>
      <c r="C2568">
        <f t="shared" si="201"/>
        <v>80456.151697807742</v>
      </c>
      <c r="D2568">
        <v>31865</v>
      </c>
      <c r="E2568">
        <f t="shared" si="202"/>
        <v>3.1865000000000001</v>
      </c>
      <c r="F2568">
        <f t="shared" si="203"/>
        <v>-0.19335598335067239</v>
      </c>
      <c r="G2568">
        <f t="shared" si="204"/>
        <v>3.7386536297505497E-2</v>
      </c>
    </row>
    <row r="2569" spans="1:7" x14ac:dyDescent="0.35">
      <c r="A2569">
        <v>1622</v>
      </c>
      <c r="B2569">
        <f t="shared" si="200"/>
        <v>283.64793617759278</v>
      </c>
      <c r="C2569">
        <f t="shared" si="201"/>
        <v>80456.151697807742</v>
      </c>
      <c r="D2569">
        <v>31463</v>
      </c>
      <c r="E2569">
        <f t="shared" si="202"/>
        <v>3.1463000000000001</v>
      </c>
      <c r="F2569">
        <f t="shared" si="203"/>
        <v>-0.2335559833506724</v>
      </c>
      <c r="G2569">
        <f t="shared" si="204"/>
        <v>5.4548397358899561E-2</v>
      </c>
    </row>
    <row r="2570" spans="1:7" x14ac:dyDescent="0.35">
      <c r="A2570">
        <v>1622</v>
      </c>
      <c r="B2570">
        <f t="shared" si="200"/>
        <v>283.64793617759278</v>
      </c>
      <c r="C2570">
        <f t="shared" si="201"/>
        <v>80456.151697807742</v>
      </c>
      <c r="D2570">
        <v>30586</v>
      </c>
      <c r="E2570">
        <f t="shared" si="202"/>
        <v>3.0586000000000002</v>
      </c>
      <c r="F2570">
        <f t="shared" si="203"/>
        <v>-0.32125598335067229</v>
      </c>
      <c r="G2570">
        <f t="shared" si="204"/>
        <v>0.10320540683860743</v>
      </c>
    </row>
    <row r="2571" spans="1:7" x14ac:dyDescent="0.35">
      <c r="A2571">
        <v>1622</v>
      </c>
      <c r="B2571">
        <f t="shared" si="200"/>
        <v>283.64793617759278</v>
      </c>
      <c r="C2571">
        <f t="shared" si="201"/>
        <v>80456.151697807742</v>
      </c>
      <c r="D2571">
        <v>28506</v>
      </c>
      <c r="E2571">
        <f t="shared" si="202"/>
        <v>2.8506</v>
      </c>
      <c r="F2571">
        <f t="shared" si="203"/>
        <v>-0.52925598335067248</v>
      </c>
      <c r="G2571">
        <f t="shared" si="204"/>
        <v>0.28011189591248731</v>
      </c>
    </row>
    <row r="2572" spans="1:7" x14ac:dyDescent="0.35">
      <c r="A2572">
        <v>1622</v>
      </c>
      <c r="B2572">
        <f t="shared" si="200"/>
        <v>283.64793617759278</v>
      </c>
      <c r="C2572">
        <f t="shared" si="201"/>
        <v>80456.151697807742</v>
      </c>
      <c r="D2572">
        <v>29118</v>
      </c>
      <c r="E2572">
        <f t="shared" si="202"/>
        <v>2.9117999999999999</v>
      </c>
      <c r="F2572">
        <f t="shared" si="203"/>
        <v>-0.46805598335067256</v>
      </c>
      <c r="G2572">
        <f t="shared" si="204"/>
        <v>0.21907640355036506</v>
      </c>
    </row>
    <row r="2573" spans="1:7" x14ac:dyDescent="0.35">
      <c r="A2573">
        <v>1500</v>
      </c>
      <c r="B2573">
        <f t="shared" si="200"/>
        <v>161.64793617759278</v>
      </c>
      <c r="C2573">
        <f t="shared" si="201"/>
        <v>26130.05527047511</v>
      </c>
      <c r="D2573">
        <v>20000</v>
      </c>
      <c r="E2573">
        <f t="shared" si="202"/>
        <v>2</v>
      </c>
      <c r="F2573">
        <f t="shared" si="203"/>
        <v>-1.3798559833506725</v>
      </c>
      <c r="G2573">
        <f t="shared" si="204"/>
        <v>1.9040025347886513</v>
      </c>
    </row>
    <row r="2574" spans="1:7" x14ac:dyDescent="0.35">
      <c r="A2574">
        <v>1500</v>
      </c>
      <c r="B2574">
        <f t="shared" si="200"/>
        <v>161.64793617759278</v>
      </c>
      <c r="C2574">
        <f t="shared" si="201"/>
        <v>26130.05527047511</v>
      </c>
      <c r="D2574">
        <v>20000</v>
      </c>
      <c r="E2574">
        <f t="shared" si="202"/>
        <v>2</v>
      </c>
      <c r="F2574">
        <f t="shared" si="203"/>
        <v>-1.3798559833506725</v>
      </c>
      <c r="G2574">
        <f t="shared" si="204"/>
        <v>1.9040025347886513</v>
      </c>
    </row>
    <row r="2575" spans="1:7" x14ac:dyDescent="0.35">
      <c r="A2575">
        <v>1500</v>
      </c>
      <c r="B2575">
        <f t="shared" si="200"/>
        <v>161.64793617759278</v>
      </c>
      <c r="C2575">
        <f t="shared" si="201"/>
        <v>26130.05527047511</v>
      </c>
      <c r="D2575">
        <v>21305</v>
      </c>
      <c r="E2575">
        <f t="shared" si="202"/>
        <v>2.1305000000000001</v>
      </c>
      <c r="F2575">
        <f t="shared" si="203"/>
        <v>-1.2493559833506724</v>
      </c>
      <c r="G2575">
        <f t="shared" si="204"/>
        <v>1.5608903731341257</v>
      </c>
    </row>
    <row r="2576" spans="1:7" x14ac:dyDescent="0.35">
      <c r="A2576">
        <v>1500</v>
      </c>
      <c r="B2576">
        <f t="shared" si="200"/>
        <v>161.64793617759278</v>
      </c>
      <c r="C2576">
        <f t="shared" si="201"/>
        <v>26130.05527047511</v>
      </c>
      <c r="D2576">
        <v>25873</v>
      </c>
      <c r="E2576">
        <f t="shared" si="202"/>
        <v>2.5872999999999999</v>
      </c>
      <c r="F2576">
        <f t="shared" si="203"/>
        <v>-0.79255598335067257</v>
      </c>
      <c r="G2576">
        <f t="shared" si="204"/>
        <v>0.62814498674495156</v>
      </c>
    </row>
    <row r="2577" spans="1:7" x14ac:dyDescent="0.35">
      <c r="A2577">
        <v>1500</v>
      </c>
      <c r="B2577">
        <f t="shared" si="200"/>
        <v>161.64793617759278</v>
      </c>
      <c r="C2577">
        <f t="shared" si="201"/>
        <v>26130.05527047511</v>
      </c>
      <c r="D2577">
        <v>26361</v>
      </c>
      <c r="E2577">
        <f t="shared" si="202"/>
        <v>2.6360999999999999</v>
      </c>
      <c r="F2577">
        <f t="shared" si="203"/>
        <v>-0.74375598335067261</v>
      </c>
      <c r="G2577">
        <f t="shared" si="204"/>
        <v>0.553172962769926</v>
      </c>
    </row>
    <row r="2578" spans="1:7" x14ac:dyDescent="0.35">
      <c r="A2578">
        <v>1500</v>
      </c>
      <c r="B2578">
        <f t="shared" si="200"/>
        <v>161.64793617759278</v>
      </c>
      <c r="C2578">
        <f t="shared" si="201"/>
        <v>26130.05527047511</v>
      </c>
      <c r="D2578">
        <v>26237</v>
      </c>
      <c r="E2578">
        <f t="shared" si="202"/>
        <v>2.6236999999999999</v>
      </c>
      <c r="F2578">
        <f t="shared" si="203"/>
        <v>-0.75615598335067258</v>
      </c>
      <c r="G2578">
        <f t="shared" si="204"/>
        <v>0.57177187115702266</v>
      </c>
    </row>
    <row r="2579" spans="1:7" x14ac:dyDescent="0.35">
      <c r="A2579">
        <v>1500</v>
      </c>
      <c r="B2579">
        <f t="shared" si="200"/>
        <v>161.64793617759278</v>
      </c>
      <c r="C2579">
        <f t="shared" si="201"/>
        <v>26130.05527047511</v>
      </c>
      <c r="D2579">
        <v>27169</v>
      </c>
      <c r="E2579">
        <f t="shared" si="202"/>
        <v>2.7168999999999999</v>
      </c>
      <c r="F2579">
        <f t="shared" si="203"/>
        <v>-0.66295598335067263</v>
      </c>
      <c r="G2579">
        <f t="shared" si="204"/>
        <v>0.4395106358604573</v>
      </c>
    </row>
    <row r="2580" spans="1:7" x14ac:dyDescent="0.35">
      <c r="A2580">
        <v>1500</v>
      </c>
      <c r="B2580">
        <f t="shared" si="200"/>
        <v>161.64793617759278</v>
      </c>
      <c r="C2580">
        <f t="shared" si="201"/>
        <v>26130.05527047511</v>
      </c>
      <c r="D2580">
        <v>27453</v>
      </c>
      <c r="E2580">
        <f t="shared" si="202"/>
        <v>2.7452999999999999</v>
      </c>
      <c r="F2580">
        <f t="shared" si="203"/>
        <v>-0.63455598335067265</v>
      </c>
      <c r="G2580">
        <f t="shared" si="204"/>
        <v>0.40266129600613915</v>
      </c>
    </row>
    <row r="2581" spans="1:7" x14ac:dyDescent="0.35">
      <c r="A2581">
        <v>1500</v>
      </c>
      <c r="B2581">
        <f t="shared" si="200"/>
        <v>161.64793617759278</v>
      </c>
      <c r="C2581">
        <f t="shared" si="201"/>
        <v>26130.05527047511</v>
      </c>
      <c r="D2581">
        <v>25759</v>
      </c>
      <c r="E2581">
        <f t="shared" si="202"/>
        <v>2.5758999999999999</v>
      </c>
      <c r="F2581">
        <f t="shared" si="203"/>
        <v>-0.80395598335067264</v>
      </c>
      <c r="G2581">
        <f t="shared" si="204"/>
        <v>0.64634522316534704</v>
      </c>
    </row>
    <row r="2582" spans="1:7" x14ac:dyDescent="0.35">
      <c r="A2582">
        <v>1500</v>
      </c>
      <c r="B2582">
        <f t="shared" si="200"/>
        <v>161.64793617759278</v>
      </c>
      <c r="C2582">
        <f t="shared" si="201"/>
        <v>26130.05527047511</v>
      </c>
      <c r="D2582">
        <v>25822</v>
      </c>
      <c r="E2582">
        <f t="shared" si="202"/>
        <v>2.5821999999999998</v>
      </c>
      <c r="F2582">
        <f t="shared" si="203"/>
        <v>-0.79765598335067267</v>
      </c>
      <c r="G2582">
        <f t="shared" si="204"/>
        <v>0.63625506777512864</v>
      </c>
    </row>
    <row r="2583" spans="1:7" x14ac:dyDescent="0.35">
      <c r="A2583">
        <v>1500</v>
      </c>
      <c r="B2583">
        <f t="shared" si="200"/>
        <v>161.64793617759278</v>
      </c>
      <c r="C2583">
        <f t="shared" si="201"/>
        <v>26130.05527047511</v>
      </c>
      <c r="D2583">
        <v>26726</v>
      </c>
      <c r="E2583">
        <f t="shared" si="202"/>
        <v>2.6726000000000001</v>
      </c>
      <c r="F2583">
        <f t="shared" si="203"/>
        <v>-0.70725598335067241</v>
      </c>
      <c r="G2583">
        <f t="shared" si="204"/>
        <v>0.50021102598532663</v>
      </c>
    </row>
    <row r="2584" spans="1:7" x14ac:dyDescent="0.35">
      <c r="A2584">
        <v>1500</v>
      </c>
      <c r="B2584">
        <f t="shared" si="200"/>
        <v>161.64793617759278</v>
      </c>
      <c r="C2584">
        <f t="shared" si="201"/>
        <v>26130.05527047511</v>
      </c>
      <c r="D2584">
        <v>26742</v>
      </c>
      <c r="E2584">
        <f t="shared" si="202"/>
        <v>2.6741999999999999</v>
      </c>
      <c r="F2584">
        <f t="shared" si="203"/>
        <v>-0.70565598335067259</v>
      </c>
      <c r="G2584">
        <f t="shared" si="204"/>
        <v>0.49795036683860472</v>
      </c>
    </row>
    <row r="2585" spans="1:7" x14ac:dyDescent="0.35">
      <c r="A2585">
        <v>1500</v>
      </c>
      <c r="B2585">
        <f t="shared" si="200"/>
        <v>161.64793617759278</v>
      </c>
      <c r="C2585">
        <f t="shared" si="201"/>
        <v>26130.05527047511</v>
      </c>
      <c r="D2585">
        <v>26651</v>
      </c>
      <c r="E2585">
        <f t="shared" si="202"/>
        <v>2.6650999999999998</v>
      </c>
      <c r="F2585">
        <f t="shared" si="203"/>
        <v>-0.7147559833506727</v>
      </c>
      <c r="G2585">
        <f t="shared" si="204"/>
        <v>0.51087611573558711</v>
      </c>
    </row>
    <row r="2586" spans="1:7" x14ac:dyDescent="0.35">
      <c r="A2586">
        <v>1500</v>
      </c>
      <c r="B2586">
        <f t="shared" si="200"/>
        <v>161.64793617759278</v>
      </c>
      <c r="C2586">
        <f t="shared" si="201"/>
        <v>26130.05527047511</v>
      </c>
      <c r="D2586">
        <v>26489</v>
      </c>
      <c r="E2586">
        <f t="shared" si="202"/>
        <v>2.6488999999999998</v>
      </c>
      <c r="F2586">
        <f t="shared" si="203"/>
        <v>-0.73095598335067269</v>
      </c>
      <c r="G2586">
        <f t="shared" si="204"/>
        <v>0.53429664959614886</v>
      </c>
    </row>
    <row r="2587" spans="1:7" x14ac:dyDescent="0.35">
      <c r="A2587">
        <v>1500</v>
      </c>
      <c r="B2587">
        <f t="shared" si="200"/>
        <v>161.64793617759278</v>
      </c>
      <c r="C2587">
        <f t="shared" si="201"/>
        <v>26130.05527047511</v>
      </c>
      <c r="D2587">
        <v>30000</v>
      </c>
      <c r="E2587">
        <f t="shared" si="202"/>
        <v>3</v>
      </c>
      <c r="F2587">
        <f t="shared" si="203"/>
        <v>-0.3798559833506725</v>
      </c>
      <c r="G2587">
        <f t="shared" si="204"/>
        <v>0.14429056808730639</v>
      </c>
    </row>
    <row r="2588" spans="1:7" x14ac:dyDescent="0.35">
      <c r="A2588">
        <v>1500</v>
      </c>
      <c r="B2588">
        <f t="shared" si="200"/>
        <v>161.64793617759278</v>
      </c>
      <c r="C2588">
        <f t="shared" si="201"/>
        <v>26130.05527047511</v>
      </c>
      <c r="D2588">
        <v>15384</v>
      </c>
      <c r="E2588">
        <f t="shared" si="202"/>
        <v>1.5384</v>
      </c>
      <c r="F2588">
        <f t="shared" si="203"/>
        <v>-1.8414559833506725</v>
      </c>
      <c r="G2588">
        <f t="shared" si="204"/>
        <v>3.3909601386179924</v>
      </c>
    </row>
    <row r="2589" spans="1:7" x14ac:dyDescent="0.35">
      <c r="A2589">
        <v>1500</v>
      </c>
      <c r="B2589">
        <f t="shared" si="200"/>
        <v>161.64793617759278</v>
      </c>
      <c r="C2589">
        <f t="shared" si="201"/>
        <v>26130.05527047511</v>
      </c>
      <c r="D2589">
        <v>15330</v>
      </c>
      <c r="E2589">
        <f t="shared" si="202"/>
        <v>1.5329999999999999</v>
      </c>
      <c r="F2589">
        <f t="shared" si="203"/>
        <v>-1.8468559833506726</v>
      </c>
      <c r="G2589">
        <f t="shared" si="204"/>
        <v>3.41087702323818</v>
      </c>
    </row>
    <row r="2590" spans="1:7" x14ac:dyDescent="0.35">
      <c r="A2590">
        <v>1500</v>
      </c>
      <c r="B2590">
        <f t="shared" si="200"/>
        <v>161.64793617759278</v>
      </c>
      <c r="C2590">
        <f t="shared" si="201"/>
        <v>26130.05527047511</v>
      </c>
      <c r="D2590">
        <v>15215</v>
      </c>
      <c r="E2590">
        <f t="shared" si="202"/>
        <v>1.5215000000000001</v>
      </c>
      <c r="F2590">
        <f t="shared" si="203"/>
        <v>-1.8583559833506724</v>
      </c>
      <c r="G2590">
        <f t="shared" si="204"/>
        <v>3.4534869608552445</v>
      </c>
    </row>
    <row r="2591" spans="1:7" x14ac:dyDescent="0.35">
      <c r="A2591">
        <v>1500</v>
      </c>
      <c r="B2591">
        <f t="shared" si="200"/>
        <v>161.64793617759278</v>
      </c>
      <c r="C2591">
        <f t="shared" si="201"/>
        <v>26130.05527047511</v>
      </c>
      <c r="D2591">
        <v>14722</v>
      </c>
      <c r="E2591">
        <f t="shared" si="202"/>
        <v>1.4722</v>
      </c>
      <c r="F2591">
        <f t="shared" si="203"/>
        <v>-1.9076559833506725</v>
      </c>
      <c r="G2591">
        <f t="shared" si="204"/>
        <v>3.6391513508136213</v>
      </c>
    </row>
    <row r="2592" spans="1:7" x14ac:dyDescent="0.35">
      <c r="A2592">
        <v>1500</v>
      </c>
      <c r="B2592">
        <f t="shared" si="200"/>
        <v>161.64793617759278</v>
      </c>
      <c r="C2592">
        <f t="shared" si="201"/>
        <v>26130.05527047511</v>
      </c>
      <c r="D2592">
        <v>12313</v>
      </c>
      <c r="E2592">
        <f t="shared" si="202"/>
        <v>1.2313000000000001</v>
      </c>
      <c r="F2592">
        <f t="shared" si="203"/>
        <v>-2.1485559833506724</v>
      </c>
      <c r="G2592">
        <f t="shared" si="204"/>
        <v>4.6162928135919747</v>
      </c>
    </row>
    <row r="2593" spans="1:7" x14ac:dyDescent="0.35">
      <c r="A2593">
        <v>1500</v>
      </c>
      <c r="B2593">
        <f t="shared" si="200"/>
        <v>161.64793617759278</v>
      </c>
      <c r="C2593">
        <f t="shared" si="201"/>
        <v>26130.05527047511</v>
      </c>
      <c r="D2593">
        <v>15105</v>
      </c>
      <c r="E2593">
        <f t="shared" si="202"/>
        <v>1.5105</v>
      </c>
      <c r="F2593">
        <f t="shared" si="203"/>
        <v>-1.8693559833506725</v>
      </c>
      <c r="G2593">
        <f t="shared" si="204"/>
        <v>3.4944917924889598</v>
      </c>
    </row>
    <row r="2594" spans="1:7" x14ac:dyDescent="0.35">
      <c r="A2594">
        <v>1500</v>
      </c>
      <c r="B2594">
        <f t="shared" si="200"/>
        <v>161.64793617759278</v>
      </c>
      <c r="C2594">
        <f t="shared" si="201"/>
        <v>26130.05527047511</v>
      </c>
      <c r="D2594">
        <v>17587</v>
      </c>
      <c r="E2594">
        <f t="shared" si="202"/>
        <v>1.7586999999999999</v>
      </c>
      <c r="F2594">
        <f t="shared" si="203"/>
        <v>-1.6211559833506726</v>
      </c>
      <c r="G2594">
        <f t="shared" si="204"/>
        <v>2.6281467223536863</v>
      </c>
    </row>
    <row r="2595" spans="1:7" x14ac:dyDescent="0.35">
      <c r="A2595">
        <v>1500</v>
      </c>
      <c r="B2595">
        <f t="shared" si="200"/>
        <v>161.64793617759278</v>
      </c>
      <c r="C2595">
        <f t="shared" si="201"/>
        <v>26130.05527047511</v>
      </c>
      <c r="D2595">
        <v>30970</v>
      </c>
      <c r="E2595">
        <f t="shared" si="202"/>
        <v>3.097</v>
      </c>
      <c r="F2595">
        <f t="shared" si="203"/>
        <v>-0.28285598335067252</v>
      </c>
      <c r="G2595">
        <f t="shared" si="204"/>
        <v>8.0007507317275933E-2</v>
      </c>
    </row>
    <row r="2596" spans="1:7" x14ac:dyDescent="0.35">
      <c r="A2596">
        <v>1500</v>
      </c>
      <c r="B2596">
        <f t="shared" si="200"/>
        <v>161.64793617759278</v>
      </c>
      <c r="C2596">
        <f t="shared" si="201"/>
        <v>26130.05527047511</v>
      </c>
      <c r="D2596">
        <v>30898</v>
      </c>
      <c r="E2596">
        <f t="shared" si="202"/>
        <v>3.0897999999999999</v>
      </c>
      <c r="F2596">
        <f t="shared" si="203"/>
        <v>-0.29005598335067262</v>
      </c>
      <c r="G2596">
        <f t="shared" si="204"/>
        <v>8.4132473477525671E-2</v>
      </c>
    </row>
    <row r="2597" spans="1:7" x14ac:dyDescent="0.35">
      <c r="A2597">
        <v>1500</v>
      </c>
      <c r="B2597">
        <f t="shared" si="200"/>
        <v>161.64793617759278</v>
      </c>
      <c r="C2597">
        <f t="shared" si="201"/>
        <v>26130.05527047511</v>
      </c>
      <c r="D2597">
        <v>27642</v>
      </c>
      <c r="E2597">
        <f t="shared" si="202"/>
        <v>2.7642000000000002</v>
      </c>
      <c r="F2597">
        <f t="shared" si="203"/>
        <v>-0.61565598335067229</v>
      </c>
      <c r="G2597">
        <f t="shared" si="204"/>
        <v>0.37903228983548326</v>
      </c>
    </row>
    <row r="2598" spans="1:7" x14ac:dyDescent="0.35">
      <c r="A2598">
        <v>1500</v>
      </c>
      <c r="B2598">
        <f t="shared" si="200"/>
        <v>161.64793617759278</v>
      </c>
      <c r="C2598">
        <f t="shared" si="201"/>
        <v>26130.05527047511</v>
      </c>
      <c r="D2598">
        <v>28451</v>
      </c>
      <c r="E2598">
        <f t="shared" si="202"/>
        <v>2.8451</v>
      </c>
      <c r="F2598">
        <f t="shared" si="203"/>
        <v>-0.53475598335067254</v>
      </c>
      <c r="G2598">
        <f t="shared" si="204"/>
        <v>0.28596396172934474</v>
      </c>
    </row>
    <row r="2599" spans="1:7" x14ac:dyDescent="0.35">
      <c r="A2599">
        <v>1500</v>
      </c>
      <c r="B2599">
        <f t="shared" si="200"/>
        <v>161.64793617759278</v>
      </c>
      <c r="C2599">
        <f t="shared" si="201"/>
        <v>26130.05527047511</v>
      </c>
      <c r="D2599">
        <v>31192</v>
      </c>
      <c r="E2599">
        <f t="shared" si="202"/>
        <v>3.1192000000000002</v>
      </c>
      <c r="F2599">
        <f t="shared" si="203"/>
        <v>-0.2606559833506723</v>
      </c>
      <c r="G2599">
        <f t="shared" si="204"/>
        <v>6.7941541656505955E-2</v>
      </c>
    </row>
    <row r="2600" spans="1:7" x14ac:dyDescent="0.35">
      <c r="A2600">
        <v>1500</v>
      </c>
      <c r="B2600">
        <f t="shared" si="200"/>
        <v>161.64793617759278</v>
      </c>
      <c r="C2600">
        <f t="shared" si="201"/>
        <v>26130.05527047511</v>
      </c>
      <c r="D2600">
        <v>31186</v>
      </c>
      <c r="E2600">
        <f t="shared" si="202"/>
        <v>3.1185999999999998</v>
      </c>
      <c r="F2600">
        <f t="shared" si="203"/>
        <v>-0.26125598335067268</v>
      </c>
      <c r="G2600">
        <f t="shared" si="204"/>
        <v>6.8254688836526967E-2</v>
      </c>
    </row>
    <row r="2601" spans="1:7" x14ac:dyDescent="0.35">
      <c r="A2601">
        <v>1500</v>
      </c>
      <c r="B2601">
        <f t="shared" si="200"/>
        <v>161.64793617759278</v>
      </c>
      <c r="C2601">
        <f t="shared" si="201"/>
        <v>26130.05527047511</v>
      </c>
      <c r="D2601">
        <v>31160</v>
      </c>
      <c r="E2601">
        <f t="shared" si="202"/>
        <v>3.1160000000000001</v>
      </c>
      <c r="F2601">
        <f t="shared" si="203"/>
        <v>-0.2638559833506724</v>
      </c>
      <c r="G2601">
        <f t="shared" si="204"/>
        <v>6.9619979949950311E-2</v>
      </c>
    </row>
    <row r="2602" spans="1:7" x14ac:dyDescent="0.35">
      <c r="A2602">
        <v>1500</v>
      </c>
      <c r="B2602">
        <f t="shared" si="200"/>
        <v>161.64793617759278</v>
      </c>
      <c r="C2602">
        <f t="shared" si="201"/>
        <v>26130.05527047511</v>
      </c>
      <c r="D2602">
        <v>30340</v>
      </c>
      <c r="E2602">
        <f t="shared" si="202"/>
        <v>3.0339999999999998</v>
      </c>
      <c r="F2602">
        <f t="shared" si="203"/>
        <v>-0.34585598335067269</v>
      </c>
      <c r="G2602">
        <f t="shared" si="204"/>
        <v>0.11961636121946079</v>
      </c>
    </row>
    <row r="2603" spans="1:7" x14ac:dyDescent="0.35">
      <c r="A2603">
        <v>1168</v>
      </c>
      <c r="B2603">
        <f t="shared" si="200"/>
        <v>-170.35206382240722</v>
      </c>
      <c r="C2603">
        <f t="shared" si="201"/>
        <v>29019.825648553502</v>
      </c>
      <c r="D2603">
        <v>6998</v>
      </c>
      <c r="E2603">
        <f t="shared" si="202"/>
        <v>0.69979999999999998</v>
      </c>
      <c r="F2603">
        <f t="shared" si="203"/>
        <v>-2.6800559833506723</v>
      </c>
      <c r="G2603">
        <f t="shared" si="204"/>
        <v>7.1827000738937388</v>
      </c>
    </row>
    <row r="2604" spans="1:7" x14ac:dyDescent="0.35">
      <c r="A2604">
        <v>1168</v>
      </c>
      <c r="B2604">
        <f t="shared" si="200"/>
        <v>-170.35206382240722</v>
      </c>
      <c r="C2604">
        <f t="shared" si="201"/>
        <v>29019.825648553502</v>
      </c>
      <c r="D2604">
        <v>11508</v>
      </c>
      <c r="E2604">
        <f t="shared" si="202"/>
        <v>1.1508</v>
      </c>
      <c r="F2604">
        <f t="shared" si="203"/>
        <v>-2.2290559833506727</v>
      </c>
      <c r="G2604">
        <f t="shared" si="204"/>
        <v>4.9686905769114347</v>
      </c>
    </row>
    <row r="2605" spans="1:7" x14ac:dyDescent="0.35">
      <c r="A2605">
        <v>1168</v>
      </c>
      <c r="B2605">
        <f t="shared" si="200"/>
        <v>-170.35206382240722</v>
      </c>
      <c r="C2605">
        <f t="shared" si="201"/>
        <v>29019.825648553502</v>
      </c>
      <c r="D2605">
        <v>14963</v>
      </c>
      <c r="E2605">
        <f t="shared" si="202"/>
        <v>1.4963</v>
      </c>
      <c r="F2605">
        <f t="shared" si="203"/>
        <v>-1.8835559833506725</v>
      </c>
      <c r="G2605">
        <f t="shared" si="204"/>
        <v>3.5477831424161188</v>
      </c>
    </row>
    <row r="2606" spans="1:7" x14ac:dyDescent="0.35">
      <c r="A2606">
        <v>1168</v>
      </c>
      <c r="B2606">
        <f t="shared" si="200"/>
        <v>-170.35206382240722</v>
      </c>
      <c r="C2606">
        <f t="shared" si="201"/>
        <v>29019.825648553502</v>
      </c>
      <c r="D2606">
        <v>13931</v>
      </c>
      <c r="E2606">
        <f t="shared" si="202"/>
        <v>1.3931</v>
      </c>
      <c r="F2606">
        <f t="shared" si="203"/>
        <v>-1.9867559833506725</v>
      </c>
      <c r="G2606">
        <f t="shared" si="204"/>
        <v>3.9471993373796979</v>
      </c>
    </row>
    <row r="2607" spans="1:7" x14ac:dyDescent="0.35">
      <c r="A2607">
        <v>1168</v>
      </c>
      <c r="B2607">
        <f t="shared" si="200"/>
        <v>-170.35206382240722</v>
      </c>
      <c r="C2607">
        <f t="shared" si="201"/>
        <v>29019.825648553502</v>
      </c>
      <c r="D2607">
        <v>13098</v>
      </c>
      <c r="E2607">
        <f t="shared" si="202"/>
        <v>1.3098000000000001</v>
      </c>
      <c r="F2607">
        <f t="shared" si="203"/>
        <v>-2.0700559833506724</v>
      </c>
      <c r="G2607">
        <f t="shared" si="204"/>
        <v>4.2851317742059196</v>
      </c>
    </row>
    <row r="2608" spans="1:7" x14ac:dyDescent="0.35">
      <c r="A2608">
        <v>1168</v>
      </c>
      <c r="B2608">
        <f t="shared" si="200"/>
        <v>-170.35206382240722</v>
      </c>
      <c r="C2608">
        <f t="shared" si="201"/>
        <v>29019.825648553502</v>
      </c>
      <c r="D2608">
        <v>15665</v>
      </c>
      <c r="E2608">
        <f t="shared" si="202"/>
        <v>1.5665</v>
      </c>
      <c r="F2608">
        <f t="shared" si="203"/>
        <v>-1.8133559833506725</v>
      </c>
      <c r="G2608">
        <f t="shared" si="204"/>
        <v>3.2882599223536846</v>
      </c>
    </row>
    <row r="2609" spans="1:7" x14ac:dyDescent="0.35">
      <c r="A2609">
        <v>1168</v>
      </c>
      <c r="B2609">
        <f t="shared" si="200"/>
        <v>-170.35206382240722</v>
      </c>
      <c r="C2609">
        <f t="shared" si="201"/>
        <v>29019.825648553502</v>
      </c>
      <c r="D2609">
        <v>18509</v>
      </c>
      <c r="E2609">
        <f t="shared" si="202"/>
        <v>1.8509</v>
      </c>
      <c r="F2609">
        <f t="shared" si="203"/>
        <v>-1.5289559833506725</v>
      </c>
      <c r="G2609">
        <f t="shared" si="204"/>
        <v>2.3377063990238218</v>
      </c>
    </row>
    <row r="2610" spans="1:7" x14ac:dyDescent="0.35">
      <c r="A2610">
        <v>1168</v>
      </c>
      <c r="B2610">
        <f t="shared" si="200"/>
        <v>-170.35206382240722</v>
      </c>
      <c r="C2610">
        <f t="shared" si="201"/>
        <v>29019.825648553502</v>
      </c>
      <c r="D2610">
        <v>11975</v>
      </c>
      <c r="E2610">
        <f t="shared" si="202"/>
        <v>1.1975</v>
      </c>
      <c r="F2610">
        <f t="shared" si="203"/>
        <v>-2.1823559833506723</v>
      </c>
      <c r="G2610">
        <f t="shared" si="204"/>
        <v>4.7626776380664797</v>
      </c>
    </row>
    <row r="2611" spans="1:7" x14ac:dyDescent="0.35">
      <c r="A2611">
        <v>1168</v>
      </c>
      <c r="B2611">
        <f t="shared" si="200"/>
        <v>-170.35206382240722</v>
      </c>
      <c r="C2611">
        <f t="shared" si="201"/>
        <v>29019.825648553502</v>
      </c>
      <c r="D2611">
        <v>9498</v>
      </c>
      <c r="E2611">
        <f t="shared" si="202"/>
        <v>0.94979999999999998</v>
      </c>
      <c r="F2611">
        <f t="shared" si="203"/>
        <v>-2.4300559833506723</v>
      </c>
      <c r="G2611">
        <f t="shared" si="204"/>
        <v>5.9051720822184031</v>
      </c>
    </row>
    <row r="2612" spans="1:7" x14ac:dyDescent="0.35">
      <c r="A2612">
        <v>1168</v>
      </c>
      <c r="B2612">
        <f t="shared" si="200"/>
        <v>-170.35206382240722</v>
      </c>
      <c r="C2612">
        <f t="shared" si="201"/>
        <v>29019.825648553502</v>
      </c>
      <c r="D2612">
        <v>12221</v>
      </c>
      <c r="E2612">
        <f t="shared" si="202"/>
        <v>1.2221</v>
      </c>
      <c r="F2612">
        <f t="shared" si="203"/>
        <v>-2.1577559833506728</v>
      </c>
      <c r="G2612">
        <f t="shared" si="204"/>
        <v>4.6559108836856291</v>
      </c>
    </row>
    <row r="2613" spans="1:7" x14ac:dyDescent="0.35">
      <c r="A2613">
        <v>1168</v>
      </c>
      <c r="B2613">
        <f t="shared" si="200"/>
        <v>-170.35206382240722</v>
      </c>
      <c r="C2613">
        <f t="shared" si="201"/>
        <v>29019.825648553502</v>
      </c>
      <c r="D2613">
        <v>13320</v>
      </c>
      <c r="E2613">
        <f t="shared" si="202"/>
        <v>1.3320000000000001</v>
      </c>
      <c r="F2613">
        <f t="shared" si="203"/>
        <v>-2.0478559833506722</v>
      </c>
      <c r="G2613">
        <f t="shared" si="204"/>
        <v>4.1937141285451487</v>
      </c>
    </row>
    <row r="2614" spans="1:7" x14ac:dyDescent="0.35">
      <c r="A2614">
        <v>1168</v>
      </c>
      <c r="B2614">
        <f t="shared" si="200"/>
        <v>-170.35206382240722</v>
      </c>
      <c r="C2614">
        <f t="shared" si="201"/>
        <v>29019.825648553502</v>
      </c>
      <c r="D2614">
        <v>26977</v>
      </c>
      <c r="E2614">
        <f t="shared" si="202"/>
        <v>2.6977000000000002</v>
      </c>
      <c r="F2614">
        <f t="shared" si="203"/>
        <v>-0.68215598335067229</v>
      </c>
      <c r="G2614">
        <f t="shared" si="204"/>
        <v>0.46533678562112268</v>
      </c>
    </row>
    <row r="2615" spans="1:7" x14ac:dyDescent="0.35">
      <c r="A2615">
        <v>1168</v>
      </c>
      <c r="B2615">
        <f t="shared" si="200"/>
        <v>-170.35206382240722</v>
      </c>
      <c r="C2615">
        <f t="shared" si="201"/>
        <v>29019.825648553502</v>
      </c>
      <c r="D2615">
        <v>20441</v>
      </c>
      <c r="E2615">
        <f t="shared" si="202"/>
        <v>2.0440999999999998</v>
      </c>
      <c r="F2615">
        <f t="shared" si="203"/>
        <v>-1.3357559833506727</v>
      </c>
      <c r="G2615">
        <f t="shared" si="204"/>
        <v>1.7842440470571226</v>
      </c>
    </row>
    <row r="2616" spans="1:7" x14ac:dyDescent="0.35">
      <c r="A2616">
        <v>1168</v>
      </c>
      <c r="B2616">
        <f t="shared" si="200"/>
        <v>-170.35206382240722</v>
      </c>
      <c r="C2616">
        <f t="shared" si="201"/>
        <v>29019.825648553502</v>
      </c>
      <c r="D2616">
        <v>21254</v>
      </c>
      <c r="E2616">
        <f t="shared" si="202"/>
        <v>2.1254</v>
      </c>
      <c r="F2616">
        <f t="shared" si="203"/>
        <v>-1.2544559833506725</v>
      </c>
      <c r="G2616">
        <f t="shared" si="204"/>
        <v>1.5736598141643028</v>
      </c>
    </row>
    <row r="2617" spans="1:7" x14ac:dyDescent="0.35">
      <c r="A2617">
        <v>1168</v>
      </c>
      <c r="B2617">
        <f t="shared" si="200"/>
        <v>-170.35206382240722</v>
      </c>
      <c r="C2617">
        <f t="shared" si="201"/>
        <v>29019.825648553502</v>
      </c>
      <c r="D2617">
        <v>19223</v>
      </c>
      <c r="E2617">
        <f t="shared" si="202"/>
        <v>1.9222999999999999</v>
      </c>
      <c r="F2617">
        <f t="shared" si="203"/>
        <v>-1.4575559833506726</v>
      </c>
      <c r="G2617">
        <f t="shared" si="204"/>
        <v>2.1244694446013463</v>
      </c>
    </row>
    <row r="2618" spans="1:7" x14ac:dyDescent="0.35">
      <c r="A2618">
        <v>1168</v>
      </c>
      <c r="B2618">
        <f t="shared" si="200"/>
        <v>-170.35206382240722</v>
      </c>
      <c r="C2618">
        <f t="shared" si="201"/>
        <v>29019.825648553502</v>
      </c>
      <c r="D2618">
        <v>19324</v>
      </c>
      <c r="E2618">
        <f t="shared" si="202"/>
        <v>1.9323999999999999</v>
      </c>
      <c r="F2618">
        <f t="shared" si="203"/>
        <v>-1.4474559833506726</v>
      </c>
      <c r="G2618">
        <f t="shared" si="204"/>
        <v>2.0951288237376624</v>
      </c>
    </row>
    <row r="2619" spans="1:7" x14ac:dyDescent="0.35">
      <c r="A2619">
        <v>1168</v>
      </c>
      <c r="B2619">
        <f t="shared" si="200"/>
        <v>-170.35206382240722</v>
      </c>
      <c r="C2619">
        <f t="shared" si="201"/>
        <v>29019.825648553502</v>
      </c>
      <c r="D2619">
        <v>21627</v>
      </c>
      <c r="E2619">
        <f t="shared" si="202"/>
        <v>2.1627000000000001</v>
      </c>
      <c r="F2619">
        <f t="shared" si="203"/>
        <v>-1.2171559833506724</v>
      </c>
      <c r="G2619">
        <f t="shared" si="204"/>
        <v>1.4814686878063423</v>
      </c>
    </row>
    <row r="2620" spans="1:7" x14ac:dyDescent="0.35">
      <c r="A2620">
        <v>1168</v>
      </c>
      <c r="B2620">
        <f t="shared" si="200"/>
        <v>-170.35206382240722</v>
      </c>
      <c r="C2620">
        <f t="shared" si="201"/>
        <v>29019.825648553502</v>
      </c>
      <c r="D2620">
        <v>21228</v>
      </c>
      <c r="E2620">
        <f t="shared" si="202"/>
        <v>2.1227999999999998</v>
      </c>
      <c r="F2620">
        <f t="shared" si="203"/>
        <v>-1.2570559833506727</v>
      </c>
      <c r="G2620">
        <f t="shared" si="204"/>
        <v>1.5801897452777267</v>
      </c>
    </row>
    <row r="2621" spans="1:7" x14ac:dyDescent="0.35">
      <c r="A2621">
        <v>1168</v>
      </c>
      <c r="B2621">
        <f t="shared" si="200"/>
        <v>-170.35206382240722</v>
      </c>
      <c r="C2621">
        <f t="shared" si="201"/>
        <v>29019.825648553502</v>
      </c>
      <c r="D2621">
        <v>22090</v>
      </c>
      <c r="E2621">
        <f t="shared" si="202"/>
        <v>2.2090000000000001</v>
      </c>
      <c r="F2621">
        <f t="shared" si="203"/>
        <v>-1.1708559833506724</v>
      </c>
      <c r="G2621">
        <f t="shared" si="204"/>
        <v>1.3709037337480701</v>
      </c>
    </row>
    <row r="2622" spans="1:7" x14ac:dyDescent="0.35">
      <c r="A2622">
        <v>1168</v>
      </c>
      <c r="B2622">
        <f t="shared" si="200"/>
        <v>-170.35206382240722</v>
      </c>
      <c r="C2622">
        <f t="shared" si="201"/>
        <v>29019.825648553502</v>
      </c>
      <c r="D2622">
        <v>24830</v>
      </c>
      <c r="E2622">
        <f t="shared" si="202"/>
        <v>2.4830000000000001</v>
      </c>
      <c r="F2622">
        <f t="shared" si="203"/>
        <v>-0.8968559833506724</v>
      </c>
      <c r="G2622">
        <f t="shared" si="204"/>
        <v>0.8043506548719016</v>
      </c>
    </row>
    <row r="2623" spans="1:7" x14ac:dyDescent="0.35">
      <c r="A2623">
        <v>1168</v>
      </c>
      <c r="B2623">
        <f t="shared" si="200"/>
        <v>-170.35206382240722</v>
      </c>
      <c r="C2623">
        <f t="shared" si="201"/>
        <v>29019.825648553502</v>
      </c>
      <c r="D2623">
        <v>22836</v>
      </c>
      <c r="E2623">
        <f t="shared" si="202"/>
        <v>2.2835999999999999</v>
      </c>
      <c r="F2623">
        <f t="shared" si="203"/>
        <v>-1.0962559833506726</v>
      </c>
      <c r="G2623">
        <f t="shared" si="204"/>
        <v>1.2017771810321503</v>
      </c>
    </row>
    <row r="2624" spans="1:7" x14ac:dyDescent="0.35">
      <c r="A2624">
        <v>1168</v>
      </c>
      <c r="B2624">
        <f t="shared" si="200"/>
        <v>-170.35206382240722</v>
      </c>
      <c r="C2624">
        <f t="shared" si="201"/>
        <v>29019.825648553502</v>
      </c>
      <c r="D2624">
        <v>23441</v>
      </c>
      <c r="E2624">
        <f t="shared" si="202"/>
        <v>2.3441000000000001</v>
      </c>
      <c r="F2624">
        <f t="shared" si="203"/>
        <v>-1.0357559833506724</v>
      </c>
      <c r="G2624">
        <f t="shared" si="204"/>
        <v>1.0727904570467184</v>
      </c>
    </row>
    <row r="2625" spans="1:7" x14ac:dyDescent="0.35">
      <c r="A2625">
        <v>1168</v>
      </c>
      <c r="B2625">
        <f t="shared" si="200"/>
        <v>-170.35206382240722</v>
      </c>
      <c r="C2625">
        <f t="shared" si="201"/>
        <v>29019.825648553502</v>
      </c>
      <c r="D2625">
        <v>26540</v>
      </c>
      <c r="E2625">
        <f t="shared" si="202"/>
        <v>2.6539999999999999</v>
      </c>
      <c r="F2625">
        <f t="shared" si="203"/>
        <v>-0.72585598335067258</v>
      </c>
      <c r="G2625">
        <f t="shared" si="204"/>
        <v>0.52686690856597185</v>
      </c>
    </row>
    <row r="2626" spans="1:7" x14ac:dyDescent="0.35">
      <c r="A2626">
        <v>1168</v>
      </c>
      <c r="B2626">
        <f t="shared" si="200"/>
        <v>-170.35206382240722</v>
      </c>
      <c r="C2626">
        <f t="shared" si="201"/>
        <v>29019.825648553502</v>
      </c>
      <c r="D2626">
        <v>23228</v>
      </c>
      <c r="E2626">
        <f t="shared" si="202"/>
        <v>2.3228</v>
      </c>
      <c r="F2626">
        <f t="shared" si="203"/>
        <v>-1.0570559833506725</v>
      </c>
      <c r="G2626">
        <f t="shared" si="204"/>
        <v>1.1173673519374572</v>
      </c>
    </row>
    <row r="2627" spans="1:7" x14ac:dyDescent="0.35">
      <c r="A2627">
        <v>1168</v>
      </c>
      <c r="B2627">
        <f t="shared" ref="B2627:B2690" si="205">A2627-$J$1</f>
        <v>-170.35206382240722</v>
      </c>
      <c r="C2627">
        <f t="shared" ref="C2627:C2690" si="206">B2627^2</f>
        <v>29019.825648553502</v>
      </c>
      <c r="D2627">
        <v>25101</v>
      </c>
      <c r="E2627">
        <f t="shared" ref="E2627:E2690" si="207">D2627/10000</f>
        <v>2.5101</v>
      </c>
      <c r="F2627">
        <f t="shared" ref="F2627:F2690" si="208">E2627-$J$2</f>
        <v>-0.8697559833506725</v>
      </c>
      <c r="G2627">
        <f t="shared" ref="G2627:G2690" si="209">F2627^2</f>
        <v>0.75647547057429532</v>
      </c>
    </row>
    <row r="2628" spans="1:7" x14ac:dyDescent="0.35">
      <c r="A2628">
        <v>1168</v>
      </c>
      <c r="B2628">
        <f t="shared" si="205"/>
        <v>-170.35206382240722</v>
      </c>
      <c r="C2628">
        <f t="shared" si="206"/>
        <v>29019.825648553502</v>
      </c>
      <c r="D2628">
        <v>16724</v>
      </c>
      <c r="E2628">
        <f t="shared" si="207"/>
        <v>1.6724000000000001</v>
      </c>
      <c r="F2628">
        <f t="shared" si="208"/>
        <v>-1.7074559833506724</v>
      </c>
      <c r="G2628">
        <f t="shared" si="209"/>
        <v>2.9154059350800114</v>
      </c>
    </row>
    <row r="2629" spans="1:7" x14ac:dyDescent="0.35">
      <c r="A2629">
        <v>1168</v>
      </c>
      <c r="B2629">
        <f t="shared" si="205"/>
        <v>-170.35206382240722</v>
      </c>
      <c r="C2629">
        <f t="shared" si="206"/>
        <v>29019.825648553502</v>
      </c>
      <c r="D2629">
        <v>28233</v>
      </c>
      <c r="E2629">
        <f t="shared" si="207"/>
        <v>2.8233000000000001</v>
      </c>
      <c r="F2629">
        <f t="shared" si="208"/>
        <v>-0.55655598335067236</v>
      </c>
      <c r="G2629">
        <f t="shared" si="209"/>
        <v>0.30975456260343387</v>
      </c>
    </row>
    <row r="2630" spans="1:7" x14ac:dyDescent="0.35">
      <c r="A2630">
        <v>1168</v>
      </c>
      <c r="B2630">
        <f t="shared" si="205"/>
        <v>-170.35206382240722</v>
      </c>
      <c r="C2630">
        <f t="shared" si="206"/>
        <v>29019.825648553502</v>
      </c>
      <c r="D2630">
        <v>17633</v>
      </c>
      <c r="E2630">
        <f t="shared" si="207"/>
        <v>1.7633000000000001</v>
      </c>
      <c r="F2630">
        <f t="shared" si="208"/>
        <v>-1.6165559833506724</v>
      </c>
      <c r="G2630">
        <f t="shared" si="209"/>
        <v>2.6132532473068593</v>
      </c>
    </row>
    <row r="2631" spans="1:7" x14ac:dyDescent="0.35">
      <c r="A2631">
        <v>1168</v>
      </c>
      <c r="B2631">
        <f t="shared" si="205"/>
        <v>-170.35206382240722</v>
      </c>
      <c r="C2631">
        <f t="shared" si="206"/>
        <v>29019.825648553502</v>
      </c>
      <c r="D2631">
        <v>17273</v>
      </c>
      <c r="E2631">
        <f t="shared" si="207"/>
        <v>1.7273000000000001</v>
      </c>
      <c r="F2631">
        <f t="shared" si="208"/>
        <v>-1.6525559833506724</v>
      </c>
      <c r="G2631">
        <f t="shared" si="209"/>
        <v>2.7309412781081082</v>
      </c>
    </row>
    <row r="2632" spans="1:7" x14ac:dyDescent="0.35">
      <c r="A2632">
        <v>1168</v>
      </c>
      <c r="B2632">
        <f t="shared" si="205"/>
        <v>-170.35206382240722</v>
      </c>
      <c r="C2632">
        <f t="shared" si="206"/>
        <v>29019.825648553502</v>
      </c>
      <c r="D2632">
        <v>16536</v>
      </c>
      <c r="E2632">
        <f t="shared" si="207"/>
        <v>1.6536</v>
      </c>
      <c r="F2632">
        <f t="shared" si="208"/>
        <v>-1.7262559833506725</v>
      </c>
      <c r="G2632">
        <f t="shared" si="209"/>
        <v>2.9799597200539973</v>
      </c>
    </row>
    <row r="2633" spans="1:7" x14ac:dyDescent="0.35">
      <c r="A2633">
        <v>2200</v>
      </c>
      <c r="B2633">
        <f t="shared" si="205"/>
        <v>861.64793617759278</v>
      </c>
      <c r="C2633">
        <f t="shared" si="206"/>
        <v>742437.16591910506</v>
      </c>
      <c r="D2633">
        <v>20831</v>
      </c>
      <c r="E2633">
        <f t="shared" si="207"/>
        <v>2.0831</v>
      </c>
      <c r="F2633">
        <f t="shared" si="208"/>
        <v>-1.2967559833506725</v>
      </c>
      <c r="G2633">
        <f t="shared" si="209"/>
        <v>1.6815760803557698</v>
      </c>
    </row>
    <row r="2634" spans="1:7" x14ac:dyDescent="0.35">
      <c r="A2634">
        <v>2200</v>
      </c>
      <c r="B2634">
        <f t="shared" si="205"/>
        <v>861.64793617759278</v>
      </c>
      <c r="C2634">
        <f t="shared" si="206"/>
        <v>742437.16591910506</v>
      </c>
      <c r="D2634">
        <v>21768</v>
      </c>
      <c r="E2634">
        <f t="shared" si="207"/>
        <v>2.1768000000000001</v>
      </c>
      <c r="F2634">
        <f t="shared" si="208"/>
        <v>-1.2030559833506724</v>
      </c>
      <c r="G2634">
        <f t="shared" si="209"/>
        <v>1.4473436990758535</v>
      </c>
    </row>
    <row r="2635" spans="1:7" x14ac:dyDescent="0.35">
      <c r="A2635">
        <v>2200</v>
      </c>
      <c r="B2635">
        <f t="shared" si="205"/>
        <v>861.64793617759278</v>
      </c>
      <c r="C2635">
        <f t="shared" si="206"/>
        <v>742437.16591910506</v>
      </c>
      <c r="D2635">
        <v>24478</v>
      </c>
      <c r="E2635">
        <f t="shared" si="207"/>
        <v>2.4478</v>
      </c>
      <c r="F2635">
        <f t="shared" si="208"/>
        <v>-0.93205598335067252</v>
      </c>
      <c r="G2635">
        <f t="shared" si="209"/>
        <v>0.86872835609978916</v>
      </c>
    </row>
    <row r="2636" spans="1:7" x14ac:dyDescent="0.35">
      <c r="A2636">
        <v>2200</v>
      </c>
      <c r="B2636">
        <f t="shared" si="205"/>
        <v>861.64793617759278</v>
      </c>
      <c r="C2636">
        <f t="shared" si="206"/>
        <v>742437.16591910506</v>
      </c>
      <c r="D2636">
        <v>25017</v>
      </c>
      <c r="E2636">
        <f t="shared" si="207"/>
        <v>2.5017</v>
      </c>
      <c r="F2636">
        <f t="shared" si="208"/>
        <v>-0.87815598335067246</v>
      </c>
      <c r="G2636">
        <f t="shared" si="209"/>
        <v>0.77115793109458652</v>
      </c>
    </row>
    <row r="2637" spans="1:7" x14ac:dyDescent="0.35">
      <c r="A2637">
        <v>2200</v>
      </c>
      <c r="B2637">
        <f t="shared" si="205"/>
        <v>861.64793617759278</v>
      </c>
      <c r="C2637">
        <f t="shared" si="206"/>
        <v>742437.16591910506</v>
      </c>
      <c r="D2637">
        <v>31397</v>
      </c>
      <c r="E2637">
        <f t="shared" si="207"/>
        <v>3.1396999999999999</v>
      </c>
      <c r="F2637">
        <f t="shared" si="208"/>
        <v>-0.24015598335067256</v>
      </c>
      <c r="G2637">
        <f t="shared" si="209"/>
        <v>5.767489633912852E-2</v>
      </c>
    </row>
    <row r="2638" spans="1:7" x14ac:dyDescent="0.35">
      <c r="A2638">
        <v>2200</v>
      </c>
      <c r="B2638">
        <f t="shared" si="205"/>
        <v>861.64793617759278</v>
      </c>
      <c r="C2638">
        <f t="shared" si="206"/>
        <v>742437.16591910506</v>
      </c>
      <c r="D2638">
        <v>30769</v>
      </c>
      <c r="E2638">
        <f t="shared" si="207"/>
        <v>3.0769000000000002</v>
      </c>
      <c r="F2638">
        <f t="shared" si="208"/>
        <v>-0.30295598335067231</v>
      </c>
      <c r="G2638">
        <f t="shared" si="209"/>
        <v>9.1782327847972842E-2</v>
      </c>
    </row>
    <row r="2639" spans="1:7" x14ac:dyDescent="0.35">
      <c r="A2639">
        <v>2200</v>
      </c>
      <c r="B2639">
        <f t="shared" si="205"/>
        <v>861.64793617759278</v>
      </c>
      <c r="C2639">
        <f t="shared" si="206"/>
        <v>742437.16591910506</v>
      </c>
      <c r="D2639">
        <v>36703</v>
      </c>
      <c r="E2639">
        <f t="shared" si="207"/>
        <v>3.6703000000000001</v>
      </c>
      <c r="F2639">
        <f t="shared" si="208"/>
        <v>0.29044401664932762</v>
      </c>
      <c r="G2639">
        <f t="shared" si="209"/>
        <v>8.4357726807394895E-2</v>
      </c>
    </row>
    <row r="2640" spans="1:7" x14ac:dyDescent="0.35">
      <c r="A2640">
        <v>2200</v>
      </c>
      <c r="B2640">
        <f t="shared" si="205"/>
        <v>861.64793617759278</v>
      </c>
      <c r="C2640">
        <f t="shared" si="206"/>
        <v>742437.16591910506</v>
      </c>
      <c r="D2640">
        <v>32408</v>
      </c>
      <c r="E2640">
        <f t="shared" si="207"/>
        <v>3.2408000000000001</v>
      </c>
      <c r="F2640">
        <f t="shared" si="208"/>
        <v>-0.13905598335067237</v>
      </c>
      <c r="G2640">
        <f t="shared" si="209"/>
        <v>1.9336566505622474E-2</v>
      </c>
    </row>
    <row r="2641" spans="1:7" x14ac:dyDescent="0.35">
      <c r="A2641">
        <v>2200</v>
      </c>
      <c r="B2641">
        <f t="shared" si="205"/>
        <v>861.64793617759278</v>
      </c>
      <c r="C2641">
        <f t="shared" si="206"/>
        <v>742437.16591910506</v>
      </c>
      <c r="D2641">
        <v>37264</v>
      </c>
      <c r="E2641">
        <f t="shared" si="207"/>
        <v>3.7263999999999999</v>
      </c>
      <c r="F2641">
        <f t="shared" si="208"/>
        <v>0.34654401664932744</v>
      </c>
      <c r="G2641">
        <f t="shared" si="209"/>
        <v>0.12009275547544933</v>
      </c>
    </row>
    <row r="2642" spans="1:7" x14ac:dyDescent="0.35">
      <c r="A2642">
        <v>2200</v>
      </c>
      <c r="B2642">
        <f t="shared" si="205"/>
        <v>861.64793617759278</v>
      </c>
      <c r="C2642">
        <f t="shared" si="206"/>
        <v>742437.16591910506</v>
      </c>
      <c r="D2642">
        <v>39204</v>
      </c>
      <c r="E2642">
        <f t="shared" si="207"/>
        <v>3.9203999999999999</v>
      </c>
      <c r="F2642">
        <f t="shared" si="208"/>
        <v>0.54054401664932739</v>
      </c>
      <c r="G2642">
        <f t="shared" si="209"/>
        <v>0.29218783393538833</v>
      </c>
    </row>
    <row r="2643" spans="1:7" x14ac:dyDescent="0.35">
      <c r="A2643">
        <v>2200</v>
      </c>
      <c r="B2643">
        <f t="shared" si="205"/>
        <v>861.64793617759278</v>
      </c>
      <c r="C2643">
        <f t="shared" si="206"/>
        <v>742437.16591910506</v>
      </c>
      <c r="D2643">
        <v>35716</v>
      </c>
      <c r="E2643">
        <f t="shared" si="207"/>
        <v>3.5716000000000001</v>
      </c>
      <c r="F2643">
        <f t="shared" si="208"/>
        <v>0.19174401664932761</v>
      </c>
      <c r="G2643">
        <f t="shared" si="209"/>
        <v>3.6765767920817621E-2</v>
      </c>
    </row>
    <row r="2644" spans="1:7" x14ac:dyDescent="0.35">
      <c r="A2644">
        <v>2200</v>
      </c>
      <c r="B2644">
        <f t="shared" si="205"/>
        <v>861.64793617759278</v>
      </c>
      <c r="C2644">
        <f t="shared" si="206"/>
        <v>742437.16591910506</v>
      </c>
      <c r="D2644">
        <v>22653</v>
      </c>
      <c r="E2644">
        <f t="shared" si="207"/>
        <v>2.2652999999999999</v>
      </c>
      <c r="F2644">
        <f t="shared" si="208"/>
        <v>-1.1145559833506726</v>
      </c>
      <c r="G2644">
        <f t="shared" si="209"/>
        <v>1.2422350400227848</v>
      </c>
    </row>
    <row r="2645" spans="1:7" x14ac:dyDescent="0.35">
      <c r="A2645">
        <v>2200</v>
      </c>
      <c r="B2645">
        <f t="shared" si="205"/>
        <v>861.64793617759278</v>
      </c>
      <c r="C2645">
        <f t="shared" si="206"/>
        <v>742437.16591910506</v>
      </c>
      <c r="D2645">
        <v>23457</v>
      </c>
      <c r="E2645">
        <f t="shared" si="207"/>
        <v>2.3456999999999999</v>
      </c>
      <c r="F2645">
        <f t="shared" si="208"/>
        <v>-1.0341559833506726</v>
      </c>
      <c r="G2645">
        <f t="shared" si="209"/>
        <v>1.0694785978999966</v>
      </c>
    </row>
    <row r="2646" spans="1:7" x14ac:dyDescent="0.35">
      <c r="A2646">
        <v>2200</v>
      </c>
      <c r="B2646">
        <f t="shared" si="205"/>
        <v>861.64793617759278</v>
      </c>
      <c r="C2646">
        <f t="shared" si="206"/>
        <v>742437.16591910506</v>
      </c>
      <c r="D2646">
        <v>15549</v>
      </c>
      <c r="E2646">
        <f t="shared" si="207"/>
        <v>1.5548999999999999</v>
      </c>
      <c r="F2646">
        <f t="shared" si="208"/>
        <v>-1.8249559833506726</v>
      </c>
      <c r="G2646">
        <f t="shared" si="209"/>
        <v>3.3304643411674202</v>
      </c>
    </row>
    <row r="2647" spans="1:7" x14ac:dyDescent="0.35">
      <c r="A2647">
        <v>2200</v>
      </c>
      <c r="B2647">
        <f t="shared" si="205"/>
        <v>861.64793617759278</v>
      </c>
      <c r="C2647">
        <f t="shared" si="206"/>
        <v>742437.16591910506</v>
      </c>
      <c r="D2647">
        <v>22343</v>
      </c>
      <c r="E2647">
        <f t="shared" si="207"/>
        <v>2.2343000000000002</v>
      </c>
      <c r="F2647">
        <f t="shared" si="208"/>
        <v>-1.1455559833506723</v>
      </c>
      <c r="G2647">
        <f t="shared" si="209"/>
        <v>1.3122985109905259</v>
      </c>
    </row>
    <row r="2648" spans="1:7" x14ac:dyDescent="0.35">
      <c r="A2648">
        <v>2200</v>
      </c>
      <c r="B2648">
        <f t="shared" si="205"/>
        <v>861.64793617759278</v>
      </c>
      <c r="C2648">
        <f t="shared" si="206"/>
        <v>742437.16591910506</v>
      </c>
      <c r="D2648">
        <v>11650</v>
      </c>
      <c r="E2648">
        <f t="shared" si="207"/>
        <v>1.165</v>
      </c>
      <c r="F2648">
        <f t="shared" si="208"/>
        <v>-2.2148559833506725</v>
      </c>
      <c r="G2648">
        <f t="shared" si="209"/>
        <v>4.9055870269842741</v>
      </c>
    </row>
    <row r="2649" spans="1:7" x14ac:dyDescent="0.35">
      <c r="A2649">
        <v>2200</v>
      </c>
      <c r="B2649">
        <f t="shared" si="205"/>
        <v>861.64793617759278</v>
      </c>
      <c r="C2649">
        <f t="shared" si="206"/>
        <v>742437.16591910506</v>
      </c>
      <c r="D2649">
        <v>12940</v>
      </c>
      <c r="E2649">
        <f t="shared" si="207"/>
        <v>1.294</v>
      </c>
      <c r="F2649">
        <f t="shared" si="208"/>
        <v>-2.0858559833506725</v>
      </c>
      <c r="G2649">
        <f t="shared" si="209"/>
        <v>4.3507951832798009</v>
      </c>
    </row>
    <row r="2650" spans="1:7" x14ac:dyDescent="0.35">
      <c r="A2650">
        <v>2200</v>
      </c>
      <c r="B2650">
        <f t="shared" si="205"/>
        <v>861.64793617759278</v>
      </c>
      <c r="C2650">
        <f t="shared" si="206"/>
        <v>742437.16591910506</v>
      </c>
      <c r="D2650">
        <v>9556</v>
      </c>
      <c r="E2650">
        <f t="shared" si="207"/>
        <v>0.9556</v>
      </c>
      <c r="F2650">
        <f t="shared" si="208"/>
        <v>-2.4242559833506725</v>
      </c>
      <c r="G2650">
        <f t="shared" si="209"/>
        <v>5.8770170728115358</v>
      </c>
    </row>
    <row r="2651" spans="1:7" x14ac:dyDescent="0.35">
      <c r="A2651">
        <v>2200</v>
      </c>
      <c r="B2651">
        <f t="shared" si="205"/>
        <v>861.64793617759278</v>
      </c>
      <c r="C2651">
        <f t="shared" si="206"/>
        <v>742437.16591910506</v>
      </c>
      <c r="D2651">
        <v>10410</v>
      </c>
      <c r="E2651">
        <f t="shared" si="207"/>
        <v>1.0409999999999999</v>
      </c>
      <c r="F2651">
        <f t="shared" si="208"/>
        <v>-2.3388559833506726</v>
      </c>
      <c r="G2651">
        <f t="shared" si="209"/>
        <v>5.4702473108552416</v>
      </c>
    </row>
    <row r="2652" spans="1:7" x14ac:dyDescent="0.35">
      <c r="A2652">
        <v>2200</v>
      </c>
      <c r="B2652">
        <f t="shared" si="205"/>
        <v>861.64793617759278</v>
      </c>
      <c r="C2652">
        <f t="shared" si="206"/>
        <v>742437.16591910506</v>
      </c>
      <c r="D2652">
        <v>8267</v>
      </c>
      <c r="E2652">
        <f t="shared" si="207"/>
        <v>0.82669999999999999</v>
      </c>
      <c r="F2652">
        <f t="shared" si="208"/>
        <v>-2.5531559833506723</v>
      </c>
      <c r="G2652">
        <f t="shared" si="209"/>
        <v>6.5186054753193385</v>
      </c>
    </row>
    <row r="2653" spans="1:7" x14ac:dyDescent="0.35">
      <c r="A2653">
        <v>2200</v>
      </c>
      <c r="B2653">
        <f t="shared" si="205"/>
        <v>861.64793617759278</v>
      </c>
      <c r="C2653">
        <f t="shared" si="206"/>
        <v>742437.16591910506</v>
      </c>
      <c r="D2653">
        <v>11059</v>
      </c>
      <c r="E2653">
        <f t="shared" si="207"/>
        <v>1.1059000000000001</v>
      </c>
      <c r="F2653">
        <f t="shared" si="208"/>
        <v>-2.2739559833506724</v>
      </c>
      <c r="G2653">
        <f t="shared" si="209"/>
        <v>5.1708758142163234</v>
      </c>
    </row>
    <row r="2654" spans="1:7" x14ac:dyDescent="0.35">
      <c r="A2654">
        <v>2200</v>
      </c>
      <c r="B2654">
        <f t="shared" si="205"/>
        <v>861.64793617759278</v>
      </c>
      <c r="C2654">
        <f t="shared" si="206"/>
        <v>742437.16591910506</v>
      </c>
      <c r="D2654">
        <v>12269</v>
      </c>
      <c r="E2654">
        <f t="shared" si="207"/>
        <v>1.2269000000000001</v>
      </c>
      <c r="F2654">
        <f t="shared" si="208"/>
        <v>-2.1529559833506724</v>
      </c>
      <c r="G2654">
        <f t="shared" si="209"/>
        <v>4.6352194662454611</v>
      </c>
    </row>
    <row r="2655" spans="1:7" x14ac:dyDescent="0.35">
      <c r="A2655">
        <v>2200</v>
      </c>
      <c r="B2655">
        <f t="shared" si="205"/>
        <v>861.64793617759278</v>
      </c>
      <c r="C2655">
        <f t="shared" si="206"/>
        <v>742437.16591910506</v>
      </c>
      <c r="D2655">
        <v>11398</v>
      </c>
      <c r="E2655">
        <f t="shared" si="207"/>
        <v>1.1397999999999999</v>
      </c>
      <c r="F2655">
        <f t="shared" si="208"/>
        <v>-2.2400559833506728</v>
      </c>
      <c r="G2655">
        <f t="shared" si="209"/>
        <v>5.0178508085451501</v>
      </c>
    </row>
    <row r="2656" spans="1:7" x14ac:dyDescent="0.35">
      <c r="A2656">
        <v>2200</v>
      </c>
      <c r="B2656">
        <f t="shared" si="205"/>
        <v>861.64793617759278</v>
      </c>
      <c r="C2656">
        <f t="shared" si="206"/>
        <v>742437.16591910506</v>
      </c>
      <c r="D2656">
        <v>11398</v>
      </c>
      <c r="E2656">
        <f t="shared" si="207"/>
        <v>1.1397999999999999</v>
      </c>
      <c r="F2656">
        <f t="shared" si="208"/>
        <v>-2.2400559833506728</v>
      </c>
      <c r="G2656">
        <f t="shared" si="209"/>
        <v>5.0178508085451501</v>
      </c>
    </row>
    <row r="2657" spans="1:7" x14ac:dyDescent="0.35">
      <c r="A2657">
        <v>2200</v>
      </c>
      <c r="B2657">
        <f t="shared" si="205"/>
        <v>861.64793617759278</v>
      </c>
      <c r="C2657">
        <f t="shared" si="206"/>
        <v>742437.16591910506</v>
      </c>
      <c r="D2657">
        <v>11404</v>
      </c>
      <c r="E2657">
        <f t="shared" si="207"/>
        <v>1.1404000000000001</v>
      </c>
      <c r="F2657">
        <f t="shared" si="208"/>
        <v>-2.2394559833506724</v>
      </c>
      <c r="G2657">
        <f t="shared" si="209"/>
        <v>5.0151631013651272</v>
      </c>
    </row>
    <row r="2658" spans="1:7" x14ac:dyDescent="0.35">
      <c r="A2658">
        <v>2200</v>
      </c>
      <c r="B2658">
        <f t="shared" si="205"/>
        <v>861.64793617759278</v>
      </c>
      <c r="C2658">
        <f t="shared" si="206"/>
        <v>742437.16591910506</v>
      </c>
      <c r="D2658">
        <v>8768</v>
      </c>
      <c r="E2658">
        <f t="shared" si="207"/>
        <v>0.87680000000000002</v>
      </c>
      <c r="F2658">
        <f t="shared" si="208"/>
        <v>-2.5030559833506727</v>
      </c>
      <c r="G2658">
        <f t="shared" si="209"/>
        <v>6.2652892557876028</v>
      </c>
    </row>
    <row r="2659" spans="1:7" x14ac:dyDescent="0.35">
      <c r="A2659">
        <v>2200</v>
      </c>
      <c r="B2659">
        <f t="shared" si="205"/>
        <v>861.64793617759278</v>
      </c>
      <c r="C2659">
        <f t="shared" si="206"/>
        <v>742437.16591910506</v>
      </c>
      <c r="D2659">
        <v>11404</v>
      </c>
      <c r="E2659">
        <f t="shared" si="207"/>
        <v>1.1404000000000001</v>
      </c>
      <c r="F2659">
        <f t="shared" si="208"/>
        <v>-2.2394559833506724</v>
      </c>
      <c r="G2659">
        <f t="shared" si="209"/>
        <v>5.0151631013651272</v>
      </c>
    </row>
    <row r="2660" spans="1:7" x14ac:dyDescent="0.35">
      <c r="A2660">
        <v>2200</v>
      </c>
      <c r="B2660">
        <f t="shared" si="205"/>
        <v>861.64793617759278</v>
      </c>
      <c r="C2660">
        <f t="shared" si="206"/>
        <v>742437.16591910506</v>
      </c>
      <c r="D2660">
        <v>8771</v>
      </c>
      <c r="E2660">
        <f t="shared" si="207"/>
        <v>0.87709999999999999</v>
      </c>
      <c r="F2660">
        <f t="shared" si="208"/>
        <v>-2.5027559833506725</v>
      </c>
      <c r="G2660">
        <f t="shared" si="209"/>
        <v>6.2637875121975917</v>
      </c>
    </row>
    <row r="2661" spans="1:7" x14ac:dyDescent="0.35">
      <c r="A2661">
        <v>2200</v>
      </c>
      <c r="B2661">
        <f t="shared" si="205"/>
        <v>861.64793617759278</v>
      </c>
      <c r="C2661">
        <f t="shared" si="206"/>
        <v>742437.16591910506</v>
      </c>
      <c r="D2661">
        <v>5721</v>
      </c>
      <c r="E2661">
        <f t="shared" si="207"/>
        <v>0.57210000000000005</v>
      </c>
      <c r="F2661">
        <f t="shared" si="208"/>
        <v>-2.8077559833506722</v>
      </c>
      <c r="G2661">
        <f t="shared" si="209"/>
        <v>7.8834936620415004</v>
      </c>
    </row>
    <row r="2662" spans="1:7" x14ac:dyDescent="0.35">
      <c r="A2662">
        <v>2200</v>
      </c>
      <c r="B2662">
        <f t="shared" si="205"/>
        <v>861.64793617759278</v>
      </c>
      <c r="C2662">
        <f t="shared" si="206"/>
        <v>742437.16591910506</v>
      </c>
      <c r="D2662">
        <v>8769</v>
      </c>
      <c r="E2662">
        <f t="shared" si="207"/>
        <v>0.87690000000000001</v>
      </c>
      <c r="F2662">
        <f t="shared" si="208"/>
        <v>-2.5029559833506725</v>
      </c>
      <c r="G2662">
        <f t="shared" si="209"/>
        <v>6.2647886545909319</v>
      </c>
    </row>
    <row r="2663" spans="1:7" x14ac:dyDescent="0.35">
      <c r="A2663">
        <v>593</v>
      </c>
      <c r="B2663">
        <f t="shared" si="205"/>
        <v>-745.35206382240722</v>
      </c>
      <c r="C2663">
        <f t="shared" si="206"/>
        <v>555549.69904432178</v>
      </c>
      <c r="D2663">
        <v>45166</v>
      </c>
      <c r="E2663">
        <f t="shared" si="207"/>
        <v>4.5166000000000004</v>
      </c>
      <c r="F2663">
        <f t="shared" si="208"/>
        <v>1.1367440166493279</v>
      </c>
      <c r="G2663">
        <f t="shared" si="209"/>
        <v>1.2921869593880475</v>
      </c>
    </row>
    <row r="2664" spans="1:7" x14ac:dyDescent="0.35">
      <c r="A2664">
        <v>593</v>
      </c>
      <c r="B2664">
        <f t="shared" si="205"/>
        <v>-745.35206382240722</v>
      </c>
      <c r="C2664">
        <f t="shared" si="206"/>
        <v>555549.69904432178</v>
      </c>
      <c r="D2664">
        <v>50000</v>
      </c>
      <c r="E2664">
        <f t="shared" si="207"/>
        <v>5</v>
      </c>
      <c r="F2664">
        <f t="shared" si="208"/>
        <v>1.6201440166493275</v>
      </c>
      <c r="G2664">
        <f t="shared" si="209"/>
        <v>2.6248666346846163</v>
      </c>
    </row>
    <row r="2665" spans="1:7" x14ac:dyDescent="0.35">
      <c r="A2665">
        <v>593</v>
      </c>
      <c r="B2665">
        <f t="shared" si="205"/>
        <v>-745.35206382240722</v>
      </c>
      <c r="C2665">
        <f t="shared" si="206"/>
        <v>555549.69904432178</v>
      </c>
      <c r="D2665">
        <v>51887</v>
      </c>
      <c r="E2665">
        <f t="shared" si="207"/>
        <v>5.1886999999999999</v>
      </c>
      <c r="F2665">
        <f t="shared" si="208"/>
        <v>1.8088440166493274</v>
      </c>
      <c r="G2665">
        <f t="shared" si="209"/>
        <v>3.2719166765680723</v>
      </c>
    </row>
    <row r="2666" spans="1:7" x14ac:dyDescent="0.35">
      <c r="A2666">
        <v>593</v>
      </c>
      <c r="B2666">
        <f t="shared" si="205"/>
        <v>-745.35206382240722</v>
      </c>
      <c r="C2666">
        <f t="shared" si="206"/>
        <v>555549.69904432178</v>
      </c>
      <c r="D2666">
        <v>50000</v>
      </c>
      <c r="E2666">
        <f t="shared" si="207"/>
        <v>5</v>
      </c>
      <c r="F2666">
        <f t="shared" si="208"/>
        <v>1.6201440166493275</v>
      </c>
      <c r="G2666">
        <f t="shared" si="209"/>
        <v>2.6248666346846163</v>
      </c>
    </row>
    <row r="2667" spans="1:7" x14ac:dyDescent="0.35">
      <c r="A2667">
        <v>593</v>
      </c>
      <c r="B2667">
        <f t="shared" si="205"/>
        <v>-745.35206382240722</v>
      </c>
      <c r="C2667">
        <f t="shared" si="206"/>
        <v>555549.69904432178</v>
      </c>
      <c r="D2667">
        <v>49625</v>
      </c>
      <c r="E2667">
        <f t="shared" si="207"/>
        <v>4.9625000000000004</v>
      </c>
      <c r="F2667">
        <f t="shared" si="208"/>
        <v>1.5826440166493279</v>
      </c>
      <c r="G2667">
        <f t="shared" si="209"/>
        <v>2.5047620834359181</v>
      </c>
    </row>
    <row r="2668" spans="1:7" x14ac:dyDescent="0.35">
      <c r="A2668">
        <v>593</v>
      </c>
      <c r="B2668">
        <f t="shared" si="205"/>
        <v>-745.35206382240722</v>
      </c>
      <c r="C2668">
        <f t="shared" si="206"/>
        <v>555549.69904432178</v>
      </c>
      <c r="D2668">
        <v>49505</v>
      </c>
      <c r="E2668">
        <f t="shared" si="207"/>
        <v>4.9504999999999999</v>
      </c>
      <c r="F2668">
        <f t="shared" si="208"/>
        <v>1.5706440166493274</v>
      </c>
      <c r="G2668">
        <f t="shared" si="209"/>
        <v>2.4669226270363325</v>
      </c>
    </row>
    <row r="2669" spans="1:7" x14ac:dyDescent="0.35">
      <c r="A2669">
        <v>593</v>
      </c>
      <c r="B2669">
        <f t="shared" si="205"/>
        <v>-745.35206382240722</v>
      </c>
      <c r="C2669">
        <f t="shared" si="206"/>
        <v>555549.69904432178</v>
      </c>
      <c r="D2669">
        <v>50026</v>
      </c>
      <c r="E2669">
        <f t="shared" si="207"/>
        <v>5.0026000000000002</v>
      </c>
      <c r="F2669">
        <f t="shared" si="208"/>
        <v>1.6227440166493277</v>
      </c>
      <c r="G2669">
        <f t="shared" si="209"/>
        <v>2.6332981435711935</v>
      </c>
    </row>
    <row r="2670" spans="1:7" x14ac:dyDescent="0.35">
      <c r="A2670">
        <v>593</v>
      </c>
      <c r="B2670">
        <f t="shared" si="205"/>
        <v>-745.35206382240722</v>
      </c>
      <c r="C2670">
        <f t="shared" si="206"/>
        <v>555549.69904432178</v>
      </c>
      <c r="D2670">
        <v>50176</v>
      </c>
      <c r="E2670">
        <f t="shared" si="207"/>
        <v>5.0175999999999998</v>
      </c>
      <c r="F2670">
        <f t="shared" si="208"/>
        <v>1.6377440166493273</v>
      </c>
      <c r="G2670">
        <f t="shared" si="209"/>
        <v>2.6822054640706723</v>
      </c>
    </row>
    <row r="2671" spans="1:7" x14ac:dyDescent="0.35">
      <c r="A2671">
        <v>593</v>
      </c>
      <c r="B2671">
        <f t="shared" si="205"/>
        <v>-745.35206382240722</v>
      </c>
      <c r="C2671">
        <f t="shared" si="206"/>
        <v>555549.69904432178</v>
      </c>
      <c r="D2671">
        <v>50554</v>
      </c>
      <c r="E2671">
        <f t="shared" si="207"/>
        <v>5.0553999999999997</v>
      </c>
      <c r="F2671">
        <f t="shared" si="208"/>
        <v>1.6755440166493272</v>
      </c>
      <c r="G2671">
        <f t="shared" si="209"/>
        <v>2.8074477517293608</v>
      </c>
    </row>
    <row r="2672" spans="1:7" x14ac:dyDescent="0.35">
      <c r="A2672">
        <v>593</v>
      </c>
      <c r="B2672">
        <f t="shared" si="205"/>
        <v>-745.35206382240722</v>
      </c>
      <c r="C2672">
        <f t="shared" si="206"/>
        <v>555549.69904432178</v>
      </c>
      <c r="D2672">
        <v>50045</v>
      </c>
      <c r="E2672">
        <f t="shared" si="207"/>
        <v>5.0045000000000002</v>
      </c>
      <c r="F2672">
        <f t="shared" si="208"/>
        <v>1.6246440166493277</v>
      </c>
      <c r="G2672">
        <f t="shared" si="209"/>
        <v>2.6394681808344611</v>
      </c>
    </row>
    <row r="2673" spans="1:7" x14ac:dyDescent="0.35">
      <c r="A2673">
        <v>593</v>
      </c>
      <c r="B2673">
        <f t="shared" si="205"/>
        <v>-745.35206382240722</v>
      </c>
      <c r="C2673">
        <f t="shared" si="206"/>
        <v>555549.69904432178</v>
      </c>
      <c r="D2673">
        <v>51114</v>
      </c>
      <c r="E2673">
        <f t="shared" si="207"/>
        <v>5.1113999999999997</v>
      </c>
      <c r="F2673">
        <f t="shared" si="208"/>
        <v>1.7315440166493272</v>
      </c>
      <c r="G2673">
        <f t="shared" si="209"/>
        <v>2.9982446815940857</v>
      </c>
    </row>
    <row r="2674" spans="1:7" x14ac:dyDescent="0.35">
      <c r="A2674">
        <v>593</v>
      </c>
      <c r="B2674">
        <f t="shared" si="205"/>
        <v>-745.35206382240722</v>
      </c>
      <c r="C2674">
        <f t="shared" si="206"/>
        <v>555549.69904432178</v>
      </c>
      <c r="D2674">
        <v>50005</v>
      </c>
      <c r="E2674">
        <f t="shared" si="207"/>
        <v>5.0004999999999997</v>
      </c>
      <c r="F2674">
        <f t="shared" si="208"/>
        <v>1.6206440166493272</v>
      </c>
      <c r="G2674">
        <f t="shared" si="209"/>
        <v>2.6264870287012649</v>
      </c>
    </row>
    <row r="2675" spans="1:7" x14ac:dyDescent="0.35">
      <c r="A2675">
        <v>593</v>
      </c>
      <c r="B2675">
        <f t="shared" si="205"/>
        <v>-745.35206382240722</v>
      </c>
      <c r="C2675">
        <f t="shared" si="206"/>
        <v>555549.69904432178</v>
      </c>
      <c r="D2675">
        <v>52601</v>
      </c>
      <c r="E2675">
        <f t="shared" si="207"/>
        <v>5.2601000000000004</v>
      </c>
      <c r="F2675">
        <f t="shared" si="208"/>
        <v>1.8802440166493279</v>
      </c>
      <c r="G2675">
        <f t="shared" si="209"/>
        <v>3.5353175621455981</v>
      </c>
    </row>
    <row r="2676" spans="1:7" x14ac:dyDescent="0.35">
      <c r="A2676">
        <v>593</v>
      </c>
      <c r="B2676">
        <f t="shared" si="205"/>
        <v>-745.35206382240722</v>
      </c>
      <c r="C2676">
        <f t="shared" si="206"/>
        <v>555549.69904432178</v>
      </c>
      <c r="D2676">
        <v>52321</v>
      </c>
      <c r="E2676">
        <f t="shared" si="207"/>
        <v>5.2321</v>
      </c>
      <c r="F2676">
        <f t="shared" si="208"/>
        <v>1.8522440166493275</v>
      </c>
      <c r="G2676">
        <f t="shared" si="209"/>
        <v>3.4308078972132341</v>
      </c>
    </row>
    <row r="2677" spans="1:7" x14ac:dyDescent="0.35">
      <c r="A2677">
        <v>593</v>
      </c>
      <c r="B2677">
        <f t="shared" si="205"/>
        <v>-745.35206382240722</v>
      </c>
      <c r="C2677">
        <f t="shared" si="206"/>
        <v>555549.69904432178</v>
      </c>
      <c r="D2677">
        <v>60492</v>
      </c>
      <c r="E2677">
        <f t="shared" si="207"/>
        <v>6.0491999999999999</v>
      </c>
      <c r="F2677">
        <f t="shared" si="208"/>
        <v>2.6693440166493274</v>
      </c>
      <c r="G2677">
        <f t="shared" si="209"/>
        <v>7.1253974792215651</v>
      </c>
    </row>
    <row r="2678" spans="1:7" x14ac:dyDescent="0.35">
      <c r="A2678">
        <v>593</v>
      </c>
      <c r="B2678">
        <f t="shared" si="205"/>
        <v>-745.35206382240722</v>
      </c>
      <c r="C2678">
        <f t="shared" si="206"/>
        <v>555549.69904432178</v>
      </c>
      <c r="D2678">
        <v>61017</v>
      </c>
      <c r="E2678">
        <f t="shared" si="207"/>
        <v>6.1017000000000001</v>
      </c>
      <c r="F2678">
        <f t="shared" si="208"/>
        <v>2.7218440166493276</v>
      </c>
      <c r="G2678">
        <f t="shared" si="209"/>
        <v>7.4084348509697451</v>
      </c>
    </row>
    <row r="2679" spans="1:7" x14ac:dyDescent="0.35">
      <c r="A2679">
        <v>593</v>
      </c>
      <c r="B2679">
        <f t="shared" si="205"/>
        <v>-745.35206382240722</v>
      </c>
      <c r="C2679">
        <f t="shared" si="206"/>
        <v>555549.69904432178</v>
      </c>
      <c r="D2679">
        <v>60192</v>
      </c>
      <c r="E2679">
        <f t="shared" si="207"/>
        <v>6.0191999999999997</v>
      </c>
      <c r="F2679">
        <f t="shared" si="208"/>
        <v>2.6393440166493272</v>
      </c>
      <c r="G2679">
        <f t="shared" si="209"/>
        <v>6.9661368382226039</v>
      </c>
    </row>
    <row r="2680" spans="1:7" x14ac:dyDescent="0.35">
      <c r="A2680">
        <v>593</v>
      </c>
      <c r="B2680">
        <f t="shared" si="205"/>
        <v>-745.35206382240722</v>
      </c>
      <c r="C2680">
        <f t="shared" si="206"/>
        <v>555549.69904432178</v>
      </c>
      <c r="D2680">
        <v>70010</v>
      </c>
      <c r="E2680">
        <f t="shared" si="207"/>
        <v>7.0010000000000003</v>
      </c>
      <c r="F2680">
        <f t="shared" si="208"/>
        <v>3.6211440166493278</v>
      </c>
      <c r="G2680">
        <f t="shared" si="209"/>
        <v>13.112683989315228</v>
      </c>
    </row>
    <row r="2681" spans="1:7" x14ac:dyDescent="0.35">
      <c r="A2681">
        <v>593</v>
      </c>
      <c r="B2681">
        <f t="shared" si="205"/>
        <v>-745.35206382240722</v>
      </c>
      <c r="C2681">
        <f t="shared" si="206"/>
        <v>555549.69904432178</v>
      </c>
      <c r="D2681">
        <v>70664</v>
      </c>
      <c r="E2681">
        <f t="shared" si="207"/>
        <v>7.0663999999999998</v>
      </c>
      <c r="F2681">
        <f t="shared" si="208"/>
        <v>3.6865440166493273</v>
      </c>
      <c r="G2681">
        <f t="shared" si="209"/>
        <v>13.590606786692955</v>
      </c>
    </row>
    <row r="2682" spans="1:7" x14ac:dyDescent="0.35">
      <c r="A2682">
        <v>593</v>
      </c>
      <c r="B2682">
        <f t="shared" si="205"/>
        <v>-745.35206382240722</v>
      </c>
      <c r="C2682">
        <f t="shared" si="206"/>
        <v>555549.69904432178</v>
      </c>
      <c r="D2682">
        <v>70273</v>
      </c>
      <c r="E2682">
        <f t="shared" si="207"/>
        <v>7.0273000000000003</v>
      </c>
      <c r="F2682">
        <f t="shared" si="208"/>
        <v>3.6474440166493278</v>
      </c>
      <c r="G2682">
        <f t="shared" si="209"/>
        <v>13.303847854590982</v>
      </c>
    </row>
    <row r="2683" spans="1:7" x14ac:dyDescent="0.35">
      <c r="A2683">
        <v>593</v>
      </c>
      <c r="B2683">
        <f t="shared" si="205"/>
        <v>-745.35206382240722</v>
      </c>
      <c r="C2683">
        <f t="shared" si="206"/>
        <v>555549.69904432178</v>
      </c>
      <c r="D2683">
        <v>69084</v>
      </c>
      <c r="E2683">
        <f t="shared" si="207"/>
        <v>6.9084000000000003</v>
      </c>
      <c r="F2683">
        <f t="shared" si="208"/>
        <v>3.5285440166493278</v>
      </c>
      <c r="G2683">
        <f t="shared" si="209"/>
        <v>12.450622877431773</v>
      </c>
    </row>
    <row r="2684" spans="1:7" x14ac:dyDescent="0.35">
      <c r="A2684">
        <v>593</v>
      </c>
      <c r="B2684">
        <f t="shared" si="205"/>
        <v>-745.35206382240722</v>
      </c>
      <c r="C2684">
        <f t="shared" si="206"/>
        <v>555549.69904432178</v>
      </c>
      <c r="D2684">
        <v>75716</v>
      </c>
      <c r="E2684">
        <f t="shared" si="207"/>
        <v>7.5716000000000001</v>
      </c>
      <c r="F2684">
        <f t="shared" si="208"/>
        <v>4.1917440166493272</v>
      </c>
      <c r="G2684">
        <f t="shared" si="209"/>
        <v>17.570717901115433</v>
      </c>
    </row>
    <row r="2685" spans="1:7" x14ac:dyDescent="0.35">
      <c r="A2685">
        <v>593</v>
      </c>
      <c r="B2685">
        <f t="shared" si="205"/>
        <v>-745.35206382240722</v>
      </c>
      <c r="C2685">
        <f t="shared" si="206"/>
        <v>555549.69904432178</v>
      </c>
      <c r="D2685">
        <v>77765</v>
      </c>
      <c r="E2685">
        <f t="shared" si="207"/>
        <v>7.7765000000000004</v>
      </c>
      <c r="F2685">
        <f t="shared" si="208"/>
        <v>4.3966440166493275</v>
      </c>
      <c r="G2685">
        <f t="shared" si="209"/>
        <v>19.330478609138332</v>
      </c>
    </row>
    <row r="2686" spans="1:7" x14ac:dyDescent="0.35">
      <c r="A2686">
        <v>593</v>
      </c>
      <c r="B2686">
        <f t="shared" si="205"/>
        <v>-745.35206382240722</v>
      </c>
      <c r="C2686">
        <f t="shared" si="206"/>
        <v>555549.69904432178</v>
      </c>
      <c r="D2686">
        <v>86899</v>
      </c>
      <c r="E2686">
        <f t="shared" si="207"/>
        <v>8.6898999999999997</v>
      </c>
      <c r="F2686">
        <f t="shared" si="208"/>
        <v>5.3100440166493268</v>
      </c>
      <c r="G2686">
        <f t="shared" si="209"/>
        <v>28.196567458753314</v>
      </c>
    </row>
    <row r="2687" spans="1:7" x14ac:dyDescent="0.35">
      <c r="A2687">
        <v>593</v>
      </c>
      <c r="B2687">
        <f t="shared" si="205"/>
        <v>-745.35206382240722</v>
      </c>
      <c r="C2687">
        <f t="shared" si="206"/>
        <v>555549.69904432178</v>
      </c>
      <c r="D2687">
        <v>90559</v>
      </c>
      <c r="E2687">
        <f t="shared" si="207"/>
        <v>9.0558999999999994</v>
      </c>
      <c r="F2687">
        <f t="shared" si="208"/>
        <v>5.6760440166493265</v>
      </c>
      <c r="G2687">
        <f t="shared" si="209"/>
        <v>32.217475678940616</v>
      </c>
    </row>
    <row r="2688" spans="1:7" x14ac:dyDescent="0.35">
      <c r="A2688">
        <v>593</v>
      </c>
      <c r="B2688">
        <f t="shared" si="205"/>
        <v>-745.35206382240722</v>
      </c>
      <c r="C2688">
        <f t="shared" si="206"/>
        <v>555549.69904432178</v>
      </c>
      <c r="D2688">
        <v>73539</v>
      </c>
      <c r="E2688">
        <f t="shared" si="207"/>
        <v>7.3539000000000003</v>
      </c>
      <c r="F2688">
        <f t="shared" si="208"/>
        <v>3.9740440166493278</v>
      </c>
      <c r="G2688">
        <f t="shared" si="209"/>
        <v>15.793025846266323</v>
      </c>
    </row>
    <row r="2689" spans="1:7" x14ac:dyDescent="0.35">
      <c r="A2689">
        <v>593</v>
      </c>
      <c r="B2689">
        <f t="shared" si="205"/>
        <v>-745.35206382240722</v>
      </c>
      <c r="C2689">
        <f t="shared" si="206"/>
        <v>555549.69904432178</v>
      </c>
      <c r="D2689">
        <v>81380</v>
      </c>
      <c r="E2689">
        <f t="shared" si="207"/>
        <v>8.1379999999999999</v>
      </c>
      <c r="F2689">
        <f t="shared" si="208"/>
        <v>4.758144016649327</v>
      </c>
      <c r="G2689">
        <f t="shared" si="209"/>
        <v>22.639934483175789</v>
      </c>
    </row>
    <row r="2690" spans="1:7" x14ac:dyDescent="0.35">
      <c r="A2690">
        <v>593</v>
      </c>
      <c r="B2690">
        <f t="shared" si="205"/>
        <v>-745.35206382240722</v>
      </c>
      <c r="C2690">
        <f t="shared" si="206"/>
        <v>555549.69904432178</v>
      </c>
      <c r="D2690">
        <v>74856</v>
      </c>
      <c r="E2690">
        <f t="shared" si="207"/>
        <v>7.4855999999999998</v>
      </c>
      <c r="F2690">
        <f t="shared" si="208"/>
        <v>4.1057440166493269</v>
      </c>
      <c r="G2690">
        <f t="shared" si="209"/>
        <v>16.857133930251749</v>
      </c>
    </row>
    <row r="2691" spans="1:7" x14ac:dyDescent="0.35">
      <c r="A2691">
        <v>593</v>
      </c>
      <c r="B2691">
        <f t="shared" ref="B2691:B2754" si="210">A2691-$J$1</f>
        <v>-745.35206382240722</v>
      </c>
      <c r="C2691">
        <f t="shared" ref="C2691:C2754" si="211">B2691^2</f>
        <v>555549.69904432178</v>
      </c>
      <c r="D2691">
        <v>79409</v>
      </c>
      <c r="E2691">
        <f t="shared" ref="E2691:E2754" si="212">D2691/10000</f>
        <v>7.9409000000000001</v>
      </c>
      <c r="F2691">
        <f t="shared" ref="F2691:F2754" si="213">E2691-$J$2</f>
        <v>4.561044016649328</v>
      </c>
      <c r="G2691">
        <f t="shared" ref="G2691:G2754" si="214">F2691^2</f>
        <v>20.803122521812636</v>
      </c>
    </row>
    <row r="2692" spans="1:7" x14ac:dyDescent="0.35">
      <c r="A2692">
        <v>593</v>
      </c>
      <c r="B2692">
        <f t="shared" si="210"/>
        <v>-745.35206382240722</v>
      </c>
      <c r="C2692">
        <f t="shared" si="211"/>
        <v>555549.69904432178</v>
      </c>
      <c r="D2692">
        <v>79272</v>
      </c>
      <c r="E2692">
        <f t="shared" si="212"/>
        <v>7.9272</v>
      </c>
      <c r="F2692">
        <f t="shared" si="213"/>
        <v>4.547344016649328</v>
      </c>
      <c r="G2692">
        <f t="shared" si="214"/>
        <v>20.678337605756443</v>
      </c>
    </row>
    <row r="2693" spans="1:7" x14ac:dyDescent="0.35">
      <c r="A2693">
        <v>161</v>
      </c>
      <c r="B2693">
        <f t="shared" si="210"/>
        <v>-1177.3520638224072</v>
      </c>
      <c r="C2693">
        <f t="shared" si="211"/>
        <v>1386157.8821868817</v>
      </c>
      <c r="D2693">
        <v>22794</v>
      </c>
      <c r="E2693">
        <f t="shared" si="212"/>
        <v>2.2793999999999999</v>
      </c>
      <c r="F2693">
        <f t="shared" si="213"/>
        <v>-1.1004559833506726</v>
      </c>
      <c r="G2693">
        <f t="shared" si="214"/>
        <v>1.2110033712922958</v>
      </c>
    </row>
    <row r="2694" spans="1:7" x14ac:dyDescent="0.35">
      <c r="A2694">
        <v>161</v>
      </c>
      <c r="B2694">
        <f t="shared" si="210"/>
        <v>-1177.3520638224072</v>
      </c>
      <c r="C2694">
        <f t="shared" si="211"/>
        <v>1386157.8821868817</v>
      </c>
      <c r="D2694">
        <v>22746</v>
      </c>
      <c r="E2694">
        <f t="shared" si="212"/>
        <v>2.2746</v>
      </c>
      <c r="F2694">
        <f t="shared" si="213"/>
        <v>-1.1052559833506725</v>
      </c>
      <c r="G2694">
        <f t="shared" si="214"/>
        <v>1.2215907887324622</v>
      </c>
    </row>
    <row r="2695" spans="1:7" x14ac:dyDescent="0.35">
      <c r="A2695">
        <v>161</v>
      </c>
      <c r="B2695">
        <f t="shared" si="210"/>
        <v>-1177.3520638224072</v>
      </c>
      <c r="C2695">
        <f t="shared" si="211"/>
        <v>1386157.8821868817</v>
      </c>
      <c r="D2695">
        <v>24865</v>
      </c>
      <c r="E2695">
        <f t="shared" si="212"/>
        <v>2.4864999999999999</v>
      </c>
      <c r="F2695">
        <f t="shared" si="213"/>
        <v>-0.89335598335067257</v>
      </c>
      <c r="G2695">
        <f t="shared" si="214"/>
        <v>0.79808491298844719</v>
      </c>
    </row>
    <row r="2696" spans="1:7" x14ac:dyDescent="0.35">
      <c r="A2696">
        <v>161</v>
      </c>
      <c r="B2696">
        <f t="shared" si="210"/>
        <v>-1177.3520638224072</v>
      </c>
      <c r="C2696">
        <f t="shared" si="211"/>
        <v>1386157.8821868817</v>
      </c>
      <c r="D2696">
        <v>27103</v>
      </c>
      <c r="E2696">
        <f t="shared" si="212"/>
        <v>2.7103000000000002</v>
      </c>
      <c r="F2696">
        <f t="shared" si="213"/>
        <v>-0.66955598335067235</v>
      </c>
      <c r="G2696">
        <f t="shared" si="214"/>
        <v>0.44830521484068581</v>
      </c>
    </row>
    <row r="2697" spans="1:7" x14ac:dyDescent="0.35">
      <c r="A2697">
        <v>161</v>
      </c>
      <c r="B2697">
        <f t="shared" si="210"/>
        <v>-1177.3520638224072</v>
      </c>
      <c r="C2697">
        <f t="shared" si="211"/>
        <v>1386157.8821868817</v>
      </c>
      <c r="D2697">
        <v>12750</v>
      </c>
      <c r="E2697">
        <f t="shared" si="212"/>
        <v>1.2749999999999999</v>
      </c>
      <c r="F2697">
        <f t="shared" si="213"/>
        <v>-2.1048559833506726</v>
      </c>
      <c r="G2697">
        <f t="shared" si="214"/>
        <v>4.4304187106471264</v>
      </c>
    </row>
    <row r="2698" spans="1:7" x14ac:dyDescent="0.35">
      <c r="A2698">
        <v>161</v>
      </c>
      <c r="B2698">
        <f t="shared" si="210"/>
        <v>-1177.3520638224072</v>
      </c>
      <c r="C2698">
        <f t="shared" si="211"/>
        <v>1386157.8821868817</v>
      </c>
      <c r="D2698">
        <v>8406</v>
      </c>
      <c r="E2698">
        <f t="shared" si="212"/>
        <v>0.84060000000000001</v>
      </c>
      <c r="F2698">
        <f t="shared" si="213"/>
        <v>-2.5392559833506727</v>
      </c>
      <c r="G2698">
        <f t="shared" si="214"/>
        <v>6.4478209489821916</v>
      </c>
    </row>
    <row r="2699" spans="1:7" x14ac:dyDescent="0.35">
      <c r="A2699">
        <v>161</v>
      </c>
      <c r="B2699">
        <f t="shared" si="210"/>
        <v>-1177.3520638224072</v>
      </c>
      <c r="C2699">
        <f t="shared" si="211"/>
        <v>1386157.8821868817</v>
      </c>
      <c r="D2699">
        <v>6850</v>
      </c>
      <c r="E2699">
        <f t="shared" si="212"/>
        <v>0.68500000000000005</v>
      </c>
      <c r="F2699">
        <f t="shared" si="213"/>
        <v>-2.6948559833506724</v>
      </c>
      <c r="G2699">
        <f t="shared" si="214"/>
        <v>7.2622487710009196</v>
      </c>
    </row>
    <row r="2700" spans="1:7" x14ac:dyDescent="0.35">
      <c r="A2700">
        <v>161</v>
      </c>
      <c r="B2700">
        <f t="shared" si="210"/>
        <v>-1177.3520638224072</v>
      </c>
      <c r="C2700">
        <f t="shared" si="211"/>
        <v>1386157.8821868817</v>
      </c>
      <c r="D2700">
        <v>11100</v>
      </c>
      <c r="E2700">
        <f t="shared" si="212"/>
        <v>1.1100000000000001</v>
      </c>
      <c r="F2700">
        <f t="shared" si="213"/>
        <v>-2.2698559833506726</v>
      </c>
      <c r="G2700">
        <f t="shared" si="214"/>
        <v>5.1522461851528494</v>
      </c>
    </row>
    <row r="2701" spans="1:7" x14ac:dyDescent="0.35">
      <c r="A2701">
        <v>161</v>
      </c>
      <c r="B2701">
        <f t="shared" si="210"/>
        <v>-1177.3520638224072</v>
      </c>
      <c r="C2701">
        <f t="shared" si="211"/>
        <v>1386157.8821868817</v>
      </c>
      <c r="D2701">
        <v>3900</v>
      </c>
      <c r="E2701">
        <f t="shared" si="212"/>
        <v>0.39</v>
      </c>
      <c r="F2701">
        <f t="shared" si="213"/>
        <v>-2.9898559833506724</v>
      </c>
      <c r="G2701">
        <f t="shared" si="214"/>
        <v>8.9392388011778152</v>
      </c>
    </row>
    <row r="2702" spans="1:7" x14ac:dyDescent="0.35">
      <c r="A2702">
        <v>161</v>
      </c>
      <c r="B2702">
        <f t="shared" si="210"/>
        <v>-1177.3520638224072</v>
      </c>
      <c r="C2702">
        <f t="shared" si="211"/>
        <v>1386157.8821868817</v>
      </c>
      <c r="D2702">
        <v>11143</v>
      </c>
      <c r="E2702">
        <f t="shared" si="212"/>
        <v>1.1143000000000001</v>
      </c>
      <c r="F2702">
        <f t="shared" si="213"/>
        <v>-2.2655559833506724</v>
      </c>
      <c r="G2702">
        <f t="shared" si="214"/>
        <v>5.1327439136960322</v>
      </c>
    </row>
    <row r="2703" spans="1:7" x14ac:dyDescent="0.35">
      <c r="A2703">
        <v>161</v>
      </c>
      <c r="B2703">
        <f t="shared" si="210"/>
        <v>-1177.3520638224072</v>
      </c>
      <c r="C2703">
        <f t="shared" si="211"/>
        <v>1386157.8821868817</v>
      </c>
      <c r="D2703">
        <v>19048</v>
      </c>
      <c r="E2703">
        <f t="shared" si="212"/>
        <v>1.9048</v>
      </c>
      <c r="F2703">
        <f t="shared" si="213"/>
        <v>-1.4750559833506725</v>
      </c>
      <c r="G2703">
        <f t="shared" si="214"/>
        <v>2.1757901540186193</v>
      </c>
    </row>
    <row r="2704" spans="1:7" x14ac:dyDescent="0.35">
      <c r="A2704">
        <v>161</v>
      </c>
      <c r="B2704">
        <f t="shared" si="210"/>
        <v>-1177.3520638224072</v>
      </c>
      <c r="C2704">
        <f t="shared" si="211"/>
        <v>1386157.8821868817</v>
      </c>
      <c r="D2704">
        <v>22000</v>
      </c>
      <c r="E2704">
        <f t="shared" si="212"/>
        <v>2.2000000000000002</v>
      </c>
      <c r="F2704">
        <f t="shared" si="213"/>
        <v>-1.1798559833506723</v>
      </c>
      <c r="G2704">
        <f t="shared" si="214"/>
        <v>1.392060141448382</v>
      </c>
    </row>
    <row r="2705" spans="1:7" x14ac:dyDescent="0.35">
      <c r="A2705">
        <v>161</v>
      </c>
      <c r="B2705">
        <f t="shared" si="210"/>
        <v>-1177.3520638224072</v>
      </c>
      <c r="C2705">
        <f t="shared" si="211"/>
        <v>1386157.8821868817</v>
      </c>
      <c r="D2705">
        <v>21818</v>
      </c>
      <c r="E2705">
        <f t="shared" si="212"/>
        <v>2.1818</v>
      </c>
      <c r="F2705">
        <f t="shared" si="213"/>
        <v>-1.1980559833506725</v>
      </c>
      <c r="G2705">
        <f t="shared" si="214"/>
        <v>1.435338139242347</v>
      </c>
    </row>
    <row r="2706" spans="1:7" x14ac:dyDescent="0.35">
      <c r="A2706">
        <v>161</v>
      </c>
      <c r="B2706">
        <f t="shared" si="210"/>
        <v>-1177.3520638224072</v>
      </c>
      <c r="C2706">
        <f t="shared" si="211"/>
        <v>1386157.8821868817</v>
      </c>
      <c r="D2706">
        <v>24107</v>
      </c>
      <c r="E2706">
        <f t="shared" si="212"/>
        <v>2.4106999999999998</v>
      </c>
      <c r="F2706">
        <f t="shared" si="213"/>
        <v>-0.96915598335067266</v>
      </c>
      <c r="G2706">
        <f t="shared" si="214"/>
        <v>0.93926332006440927</v>
      </c>
    </row>
    <row r="2707" spans="1:7" x14ac:dyDescent="0.35">
      <c r="A2707">
        <v>161</v>
      </c>
      <c r="B2707">
        <f t="shared" si="210"/>
        <v>-1177.3520638224072</v>
      </c>
      <c r="C2707">
        <f t="shared" si="211"/>
        <v>1386157.8821868817</v>
      </c>
      <c r="D2707">
        <v>13000</v>
      </c>
      <c r="E2707">
        <f t="shared" si="212"/>
        <v>1.3</v>
      </c>
      <c r="F2707">
        <f t="shared" si="213"/>
        <v>-2.0798559833506722</v>
      </c>
      <c r="G2707">
        <f t="shared" si="214"/>
        <v>4.3258009114795914</v>
      </c>
    </row>
    <row r="2708" spans="1:7" x14ac:dyDescent="0.35">
      <c r="A2708">
        <v>161</v>
      </c>
      <c r="B2708">
        <f t="shared" si="210"/>
        <v>-1177.3520638224072</v>
      </c>
      <c r="C2708">
        <f t="shared" si="211"/>
        <v>1386157.8821868817</v>
      </c>
      <c r="D2708">
        <v>11000</v>
      </c>
      <c r="E2708">
        <f t="shared" si="212"/>
        <v>1.1000000000000001</v>
      </c>
      <c r="F2708">
        <f t="shared" si="213"/>
        <v>-2.2798559833506724</v>
      </c>
      <c r="G2708">
        <f t="shared" si="214"/>
        <v>5.1977433048198618</v>
      </c>
    </row>
    <row r="2709" spans="1:7" x14ac:dyDescent="0.35">
      <c r="A2709">
        <v>161</v>
      </c>
      <c r="B2709">
        <f t="shared" si="210"/>
        <v>-1177.3520638224072</v>
      </c>
      <c r="C2709">
        <f t="shared" si="211"/>
        <v>1386157.8821868817</v>
      </c>
      <c r="D2709">
        <v>16000</v>
      </c>
      <c r="E2709">
        <f t="shared" si="212"/>
        <v>1.6</v>
      </c>
      <c r="F2709">
        <f t="shared" si="213"/>
        <v>-1.7798559833506724</v>
      </c>
      <c r="G2709">
        <f t="shared" si="214"/>
        <v>3.1678873214691889</v>
      </c>
    </row>
    <row r="2710" spans="1:7" x14ac:dyDescent="0.35">
      <c r="A2710">
        <v>161</v>
      </c>
      <c r="B2710">
        <f t="shared" si="210"/>
        <v>-1177.3520638224072</v>
      </c>
      <c r="C2710">
        <f t="shared" si="211"/>
        <v>1386157.8821868817</v>
      </c>
      <c r="D2710">
        <v>17000</v>
      </c>
      <c r="E2710">
        <f t="shared" si="212"/>
        <v>1.7</v>
      </c>
      <c r="F2710">
        <f t="shared" si="213"/>
        <v>-1.6798559833506725</v>
      </c>
      <c r="G2710">
        <f t="shared" si="214"/>
        <v>2.821916124799055</v>
      </c>
    </row>
    <row r="2711" spans="1:7" x14ac:dyDescent="0.35">
      <c r="A2711">
        <v>161</v>
      </c>
      <c r="B2711">
        <f t="shared" si="210"/>
        <v>-1177.3520638224072</v>
      </c>
      <c r="C2711">
        <f t="shared" si="211"/>
        <v>1386157.8821868817</v>
      </c>
      <c r="D2711">
        <v>15000</v>
      </c>
      <c r="E2711">
        <f t="shared" si="212"/>
        <v>1.5</v>
      </c>
      <c r="F2711">
        <f t="shared" si="213"/>
        <v>-1.8798559833506725</v>
      </c>
      <c r="G2711">
        <f t="shared" si="214"/>
        <v>3.5338585181393238</v>
      </c>
    </row>
    <row r="2712" spans="1:7" x14ac:dyDescent="0.35">
      <c r="A2712">
        <v>161</v>
      </c>
      <c r="B2712">
        <f t="shared" si="210"/>
        <v>-1177.3520638224072</v>
      </c>
      <c r="C2712">
        <f t="shared" si="211"/>
        <v>1386157.8821868817</v>
      </c>
      <c r="D2712">
        <v>13309</v>
      </c>
      <c r="E2712">
        <f t="shared" si="212"/>
        <v>1.3309</v>
      </c>
      <c r="F2712">
        <f t="shared" si="213"/>
        <v>-2.0489559833506723</v>
      </c>
      <c r="G2712">
        <f t="shared" si="214"/>
        <v>4.1982206217085203</v>
      </c>
    </row>
    <row r="2713" spans="1:7" x14ac:dyDescent="0.35">
      <c r="A2713">
        <v>161</v>
      </c>
      <c r="B2713">
        <f t="shared" si="210"/>
        <v>-1177.3520638224072</v>
      </c>
      <c r="C2713">
        <f t="shared" si="211"/>
        <v>1386157.8821868817</v>
      </c>
      <c r="D2713">
        <v>11533</v>
      </c>
      <c r="E2713">
        <f t="shared" si="212"/>
        <v>1.1533</v>
      </c>
      <c r="F2713">
        <f t="shared" si="213"/>
        <v>-2.2265559833506723</v>
      </c>
      <c r="G2713">
        <f t="shared" si="214"/>
        <v>4.9575515469946794</v>
      </c>
    </row>
    <row r="2714" spans="1:7" x14ac:dyDescent="0.35">
      <c r="A2714">
        <v>161</v>
      </c>
      <c r="B2714">
        <f t="shared" si="210"/>
        <v>-1177.3520638224072</v>
      </c>
      <c r="C2714">
        <f t="shared" si="211"/>
        <v>1386157.8821868817</v>
      </c>
      <c r="D2714">
        <v>10298</v>
      </c>
      <c r="E2714">
        <f t="shared" si="212"/>
        <v>1.0298</v>
      </c>
      <c r="F2714">
        <f t="shared" si="213"/>
        <v>-2.3500559833506722</v>
      </c>
      <c r="G2714">
        <f t="shared" si="214"/>
        <v>5.522763124882295</v>
      </c>
    </row>
    <row r="2715" spans="1:7" x14ac:dyDescent="0.35">
      <c r="A2715">
        <v>161</v>
      </c>
      <c r="B2715">
        <f t="shared" si="210"/>
        <v>-1177.3520638224072</v>
      </c>
      <c r="C2715">
        <f t="shared" si="211"/>
        <v>1386157.8821868817</v>
      </c>
      <c r="D2715">
        <v>9562</v>
      </c>
      <c r="E2715">
        <f t="shared" si="212"/>
        <v>0.95620000000000005</v>
      </c>
      <c r="F2715">
        <f t="shared" si="213"/>
        <v>-2.4236559833506726</v>
      </c>
      <c r="G2715">
        <f t="shared" si="214"/>
        <v>5.8741083256315152</v>
      </c>
    </row>
    <row r="2716" spans="1:7" x14ac:dyDescent="0.35">
      <c r="A2716">
        <v>161</v>
      </c>
      <c r="B2716">
        <f t="shared" si="210"/>
        <v>-1177.3520638224072</v>
      </c>
      <c r="C2716">
        <f t="shared" si="211"/>
        <v>1386157.8821868817</v>
      </c>
      <c r="D2716">
        <v>9064</v>
      </c>
      <c r="E2716">
        <f t="shared" si="212"/>
        <v>0.90639999999999998</v>
      </c>
      <c r="F2716">
        <f t="shared" si="213"/>
        <v>-2.4734559833506724</v>
      </c>
      <c r="G2716">
        <f t="shared" si="214"/>
        <v>6.1179845015732415</v>
      </c>
    </row>
    <row r="2717" spans="1:7" x14ac:dyDescent="0.35">
      <c r="A2717">
        <v>1180</v>
      </c>
      <c r="B2717">
        <f t="shared" si="210"/>
        <v>-158.35206382240722</v>
      </c>
      <c r="C2717">
        <f t="shared" si="211"/>
        <v>25075.376116815729</v>
      </c>
      <c r="D2717">
        <v>13571</v>
      </c>
      <c r="E2717">
        <f t="shared" si="212"/>
        <v>1.3571</v>
      </c>
      <c r="F2717">
        <f t="shared" si="213"/>
        <v>-2.0227559833506725</v>
      </c>
      <c r="G2717">
        <f t="shared" si="214"/>
        <v>4.0915417681809458</v>
      </c>
    </row>
    <row r="2718" spans="1:7" x14ac:dyDescent="0.35">
      <c r="A2718">
        <v>1180</v>
      </c>
      <c r="B2718">
        <f t="shared" si="210"/>
        <v>-158.35206382240722</v>
      </c>
      <c r="C2718">
        <f t="shared" si="211"/>
        <v>25075.376116815729</v>
      </c>
      <c r="D2718">
        <v>11053</v>
      </c>
      <c r="E2718">
        <f t="shared" si="212"/>
        <v>1.1052999999999999</v>
      </c>
      <c r="F2718">
        <f t="shared" si="213"/>
        <v>-2.2745559833506723</v>
      </c>
      <c r="G2718">
        <f t="shared" si="214"/>
        <v>5.1736049213963442</v>
      </c>
    </row>
    <row r="2719" spans="1:7" x14ac:dyDescent="0.35">
      <c r="A2719">
        <v>1180</v>
      </c>
      <c r="B2719">
        <f t="shared" si="210"/>
        <v>-158.35206382240722</v>
      </c>
      <c r="C2719">
        <f t="shared" si="211"/>
        <v>25075.376116815729</v>
      </c>
      <c r="D2719">
        <v>12500</v>
      </c>
      <c r="E2719">
        <f t="shared" si="212"/>
        <v>1.25</v>
      </c>
      <c r="F2719">
        <f t="shared" si="213"/>
        <v>-2.1298559833506725</v>
      </c>
      <c r="G2719">
        <f t="shared" si="214"/>
        <v>4.5362865098146603</v>
      </c>
    </row>
    <row r="2720" spans="1:7" x14ac:dyDescent="0.35">
      <c r="A2720">
        <v>1180</v>
      </c>
      <c r="B2720">
        <f t="shared" si="210"/>
        <v>-158.35206382240722</v>
      </c>
      <c r="C2720">
        <f t="shared" si="211"/>
        <v>25075.376116815729</v>
      </c>
      <c r="D2720">
        <v>14063</v>
      </c>
      <c r="E2720">
        <f t="shared" si="212"/>
        <v>1.4063000000000001</v>
      </c>
      <c r="F2720">
        <f t="shared" si="213"/>
        <v>-1.9735559833506724</v>
      </c>
      <c r="G2720">
        <f t="shared" si="214"/>
        <v>3.8949232194192396</v>
      </c>
    </row>
    <row r="2721" spans="1:7" x14ac:dyDescent="0.35">
      <c r="A2721">
        <v>1180</v>
      </c>
      <c r="B2721">
        <f t="shared" si="210"/>
        <v>-158.35206382240722</v>
      </c>
      <c r="C2721">
        <f t="shared" si="211"/>
        <v>25075.376116815729</v>
      </c>
      <c r="D2721">
        <v>13846</v>
      </c>
      <c r="E2721">
        <f t="shared" si="212"/>
        <v>1.3846000000000001</v>
      </c>
      <c r="F2721">
        <f t="shared" si="213"/>
        <v>-1.9952559833506724</v>
      </c>
      <c r="G2721">
        <f t="shared" si="214"/>
        <v>3.9810464390966587</v>
      </c>
    </row>
    <row r="2722" spans="1:7" x14ac:dyDescent="0.35">
      <c r="A2722">
        <v>1180</v>
      </c>
      <c r="B2722">
        <f t="shared" si="210"/>
        <v>-158.35206382240722</v>
      </c>
      <c r="C2722">
        <f t="shared" si="211"/>
        <v>25075.376116815729</v>
      </c>
      <c r="D2722">
        <v>13556</v>
      </c>
      <c r="E2722">
        <f t="shared" si="212"/>
        <v>1.3555999999999999</v>
      </c>
      <c r="F2722">
        <f t="shared" si="213"/>
        <v>-2.0242559833506726</v>
      </c>
      <c r="G2722">
        <f t="shared" si="214"/>
        <v>4.0976122861309987</v>
      </c>
    </row>
    <row r="2723" spans="1:7" x14ac:dyDescent="0.35">
      <c r="A2723">
        <v>1180</v>
      </c>
      <c r="B2723">
        <f t="shared" si="210"/>
        <v>-158.35206382240722</v>
      </c>
      <c r="C2723">
        <f t="shared" si="211"/>
        <v>25075.376116815729</v>
      </c>
      <c r="D2723">
        <v>13600</v>
      </c>
      <c r="E2723">
        <f t="shared" si="212"/>
        <v>1.36</v>
      </c>
      <c r="F2723">
        <f t="shared" si="213"/>
        <v>-2.0198559833506726</v>
      </c>
      <c r="G2723">
        <f t="shared" si="214"/>
        <v>4.0798181934775126</v>
      </c>
    </row>
    <row r="2724" spans="1:7" x14ac:dyDescent="0.35">
      <c r="A2724">
        <v>1180</v>
      </c>
      <c r="B2724">
        <f t="shared" si="210"/>
        <v>-158.35206382240722</v>
      </c>
      <c r="C2724">
        <f t="shared" si="211"/>
        <v>25075.376116815729</v>
      </c>
      <c r="D2724">
        <v>13962</v>
      </c>
      <c r="E2724">
        <f t="shared" si="212"/>
        <v>1.3962000000000001</v>
      </c>
      <c r="F2724">
        <f t="shared" si="213"/>
        <v>-1.9836559833506724</v>
      </c>
      <c r="G2724">
        <f t="shared" si="214"/>
        <v>3.934891060282923</v>
      </c>
    </row>
    <row r="2725" spans="1:7" x14ac:dyDescent="0.35">
      <c r="A2725">
        <v>1180</v>
      </c>
      <c r="B2725">
        <f t="shared" si="210"/>
        <v>-158.35206382240722</v>
      </c>
      <c r="C2725">
        <f t="shared" si="211"/>
        <v>25075.376116815729</v>
      </c>
      <c r="D2725">
        <v>14000</v>
      </c>
      <c r="E2725">
        <f t="shared" si="212"/>
        <v>1.4</v>
      </c>
      <c r="F2725">
        <f t="shared" si="213"/>
        <v>-1.9798559833506726</v>
      </c>
      <c r="G2725">
        <f t="shared" si="214"/>
        <v>3.9198297148094587</v>
      </c>
    </row>
    <row r="2726" spans="1:7" x14ac:dyDescent="0.35">
      <c r="A2726">
        <v>1180</v>
      </c>
      <c r="B2726">
        <f t="shared" si="210"/>
        <v>-158.35206382240722</v>
      </c>
      <c r="C2726">
        <f t="shared" si="211"/>
        <v>25075.376116815729</v>
      </c>
      <c r="D2726">
        <v>14000</v>
      </c>
      <c r="E2726">
        <f t="shared" si="212"/>
        <v>1.4</v>
      </c>
      <c r="F2726">
        <f t="shared" si="213"/>
        <v>-1.9798559833506726</v>
      </c>
      <c r="G2726">
        <f t="shared" si="214"/>
        <v>3.9198297148094587</v>
      </c>
    </row>
    <row r="2727" spans="1:7" x14ac:dyDescent="0.35">
      <c r="A2727">
        <v>1180</v>
      </c>
      <c r="B2727">
        <f t="shared" si="210"/>
        <v>-158.35206382240722</v>
      </c>
      <c r="C2727">
        <f t="shared" si="211"/>
        <v>25075.376116815729</v>
      </c>
      <c r="D2727">
        <v>14138</v>
      </c>
      <c r="E2727">
        <f t="shared" si="212"/>
        <v>1.4137999999999999</v>
      </c>
      <c r="F2727">
        <f t="shared" si="213"/>
        <v>-1.9660559833506726</v>
      </c>
      <c r="G2727">
        <f t="shared" si="214"/>
        <v>3.8653761296689799</v>
      </c>
    </row>
    <row r="2728" spans="1:7" x14ac:dyDescent="0.35">
      <c r="A2728">
        <v>1180</v>
      </c>
      <c r="B2728">
        <f t="shared" si="210"/>
        <v>-158.35206382240722</v>
      </c>
      <c r="C2728">
        <f t="shared" si="211"/>
        <v>25075.376116815729</v>
      </c>
      <c r="D2728">
        <v>13333</v>
      </c>
      <c r="E2728">
        <f t="shared" si="212"/>
        <v>1.3332999999999999</v>
      </c>
      <c r="F2728">
        <f t="shared" si="213"/>
        <v>-2.0465559833506726</v>
      </c>
      <c r="G2728">
        <f t="shared" si="214"/>
        <v>4.1883913929884384</v>
      </c>
    </row>
    <row r="2729" spans="1:7" x14ac:dyDescent="0.35">
      <c r="A2729">
        <v>1180</v>
      </c>
      <c r="B2729">
        <f t="shared" si="210"/>
        <v>-158.35206382240722</v>
      </c>
      <c r="C2729">
        <f t="shared" si="211"/>
        <v>25075.376116815729</v>
      </c>
      <c r="D2729">
        <v>14063</v>
      </c>
      <c r="E2729">
        <f t="shared" si="212"/>
        <v>1.4063000000000001</v>
      </c>
      <c r="F2729">
        <f t="shared" si="213"/>
        <v>-1.9735559833506724</v>
      </c>
      <c r="G2729">
        <f t="shared" si="214"/>
        <v>3.8949232194192396</v>
      </c>
    </row>
    <row r="2730" spans="1:7" x14ac:dyDescent="0.35">
      <c r="A2730">
        <v>1180</v>
      </c>
      <c r="B2730">
        <f t="shared" si="210"/>
        <v>-158.35206382240722</v>
      </c>
      <c r="C2730">
        <f t="shared" si="211"/>
        <v>25075.376116815729</v>
      </c>
      <c r="D2730">
        <v>13971</v>
      </c>
      <c r="E2730">
        <f t="shared" si="212"/>
        <v>1.3971</v>
      </c>
      <c r="F2730">
        <f t="shared" si="213"/>
        <v>-1.9827559833506725</v>
      </c>
      <c r="G2730">
        <f t="shared" si="214"/>
        <v>3.9313212895128924</v>
      </c>
    </row>
    <row r="2731" spans="1:7" x14ac:dyDescent="0.35">
      <c r="A2731">
        <v>1180</v>
      </c>
      <c r="B2731">
        <f t="shared" si="210"/>
        <v>-158.35206382240722</v>
      </c>
      <c r="C2731">
        <f t="shared" si="211"/>
        <v>25075.376116815729</v>
      </c>
      <c r="D2731">
        <v>15139</v>
      </c>
      <c r="E2731">
        <f t="shared" si="212"/>
        <v>1.5139</v>
      </c>
      <c r="F2731">
        <f t="shared" si="213"/>
        <v>-1.8659559833506725</v>
      </c>
      <c r="G2731">
        <f t="shared" si="214"/>
        <v>3.4817917318021752</v>
      </c>
    </row>
    <row r="2732" spans="1:7" x14ac:dyDescent="0.35">
      <c r="A2732">
        <v>1180</v>
      </c>
      <c r="B2732">
        <f t="shared" si="210"/>
        <v>-158.35206382240722</v>
      </c>
      <c r="C2732">
        <f t="shared" si="211"/>
        <v>25075.376116815729</v>
      </c>
      <c r="D2732">
        <v>15000</v>
      </c>
      <c r="E2732">
        <f t="shared" si="212"/>
        <v>1.5</v>
      </c>
      <c r="F2732">
        <f t="shared" si="213"/>
        <v>-1.8798559833506725</v>
      </c>
      <c r="G2732">
        <f t="shared" si="214"/>
        <v>3.5338585181393238</v>
      </c>
    </row>
    <row r="2733" spans="1:7" x14ac:dyDescent="0.35">
      <c r="A2733">
        <v>1180</v>
      </c>
      <c r="B2733">
        <f t="shared" si="210"/>
        <v>-158.35206382240722</v>
      </c>
      <c r="C2733">
        <f t="shared" si="211"/>
        <v>25075.376116815729</v>
      </c>
      <c r="D2733">
        <v>15000</v>
      </c>
      <c r="E2733">
        <f t="shared" si="212"/>
        <v>1.5</v>
      </c>
      <c r="F2733">
        <f t="shared" si="213"/>
        <v>-1.8798559833506725</v>
      </c>
      <c r="G2733">
        <f t="shared" si="214"/>
        <v>3.5338585181393238</v>
      </c>
    </row>
    <row r="2734" spans="1:7" x14ac:dyDescent="0.35">
      <c r="A2734">
        <v>1180</v>
      </c>
      <c r="B2734">
        <f t="shared" si="210"/>
        <v>-158.35206382240722</v>
      </c>
      <c r="C2734">
        <f t="shared" si="211"/>
        <v>25075.376116815729</v>
      </c>
      <c r="D2734">
        <v>13011</v>
      </c>
      <c r="E2734">
        <f t="shared" si="212"/>
        <v>1.3010999999999999</v>
      </c>
      <c r="F2734">
        <f t="shared" si="213"/>
        <v>-2.0787559833506726</v>
      </c>
      <c r="G2734">
        <f t="shared" si="214"/>
        <v>4.3212264383162218</v>
      </c>
    </row>
    <row r="2735" spans="1:7" x14ac:dyDescent="0.35">
      <c r="A2735">
        <v>1180</v>
      </c>
      <c r="B2735">
        <f t="shared" si="210"/>
        <v>-158.35206382240722</v>
      </c>
      <c r="C2735">
        <f t="shared" si="211"/>
        <v>25075.376116815729</v>
      </c>
      <c r="D2735">
        <v>15000</v>
      </c>
      <c r="E2735">
        <f t="shared" si="212"/>
        <v>1.5</v>
      </c>
      <c r="F2735">
        <f t="shared" si="213"/>
        <v>-1.8798559833506725</v>
      </c>
      <c r="G2735">
        <f t="shared" si="214"/>
        <v>3.5338585181393238</v>
      </c>
    </row>
    <row r="2736" spans="1:7" x14ac:dyDescent="0.35">
      <c r="A2736">
        <v>1180</v>
      </c>
      <c r="B2736">
        <f t="shared" si="210"/>
        <v>-158.35206382240722</v>
      </c>
      <c r="C2736">
        <f t="shared" si="211"/>
        <v>25075.376116815729</v>
      </c>
      <c r="D2736">
        <v>13628</v>
      </c>
      <c r="E2736">
        <f t="shared" si="212"/>
        <v>1.3628</v>
      </c>
      <c r="F2736">
        <f t="shared" si="213"/>
        <v>-2.0170559833506725</v>
      </c>
      <c r="G2736">
        <f t="shared" si="214"/>
        <v>4.0685148399707485</v>
      </c>
    </row>
    <row r="2737" spans="1:7" x14ac:dyDescent="0.35">
      <c r="A2737">
        <v>1180</v>
      </c>
      <c r="B2737">
        <f t="shared" si="210"/>
        <v>-158.35206382240722</v>
      </c>
      <c r="C2737">
        <f t="shared" si="211"/>
        <v>25075.376116815729</v>
      </c>
      <c r="D2737">
        <v>13613</v>
      </c>
      <c r="E2737">
        <f t="shared" si="212"/>
        <v>1.3613</v>
      </c>
      <c r="F2737">
        <f t="shared" si="213"/>
        <v>-2.0185559833506725</v>
      </c>
      <c r="G2737">
        <f t="shared" si="214"/>
        <v>4.0745682579208005</v>
      </c>
    </row>
    <row r="2738" spans="1:7" x14ac:dyDescent="0.35">
      <c r="A2738">
        <v>1180</v>
      </c>
      <c r="B2738">
        <f t="shared" si="210"/>
        <v>-158.35206382240722</v>
      </c>
      <c r="C2738">
        <f t="shared" si="211"/>
        <v>25075.376116815729</v>
      </c>
      <c r="D2738">
        <v>13895</v>
      </c>
      <c r="E2738">
        <f t="shared" si="212"/>
        <v>1.3895</v>
      </c>
      <c r="F2738">
        <f t="shared" si="213"/>
        <v>-1.9903559833506725</v>
      </c>
      <c r="G2738">
        <f t="shared" si="214"/>
        <v>3.9615169404598225</v>
      </c>
    </row>
    <row r="2739" spans="1:7" x14ac:dyDescent="0.35">
      <c r="A2739">
        <v>1180</v>
      </c>
      <c r="B2739">
        <f t="shared" si="210"/>
        <v>-158.35206382240722</v>
      </c>
      <c r="C2739">
        <f t="shared" si="211"/>
        <v>25075.376116815729</v>
      </c>
      <c r="D2739">
        <v>23926</v>
      </c>
      <c r="E2739">
        <f t="shared" si="212"/>
        <v>2.3925999999999998</v>
      </c>
      <c r="F2739">
        <f t="shared" si="213"/>
        <v>-0.98725598335067266</v>
      </c>
      <c r="G2739">
        <f t="shared" si="214"/>
        <v>0.97467437666170365</v>
      </c>
    </row>
    <row r="2740" spans="1:7" x14ac:dyDescent="0.35">
      <c r="A2740">
        <v>1180</v>
      </c>
      <c r="B2740">
        <f t="shared" si="210"/>
        <v>-158.35206382240722</v>
      </c>
      <c r="C2740">
        <f t="shared" si="211"/>
        <v>25075.376116815729</v>
      </c>
      <c r="D2740">
        <v>25070</v>
      </c>
      <c r="E2740">
        <f t="shared" si="212"/>
        <v>2.5070000000000001</v>
      </c>
      <c r="F2740">
        <f t="shared" si="213"/>
        <v>-0.87285598335067238</v>
      </c>
      <c r="G2740">
        <f t="shared" si="214"/>
        <v>0.76187756767106929</v>
      </c>
    </row>
    <row r="2741" spans="1:7" x14ac:dyDescent="0.35">
      <c r="A2741">
        <v>1180</v>
      </c>
      <c r="B2741">
        <f t="shared" si="210"/>
        <v>-158.35206382240722</v>
      </c>
      <c r="C2741">
        <f t="shared" si="211"/>
        <v>25075.376116815729</v>
      </c>
      <c r="D2741">
        <v>25889</v>
      </c>
      <c r="E2741">
        <f t="shared" si="212"/>
        <v>2.5889000000000002</v>
      </c>
      <c r="F2741">
        <f t="shared" si="213"/>
        <v>-0.7909559833506723</v>
      </c>
      <c r="G2741">
        <f t="shared" si="214"/>
        <v>0.625611367598229</v>
      </c>
    </row>
    <row r="2742" spans="1:7" x14ac:dyDescent="0.35">
      <c r="A2742">
        <v>1180</v>
      </c>
      <c r="B2742">
        <f t="shared" si="210"/>
        <v>-158.35206382240722</v>
      </c>
      <c r="C2742">
        <f t="shared" si="211"/>
        <v>25075.376116815729</v>
      </c>
      <c r="D2742">
        <v>23043</v>
      </c>
      <c r="E2742">
        <f t="shared" si="212"/>
        <v>2.3043</v>
      </c>
      <c r="F2742">
        <f t="shared" si="213"/>
        <v>-1.0755559833506725</v>
      </c>
      <c r="G2742">
        <f t="shared" si="214"/>
        <v>1.1568206733214321</v>
      </c>
    </row>
    <row r="2743" spans="1:7" x14ac:dyDescent="0.35">
      <c r="A2743">
        <v>1180</v>
      </c>
      <c r="B2743">
        <f t="shared" si="210"/>
        <v>-158.35206382240722</v>
      </c>
      <c r="C2743">
        <f t="shared" si="211"/>
        <v>25075.376116815729</v>
      </c>
      <c r="D2743">
        <v>23011</v>
      </c>
      <c r="E2743">
        <f t="shared" si="212"/>
        <v>2.3010999999999999</v>
      </c>
      <c r="F2743">
        <f t="shared" si="213"/>
        <v>-1.0787559833506726</v>
      </c>
      <c r="G2743">
        <f t="shared" si="214"/>
        <v>1.1637144716148766</v>
      </c>
    </row>
    <row r="2744" spans="1:7" x14ac:dyDescent="0.35">
      <c r="A2744">
        <v>1180</v>
      </c>
      <c r="B2744">
        <f t="shared" si="210"/>
        <v>-158.35206382240722</v>
      </c>
      <c r="C2744">
        <f t="shared" si="211"/>
        <v>25075.376116815729</v>
      </c>
      <c r="D2744">
        <v>24947</v>
      </c>
      <c r="E2744">
        <f t="shared" si="212"/>
        <v>2.4946999999999999</v>
      </c>
      <c r="F2744">
        <f t="shared" si="213"/>
        <v>-0.88515598335067258</v>
      </c>
      <c r="G2744">
        <f t="shared" si="214"/>
        <v>0.78350111486149621</v>
      </c>
    </row>
    <row r="2745" spans="1:7" x14ac:dyDescent="0.35">
      <c r="A2745">
        <v>1180</v>
      </c>
      <c r="B2745">
        <f t="shared" si="210"/>
        <v>-158.35206382240722</v>
      </c>
      <c r="C2745">
        <f t="shared" si="211"/>
        <v>25075.376116815729</v>
      </c>
      <c r="D2745">
        <v>24876</v>
      </c>
      <c r="E2745">
        <f t="shared" si="212"/>
        <v>2.4876</v>
      </c>
      <c r="F2745">
        <f t="shared" si="213"/>
        <v>-0.89225598335067247</v>
      </c>
      <c r="G2745">
        <f t="shared" si="214"/>
        <v>0.79612073982507547</v>
      </c>
    </row>
    <row r="2746" spans="1:7" x14ac:dyDescent="0.35">
      <c r="A2746">
        <v>1180</v>
      </c>
      <c r="B2746">
        <f t="shared" si="210"/>
        <v>-158.35206382240722</v>
      </c>
      <c r="C2746">
        <f t="shared" si="211"/>
        <v>25075.376116815729</v>
      </c>
      <c r="D2746">
        <v>25276</v>
      </c>
      <c r="E2746">
        <f t="shared" si="212"/>
        <v>2.5276000000000001</v>
      </c>
      <c r="F2746">
        <f t="shared" si="213"/>
        <v>-0.85225598335067243</v>
      </c>
      <c r="G2746">
        <f t="shared" si="214"/>
        <v>0.72634026115702166</v>
      </c>
    </row>
    <row r="2747" spans="1:7" x14ac:dyDescent="0.35">
      <c r="A2747">
        <v>565</v>
      </c>
      <c r="B2747">
        <f t="shared" si="210"/>
        <v>-773.35206382240722</v>
      </c>
      <c r="C2747">
        <f t="shared" si="211"/>
        <v>598073.41461837664</v>
      </c>
      <c r="D2747">
        <v>37722</v>
      </c>
      <c r="E2747">
        <f t="shared" si="212"/>
        <v>3.7722000000000002</v>
      </c>
      <c r="F2747">
        <f t="shared" si="213"/>
        <v>0.39234401664932772</v>
      </c>
      <c r="G2747">
        <f t="shared" si="214"/>
        <v>0.15393382740052794</v>
      </c>
    </row>
    <row r="2748" spans="1:7" x14ac:dyDescent="0.35">
      <c r="A2748">
        <v>565</v>
      </c>
      <c r="B2748">
        <f t="shared" si="210"/>
        <v>-773.35206382240722</v>
      </c>
      <c r="C2748">
        <f t="shared" si="211"/>
        <v>598073.41461837664</v>
      </c>
      <c r="D2748">
        <v>29565</v>
      </c>
      <c r="E2748">
        <f t="shared" si="212"/>
        <v>2.9565000000000001</v>
      </c>
      <c r="F2748">
        <f t="shared" si="213"/>
        <v>-0.42335598335067237</v>
      </c>
      <c r="G2748">
        <f t="shared" si="214"/>
        <v>0.17923028863881479</v>
      </c>
    </row>
    <row r="2749" spans="1:7" x14ac:dyDescent="0.35">
      <c r="A2749">
        <v>565</v>
      </c>
      <c r="B2749">
        <f t="shared" si="210"/>
        <v>-773.35206382240722</v>
      </c>
      <c r="C2749">
        <f t="shared" si="211"/>
        <v>598073.41461837664</v>
      </c>
      <c r="D2749">
        <v>35909</v>
      </c>
      <c r="E2749">
        <f t="shared" si="212"/>
        <v>3.5909</v>
      </c>
      <c r="F2749">
        <f t="shared" si="213"/>
        <v>0.21104401664932748</v>
      </c>
      <c r="G2749">
        <f t="shared" si="214"/>
        <v>4.4539576963481618E-2</v>
      </c>
    </row>
    <row r="2750" spans="1:7" x14ac:dyDescent="0.35">
      <c r="A2750">
        <v>565</v>
      </c>
      <c r="B2750">
        <f t="shared" si="210"/>
        <v>-773.35206382240722</v>
      </c>
      <c r="C2750">
        <f t="shared" si="211"/>
        <v>598073.41461837664</v>
      </c>
      <c r="D2750">
        <v>36409</v>
      </c>
      <c r="E2750">
        <f t="shared" si="212"/>
        <v>3.6408999999999998</v>
      </c>
      <c r="F2750">
        <f t="shared" si="213"/>
        <v>0.2610440166493273</v>
      </c>
      <c r="G2750">
        <f t="shared" si="214"/>
        <v>6.8143978628414273E-2</v>
      </c>
    </row>
    <row r="2751" spans="1:7" x14ac:dyDescent="0.35">
      <c r="A2751">
        <v>565</v>
      </c>
      <c r="B2751">
        <f t="shared" si="210"/>
        <v>-773.35206382240722</v>
      </c>
      <c r="C2751">
        <f t="shared" si="211"/>
        <v>598073.41461837664</v>
      </c>
      <c r="D2751">
        <v>35518</v>
      </c>
      <c r="E2751">
        <f t="shared" si="212"/>
        <v>3.5518000000000001</v>
      </c>
      <c r="F2751">
        <f t="shared" si="213"/>
        <v>0.17194401664932757</v>
      </c>
      <c r="G2751">
        <f t="shared" si="214"/>
        <v>2.9564744861504236E-2</v>
      </c>
    </row>
    <row r="2752" spans="1:7" x14ac:dyDescent="0.35">
      <c r="A2752">
        <v>565</v>
      </c>
      <c r="B2752">
        <f t="shared" si="210"/>
        <v>-773.35206382240722</v>
      </c>
      <c r="C2752">
        <f t="shared" si="211"/>
        <v>598073.41461837664</v>
      </c>
      <c r="D2752">
        <v>28889</v>
      </c>
      <c r="E2752">
        <f t="shared" si="212"/>
        <v>2.8889</v>
      </c>
      <c r="F2752">
        <f t="shared" si="213"/>
        <v>-0.49095598335067248</v>
      </c>
      <c r="G2752">
        <f t="shared" si="214"/>
        <v>0.2410377775878258</v>
      </c>
    </row>
    <row r="2753" spans="1:7" x14ac:dyDescent="0.35">
      <c r="A2753">
        <v>565</v>
      </c>
      <c r="B2753">
        <f t="shared" si="210"/>
        <v>-773.35206382240722</v>
      </c>
      <c r="C2753">
        <f t="shared" si="211"/>
        <v>598073.41461837664</v>
      </c>
      <c r="D2753">
        <v>30286</v>
      </c>
      <c r="E2753">
        <f t="shared" si="212"/>
        <v>3.0286</v>
      </c>
      <c r="F2753">
        <f t="shared" si="213"/>
        <v>-0.35125598335067254</v>
      </c>
      <c r="G2753">
        <f t="shared" si="214"/>
        <v>0.12338076583964795</v>
      </c>
    </row>
    <row r="2754" spans="1:7" x14ac:dyDescent="0.35">
      <c r="A2754">
        <v>565</v>
      </c>
      <c r="B2754">
        <f t="shared" si="210"/>
        <v>-773.35206382240722</v>
      </c>
      <c r="C2754">
        <f t="shared" si="211"/>
        <v>598073.41461837664</v>
      </c>
      <c r="D2754">
        <v>29041</v>
      </c>
      <c r="E2754">
        <f t="shared" si="212"/>
        <v>2.9041000000000001</v>
      </c>
      <c r="F2754">
        <f t="shared" si="213"/>
        <v>-0.47575598335067237</v>
      </c>
      <c r="G2754">
        <f t="shared" si="214"/>
        <v>0.22634375569396525</v>
      </c>
    </row>
    <row r="2755" spans="1:7" x14ac:dyDescent="0.35">
      <c r="A2755">
        <v>565</v>
      </c>
      <c r="B2755">
        <f t="shared" ref="B2755:B2818" si="215">A2755-$J$1</f>
        <v>-773.35206382240722</v>
      </c>
      <c r="C2755">
        <f t="shared" ref="C2755:C2818" si="216">B2755^2</f>
        <v>598073.41461837664</v>
      </c>
      <c r="D2755">
        <v>35595</v>
      </c>
      <c r="E2755">
        <f t="shared" ref="E2755:E2818" si="217">D2755/10000</f>
        <v>3.5594999999999999</v>
      </c>
      <c r="F2755">
        <f t="shared" ref="F2755:F2818" si="218">E2755-$J$2</f>
        <v>0.17964401664932739</v>
      </c>
      <c r="G2755">
        <f t="shared" ref="G2755:G2818" si="219">F2755^2</f>
        <v>3.2271972717903816E-2</v>
      </c>
    </row>
    <row r="2756" spans="1:7" x14ac:dyDescent="0.35">
      <c r="A2756">
        <v>565</v>
      </c>
      <c r="B2756">
        <f t="shared" si="215"/>
        <v>-773.35206382240722</v>
      </c>
      <c r="C2756">
        <f t="shared" si="216"/>
        <v>598073.41461837664</v>
      </c>
      <c r="D2756">
        <v>36548</v>
      </c>
      <c r="E2756">
        <f t="shared" si="217"/>
        <v>3.6547999999999998</v>
      </c>
      <c r="F2756">
        <f t="shared" si="218"/>
        <v>0.27494401664932733</v>
      </c>
      <c r="G2756">
        <f t="shared" si="219"/>
        <v>7.5594212291265589E-2</v>
      </c>
    </row>
    <row r="2757" spans="1:7" x14ac:dyDescent="0.35">
      <c r="A2757">
        <v>565</v>
      </c>
      <c r="B2757">
        <f t="shared" si="215"/>
        <v>-773.35206382240722</v>
      </c>
      <c r="C2757">
        <f t="shared" si="216"/>
        <v>598073.41461837664</v>
      </c>
      <c r="D2757">
        <v>39894</v>
      </c>
      <c r="E2757">
        <f t="shared" si="217"/>
        <v>3.9893999999999998</v>
      </c>
      <c r="F2757">
        <f t="shared" si="218"/>
        <v>0.60954401664932734</v>
      </c>
      <c r="G2757">
        <f t="shared" si="219"/>
        <v>0.37154390823299543</v>
      </c>
    </row>
    <row r="2758" spans="1:7" x14ac:dyDescent="0.35">
      <c r="A2758">
        <v>565</v>
      </c>
      <c r="B2758">
        <f t="shared" si="215"/>
        <v>-773.35206382240722</v>
      </c>
      <c r="C2758">
        <f t="shared" si="216"/>
        <v>598073.41461837664</v>
      </c>
      <c r="D2758">
        <v>37746</v>
      </c>
      <c r="E2758">
        <f t="shared" si="217"/>
        <v>3.7746</v>
      </c>
      <c r="F2758">
        <f t="shared" si="218"/>
        <v>0.39474401664932746</v>
      </c>
      <c r="G2758">
        <f t="shared" si="219"/>
        <v>0.15582283868044453</v>
      </c>
    </row>
    <row r="2759" spans="1:7" x14ac:dyDescent="0.35">
      <c r="A2759">
        <v>565</v>
      </c>
      <c r="B2759">
        <f t="shared" si="215"/>
        <v>-773.35206382240722</v>
      </c>
      <c r="C2759">
        <f t="shared" si="216"/>
        <v>598073.41461837664</v>
      </c>
      <c r="D2759">
        <v>43458</v>
      </c>
      <c r="E2759">
        <f t="shared" si="217"/>
        <v>4.3457999999999997</v>
      </c>
      <c r="F2759">
        <f t="shared" si="218"/>
        <v>0.96594401664932716</v>
      </c>
      <c r="G2759">
        <f t="shared" si="219"/>
        <v>0.93304784330063562</v>
      </c>
    </row>
    <row r="2760" spans="1:7" x14ac:dyDescent="0.35">
      <c r="A2760">
        <v>565</v>
      </c>
      <c r="B2760">
        <f t="shared" si="215"/>
        <v>-773.35206382240722</v>
      </c>
      <c r="C2760">
        <f t="shared" si="216"/>
        <v>598073.41461837664</v>
      </c>
      <c r="D2760">
        <v>46065</v>
      </c>
      <c r="E2760">
        <f t="shared" si="217"/>
        <v>4.6064999999999996</v>
      </c>
      <c r="F2760">
        <f t="shared" si="218"/>
        <v>1.2266440166493271</v>
      </c>
      <c r="G2760">
        <f t="shared" si="219"/>
        <v>1.5046555435815947</v>
      </c>
    </row>
    <row r="2761" spans="1:7" x14ac:dyDescent="0.35">
      <c r="A2761">
        <v>565</v>
      </c>
      <c r="B2761">
        <f t="shared" si="215"/>
        <v>-773.35206382240722</v>
      </c>
      <c r="C2761">
        <f t="shared" si="216"/>
        <v>598073.41461837664</v>
      </c>
      <c r="D2761">
        <v>51185</v>
      </c>
      <c r="E2761">
        <f t="shared" si="217"/>
        <v>5.1185</v>
      </c>
      <c r="F2761">
        <f t="shared" si="218"/>
        <v>1.7386440166493276</v>
      </c>
      <c r="G2761">
        <f t="shared" si="219"/>
        <v>3.022883016630507</v>
      </c>
    </row>
    <row r="2762" spans="1:7" x14ac:dyDescent="0.35">
      <c r="A2762">
        <v>565</v>
      </c>
      <c r="B2762">
        <f t="shared" si="215"/>
        <v>-773.35206382240722</v>
      </c>
      <c r="C2762">
        <f t="shared" si="216"/>
        <v>598073.41461837664</v>
      </c>
      <c r="D2762">
        <v>50859</v>
      </c>
      <c r="E2762">
        <f t="shared" si="217"/>
        <v>5.0858999999999996</v>
      </c>
      <c r="F2762">
        <f t="shared" si="218"/>
        <v>1.7060440166493271</v>
      </c>
      <c r="G2762">
        <f t="shared" si="219"/>
        <v>2.9105861867449696</v>
      </c>
    </row>
    <row r="2763" spans="1:7" x14ac:dyDescent="0.35">
      <c r="A2763">
        <v>565</v>
      </c>
      <c r="B2763">
        <f t="shared" si="215"/>
        <v>-773.35206382240722</v>
      </c>
      <c r="C2763">
        <f t="shared" si="216"/>
        <v>598073.41461837664</v>
      </c>
      <c r="D2763">
        <v>58327</v>
      </c>
      <c r="E2763">
        <f t="shared" si="217"/>
        <v>5.8327</v>
      </c>
      <c r="F2763">
        <f t="shared" si="218"/>
        <v>2.4528440166493275</v>
      </c>
      <c r="G2763">
        <f t="shared" si="219"/>
        <v>6.0164437700124065</v>
      </c>
    </row>
    <row r="2764" spans="1:7" x14ac:dyDescent="0.35">
      <c r="A2764">
        <v>565</v>
      </c>
      <c r="B2764">
        <f t="shared" si="215"/>
        <v>-773.35206382240722</v>
      </c>
      <c r="C2764">
        <f t="shared" si="216"/>
        <v>598073.41461837664</v>
      </c>
      <c r="D2764">
        <v>50512</v>
      </c>
      <c r="E2764">
        <f t="shared" si="217"/>
        <v>5.0511999999999997</v>
      </c>
      <c r="F2764">
        <f t="shared" si="218"/>
        <v>1.6713440166493272</v>
      </c>
      <c r="G2764">
        <f t="shared" si="219"/>
        <v>2.7933908219895063</v>
      </c>
    </row>
    <row r="2765" spans="1:7" x14ac:dyDescent="0.35">
      <c r="A2765">
        <v>565</v>
      </c>
      <c r="B2765">
        <f t="shared" si="215"/>
        <v>-773.35206382240722</v>
      </c>
      <c r="C2765">
        <f t="shared" si="216"/>
        <v>598073.41461837664</v>
      </c>
      <c r="D2765">
        <v>57399</v>
      </c>
      <c r="E2765">
        <f t="shared" si="217"/>
        <v>5.7398999999999996</v>
      </c>
      <c r="F2765">
        <f t="shared" si="218"/>
        <v>2.3600440166493271</v>
      </c>
      <c r="G2765">
        <f t="shared" si="219"/>
        <v>5.5698077605222895</v>
      </c>
    </row>
    <row r="2766" spans="1:7" x14ac:dyDescent="0.35">
      <c r="A2766">
        <v>565</v>
      </c>
      <c r="B2766">
        <f t="shared" si="215"/>
        <v>-773.35206382240722</v>
      </c>
      <c r="C2766">
        <f t="shared" si="216"/>
        <v>598073.41461837664</v>
      </c>
      <c r="D2766">
        <v>61938</v>
      </c>
      <c r="E2766">
        <f t="shared" si="217"/>
        <v>6.1938000000000004</v>
      </c>
      <c r="F2766">
        <f t="shared" si="218"/>
        <v>2.8139440166493279</v>
      </c>
      <c r="G2766">
        <f t="shared" si="219"/>
        <v>7.9182809288365528</v>
      </c>
    </row>
    <row r="2767" spans="1:7" x14ac:dyDescent="0.35">
      <c r="A2767">
        <v>565</v>
      </c>
      <c r="B2767">
        <f t="shared" si="215"/>
        <v>-773.35206382240722</v>
      </c>
      <c r="C2767">
        <f t="shared" si="216"/>
        <v>598073.41461837664</v>
      </c>
      <c r="D2767">
        <v>59938</v>
      </c>
      <c r="E2767">
        <f t="shared" si="217"/>
        <v>5.9938000000000002</v>
      </c>
      <c r="F2767">
        <f t="shared" si="218"/>
        <v>2.6139440166493277</v>
      </c>
      <c r="G2767">
        <f t="shared" si="219"/>
        <v>6.8327033221768207</v>
      </c>
    </row>
    <row r="2768" spans="1:7" x14ac:dyDescent="0.35">
      <c r="A2768">
        <v>565</v>
      </c>
      <c r="B2768">
        <f t="shared" si="215"/>
        <v>-773.35206382240722</v>
      </c>
      <c r="C2768">
        <f t="shared" si="216"/>
        <v>598073.41461837664</v>
      </c>
      <c r="D2768">
        <v>49882</v>
      </c>
      <c r="E2768">
        <f t="shared" si="217"/>
        <v>4.9882</v>
      </c>
      <c r="F2768">
        <f t="shared" si="218"/>
        <v>1.6083440166493275</v>
      </c>
      <c r="G2768">
        <f t="shared" si="219"/>
        <v>2.5867704758916923</v>
      </c>
    </row>
    <row r="2769" spans="1:7" x14ac:dyDescent="0.35">
      <c r="A2769">
        <v>565</v>
      </c>
      <c r="B2769">
        <f t="shared" si="215"/>
        <v>-773.35206382240722</v>
      </c>
      <c r="C2769">
        <f t="shared" si="216"/>
        <v>598073.41461837664</v>
      </c>
      <c r="D2769">
        <v>53427</v>
      </c>
      <c r="E2769">
        <f t="shared" si="217"/>
        <v>5.3426999999999998</v>
      </c>
      <c r="F2769">
        <f t="shared" si="218"/>
        <v>1.9628440166493273</v>
      </c>
      <c r="G2769">
        <f t="shared" si="219"/>
        <v>3.8527566336960648</v>
      </c>
    </row>
    <row r="2770" spans="1:7" x14ac:dyDescent="0.35">
      <c r="A2770">
        <v>565</v>
      </c>
      <c r="B2770">
        <f t="shared" si="215"/>
        <v>-773.35206382240722</v>
      </c>
      <c r="C2770">
        <f t="shared" si="216"/>
        <v>598073.41461837664</v>
      </c>
      <c r="D2770">
        <v>53917</v>
      </c>
      <c r="E2770">
        <f t="shared" si="217"/>
        <v>5.3917000000000002</v>
      </c>
      <c r="F2770">
        <f t="shared" si="218"/>
        <v>2.0118440166493277</v>
      </c>
      <c r="G2770">
        <f t="shared" si="219"/>
        <v>4.0475163473276998</v>
      </c>
    </row>
    <row r="2771" spans="1:7" x14ac:dyDescent="0.35">
      <c r="A2771">
        <v>1300</v>
      </c>
      <c r="B2771">
        <f t="shared" si="215"/>
        <v>-38.352063822407217</v>
      </c>
      <c r="C2771">
        <f t="shared" si="216"/>
        <v>1470.8807994379965</v>
      </c>
      <c r="D2771">
        <v>49535</v>
      </c>
      <c r="E2771">
        <f t="shared" si="217"/>
        <v>4.9535</v>
      </c>
      <c r="F2771">
        <f t="shared" si="218"/>
        <v>1.5736440166493275</v>
      </c>
      <c r="G2771">
        <f t="shared" si="219"/>
        <v>2.4763554911362289</v>
      </c>
    </row>
    <row r="2772" spans="1:7" x14ac:dyDescent="0.35">
      <c r="A2772">
        <v>1300</v>
      </c>
      <c r="B2772">
        <f t="shared" si="215"/>
        <v>-38.352063822407217</v>
      </c>
      <c r="C2772">
        <f t="shared" si="216"/>
        <v>1470.8807994379965</v>
      </c>
      <c r="D2772">
        <v>47842</v>
      </c>
      <c r="E2772">
        <f t="shared" si="217"/>
        <v>4.7842000000000002</v>
      </c>
      <c r="F2772">
        <f t="shared" si="218"/>
        <v>1.4043440166493277</v>
      </c>
      <c r="G2772">
        <f t="shared" si="219"/>
        <v>1.9721821170987672</v>
      </c>
    </row>
    <row r="2773" spans="1:7" x14ac:dyDescent="0.35">
      <c r="A2773">
        <v>1300</v>
      </c>
      <c r="B2773">
        <f t="shared" si="215"/>
        <v>-38.352063822407217</v>
      </c>
      <c r="C2773">
        <f t="shared" si="216"/>
        <v>1470.8807994379965</v>
      </c>
      <c r="D2773">
        <v>42253</v>
      </c>
      <c r="E2773">
        <f t="shared" si="217"/>
        <v>4.2252999999999998</v>
      </c>
      <c r="F2773">
        <f t="shared" si="218"/>
        <v>0.84544401664932733</v>
      </c>
      <c r="G2773">
        <f t="shared" si="219"/>
        <v>0.71477558528814811</v>
      </c>
    </row>
    <row r="2774" spans="1:7" x14ac:dyDescent="0.35">
      <c r="A2774">
        <v>1300</v>
      </c>
      <c r="B2774">
        <f t="shared" si="215"/>
        <v>-38.352063822407217</v>
      </c>
      <c r="C2774">
        <f t="shared" si="216"/>
        <v>1470.8807994379965</v>
      </c>
      <c r="D2774">
        <v>56445</v>
      </c>
      <c r="E2774">
        <f t="shared" si="217"/>
        <v>5.6444999999999999</v>
      </c>
      <c r="F2774">
        <f t="shared" si="218"/>
        <v>2.2646440166493274</v>
      </c>
      <c r="G2774">
        <f t="shared" si="219"/>
        <v>5.1286125221455992</v>
      </c>
    </row>
    <row r="2775" spans="1:7" x14ac:dyDescent="0.35">
      <c r="A2775">
        <v>1300</v>
      </c>
      <c r="B2775">
        <f t="shared" si="215"/>
        <v>-38.352063822407217</v>
      </c>
      <c r="C2775">
        <f t="shared" si="216"/>
        <v>1470.8807994379965</v>
      </c>
      <c r="D2775">
        <v>44474</v>
      </c>
      <c r="E2775">
        <f t="shared" si="217"/>
        <v>4.4474</v>
      </c>
      <c r="F2775">
        <f t="shared" si="218"/>
        <v>1.0675440166493275</v>
      </c>
      <c r="G2775">
        <f t="shared" si="219"/>
        <v>1.1396502274837796</v>
      </c>
    </row>
    <row r="2776" spans="1:7" x14ac:dyDescent="0.35">
      <c r="A2776">
        <v>1300</v>
      </c>
      <c r="B2776">
        <f t="shared" si="215"/>
        <v>-38.352063822407217</v>
      </c>
      <c r="C2776">
        <f t="shared" si="216"/>
        <v>1470.8807994379965</v>
      </c>
      <c r="D2776">
        <v>47767</v>
      </c>
      <c r="E2776">
        <f t="shared" si="217"/>
        <v>4.7766999999999999</v>
      </c>
      <c r="F2776">
        <f t="shared" si="218"/>
        <v>1.3968440166493274</v>
      </c>
      <c r="G2776">
        <f t="shared" si="219"/>
        <v>1.9511732068490266</v>
      </c>
    </row>
    <row r="2777" spans="1:7" x14ac:dyDescent="0.35">
      <c r="A2777">
        <v>1300</v>
      </c>
      <c r="B2777">
        <f t="shared" si="215"/>
        <v>-38.352063822407217</v>
      </c>
      <c r="C2777">
        <f t="shared" si="216"/>
        <v>1470.8807994379965</v>
      </c>
      <c r="D2777">
        <v>47557</v>
      </c>
      <c r="E2777">
        <f t="shared" si="217"/>
        <v>4.7557</v>
      </c>
      <c r="F2777">
        <f t="shared" si="218"/>
        <v>1.3758440166493275</v>
      </c>
      <c r="G2777">
        <f t="shared" si="219"/>
        <v>1.892946758149755</v>
      </c>
    </row>
    <row r="2778" spans="1:7" x14ac:dyDescent="0.35">
      <c r="A2778">
        <v>1300</v>
      </c>
      <c r="B2778">
        <f t="shared" si="215"/>
        <v>-38.352063822407217</v>
      </c>
      <c r="C2778">
        <f t="shared" si="216"/>
        <v>1470.8807994379965</v>
      </c>
      <c r="D2778">
        <v>51717</v>
      </c>
      <c r="E2778">
        <f t="shared" si="217"/>
        <v>5.1717000000000004</v>
      </c>
      <c r="F2778">
        <f t="shared" si="218"/>
        <v>1.7918440166493279</v>
      </c>
      <c r="G2778">
        <f t="shared" si="219"/>
        <v>3.2107049800019971</v>
      </c>
    </row>
    <row r="2779" spans="1:7" x14ac:dyDescent="0.35">
      <c r="A2779">
        <v>1300</v>
      </c>
      <c r="B2779">
        <f t="shared" si="215"/>
        <v>-38.352063822407217</v>
      </c>
      <c r="C2779">
        <f t="shared" si="216"/>
        <v>1470.8807994379965</v>
      </c>
      <c r="D2779">
        <v>49158</v>
      </c>
      <c r="E2779">
        <f t="shared" si="217"/>
        <v>4.9157999999999999</v>
      </c>
      <c r="F2779">
        <f t="shared" si="218"/>
        <v>1.5359440166493274</v>
      </c>
      <c r="G2779">
        <f t="shared" si="219"/>
        <v>2.3591240222808696</v>
      </c>
    </row>
    <row r="2780" spans="1:7" x14ac:dyDescent="0.35">
      <c r="A2780">
        <v>1300</v>
      </c>
      <c r="B2780">
        <f t="shared" si="215"/>
        <v>-38.352063822407217</v>
      </c>
      <c r="C2780">
        <f t="shared" si="216"/>
        <v>1470.8807994379965</v>
      </c>
      <c r="D2780">
        <v>55099</v>
      </c>
      <c r="E2780">
        <f t="shared" si="217"/>
        <v>5.5099</v>
      </c>
      <c r="F2780">
        <f t="shared" si="218"/>
        <v>2.1300440166493275</v>
      </c>
      <c r="G2780">
        <f t="shared" si="219"/>
        <v>4.537087512863601</v>
      </c>
    </row>
    <row r="2781" spans="1:7" x14ac:dyDescent="0.35">
      <c r="A2781">
        <v>1300</v>
      </c>
      <c r="B2781">
        <f t="shared" si="215"/>
        <v>-38.352063822407217</v>
      </c>
      <c r="C2781">
        <f t="shared" si="216"/>
        <v>1470.8807994379965</v>
      </c>
      <c r="D2781">
        <v>64684</v>
      </c>
      <c r="E2781">
        <f t="shared" si="217"/>
        <v>6.4683999999999999</v>
      </c>
      <c r="F2781">
        <f t="shared" si="218"/>
        <v>3.0885440166493274</v>
      </c>
      <c r="G2781">
        <f t="shared" si="219"/>
        <v>9.5391041427803618</v>
      </c>
    </row>
    <row r="2782" spans="1:7" x14ac:dyDescent="0.35">
      <c r="A2782">
        <v>1300</v>
      </c>
      <c r="B2782">
        <f t="shared" si="215"/>
        <v>-38.352063822407217</v>
      </c>
      <c r="C2782">
        <f t="shared" si="216"/>
        <v>1470.8807994379965</v>
      </c>
      <c r="D2782">
        <v>65839</v>
      </c>
      <c r="E2782">
        <f t="shared" si="217"/>
        <v>6.5838999999999999</v>
      </c>
      <c r="F2782">
        <f t="shared" si="218"/>
        <v>3.2040440166493274</v>
      </c>
      <c r="G2782">
        <f t="shared" si="219"/>
        <v>10.265898060626355</v>
      </c>
    </row>
    <row r="2783" spans="1:7" x14ac:dyDescent="0.35">
      <c r="A2783">
        <v>1300</v>
      </c>
      <c r="B2783">
        <f t="shared" si="215"/>
        <v>-38.352063822407217</v>
      </c>
      <c r="C2783">
        <f t="shared" si="216"/>
        <v>1470.8807994379965</v>
      </c>
      <c r="D2783">
        <v>50862</v>
      </c>
      <c r="E2783">
        <f t="shared" si="217"/>
        <v>5.0861999999999998</v>
      </c>
      <c r="F2783">
        <f t="shared" si="218"/>
        <v>1.7063440166493273</v>
      </c>
      <c r="G2783">
        <f t="shared" si="219"/>
        <v>2.91160990315496</v>
      </c>
    </row>
    <row r="2784" spans="1:7" x14ac:dyDescent="0.35">
      <c r="A2784">
        <v>1300</v>
      </c>
      <c r="B2784">
        <f t="shared" si="215"/>
        <v>-38.352063822407217</v>
      </c>
      <c r="C2784">
        <f t="shared" si="216"/>
        <v>1470.8807994379965</v>
      </c>
      <c r="D2784">
        <v>63830</v>
      </c>
      <c r="E2784">
        <f t="shared" si="217"/>
        <v>6.383</v>
      </c>
      <c r="F2784">
        <f t="shared" si="218"/>
        <v>3.0031440166493275</v>
      </c>
      <c r="G2784">
        <f t="shared" si="219"/>
        <v>9.0188739847366559</v>
      </c>
    </row>
    <row r="2785" spans="1:7" x14ac:dyDescent="0.35">
      <c r="A2785">
        <v>1300</v>
      </c>
      <c r="B2785">
        <f t="shared" si="215"/>
        <v>-38.352063822407217</v>
      </c>
      <c r="C2785">
        <f t="shared" si="216"/>
        <v>1470.8807994379965</v>
      </c>
      <c r="D2785">
        <v>63840</v>
      </c>
      <c r="E2785">
        <f t="shared" si="217"/>
        <v>6.3840000000000003</v>
      </c>
      <c r="F2785">
        <f t="shared" si="218"/>
        <v>3.0041440166493278</v>
      </c>
      <c r="G2785">
        <f t="shared" si="219"/>
        <v>9.0248812727699566</v>
      </c>
    </row>
    <row r="2786" spans="1:7" x14ac:dyDescent="0.35">
      <c r="A2786">
        <v>1300</v>
      </c>
      <c r="B2786">
        <f t="shared" si="215"/>
        <v>-38.352063822407217</v>
      </c>
      <c r="C2786">
        <f t="shared" si="216"/>
        <v>1470.8807994379965</v>
      </c>
      <c r="D2786">
        <v>67037</v>
      </c>
      <c r="E2786">
        <f t="shared" si="217"/>
        <v>6.7037000000000004</v>
      </c>
      <c r="F2786">
        <f t="shared" si="218"/>
        <v>3.3238440166493279</v>
      </c>
      <c r="G2786">
        <f t="shared" si="219"/>
        <v>11.047939047015538</v>
      </c>
    </row>
    <row r="2787" spans="1:7" x14ac:dyDescent="0.35">
      <c r="A2787">
        <v>1300</v>
      </c>
      <c r="B2787">
        <f t="shared" si="215"/>
        <v>-38.352063822407217</v>
      </c>
      <c r="C2787">
        <f t="shared" si="216"/>
        <v>1470.8807994379965</v>
      </c>
      <c r="D2787">
        <v>58632</v>
      </c>
      <c r="E2787">
        <f t="shared" si="217"/>
        <v>5.8632</v>
      </c>
      <c r="F2787">
        <f t="shared" si="218"/>
        <v>2.4833440166493275</v>
      </c>
      <c r="G2787">
        <f t="shared" si="219"/>
        <v>6.1669975050280152</v>
      </c>
    </row>
    <row r="2788" spans="1:7" x14ac:dyDescent="0.35">
      <c r="A2788">
        <v>1300</v>
      </c>
      <c r="B2788">
        <f t="shared" si="215"/>
        <v>-38.352063822407217</v>
      </c>
      <c r="C2788">
        <f t="shared" si="216"/>
        <v>1470.8807994379965</v>
      </c>
      <c r="D2788">
        <v>67712</v>
      </c>
      <c r="E2788">
        <f t="shared" si="217"/>
        <v>6.7712000000000003</v>
      </c>
      <c r="F2788">
        <f t="shared" si="218"/>
        <v>3.3913440166493278</v>
      </c>
      <c r="G2788">
        <f t="shared" si="219"/>
        <v>11.501214239263197</v>
      </c>
    </row>
    <row r="2789" spans="1:7" x14ac:dyDescent="0.35">
      <c r="A2789">
        <v>1300</v>
      </c>
      <c r="B2789">
        <f t="shared" si="215"/>
        <v>-38.352063822407217</v>
      </c>
      <c r="C2789">
        <f t="shared" si="216"/>
        <v>1470.8807994379965</v>
      </c>
      <c r="D2789">
        <v>66005</v>
      </c>
      <c r="E2789">
        <f t="shared" si="217"/>
        <v>6.6005000000000003</v>
      </c>
      <c r="F2789">
        <f t="shared" si="218"/>
        <v>3.2206440166493278</v>
      </c>
      <c r="G2789">
        <f t="shared" si="219"/>
        <v>10.372547881979115</v>
      </c>
    </row>
    <row r="2790" spans="1:7" x14ac:dyDescent="0.35">
      <c r="A2790">
        <v>1300</v>
      </c>
      <c r="B2790">
        <f t="shared" si="215"/>
        <v>-38.352063822407217</v>
      </c>
      <c r="C2790">
        <f t="shared" si="216"/>
        <v>1470.8807994379965</v>
      </c>
      <c r="D2790">
        <v>72893</v>
      </c>
      <c r="E2790">
        <f t="shared" si="217"/>
        <v>7.2892999999999999</v>
      </c>
      <c r="F2790">
        <f t="shared" si="218"/>
        <v>3.9094440166493274</v>
      </c>
      <c r="G2790">
        <f t="shared" si="219"/>
        <v>15.283752519315227</v>
      </c>
    </row>
    <row r="2791" spans="1:7" x14ac:dyDescent="0.35">
      <c r="A2791">
        <v>1300</v>
      </c>
      <c r="B2791">
        <f t="shared" si="215"/>
        <v>-38.352063822407217</v>
      </c>
      <c r="C2791">
        <f t="shared" si="216"/>
        <v>1470.8807994379965</v>
      </c>
      <c r="D2791">
        <v>78796</v>
      </c>
      <c r="E2791">
        <f t="shared" si="217"/>
        <v>7.8795999999999999</v>
      </c>
      <c r="F2791">
        <f t="shared" si="218"/>
        <v>4.499744016649327</v>
      </c>
      <c r="G2791">
        <f t="shared" si="219"/>
        <v>20.24769621537142</v>
      </c>
    </row>
    <row r="2792" spans="1:7" x14ac:dyDescent="0.35">
      <c r="A2792">
        <v>1300</v>
      </c>
      <c r="B2792">
        <f t="shared" si="215"/>
        <v>-38.352063822407217</v>
      </c>
      <c r="C2792">
        <f t="shared" si="216"/>
        <v>1470.8807994379965</v>
      </c>
      <c r="D2792">
        <v>78989</v>
      </c>
      <c r="E2792">
        <f t="shared" si="217"/>
        <v>7.8989000000000003</v>
      </c>
      <c r="F2792">
        <f t="shared" si="218"/>
        <v>4.5190440166493282</v>
      </c>
      <c r="G2792">
        <f t="shared" si="219"/>
        <v>20.421758824414095</v>
      </c>
    </row>
    <row r="2793" spans="1:7" x14ac:dyDescent="0.35">
      <c r="A2793">
        <v>1300</v>
      </c>
      <c r="B2793">
        <f t="shared" si="215"/>
        <v>-38.352063822407217</v>
      </c>
      <c r="C2793">
        <f t="shared" si="216"/>
        <v>1470.8807994379965</v>
      </c>
      <c r="D2793">
        <v>80100</v>
      </c>
      <c r="E2793">
        <f t="shared" si="217"/>
        <v>8.01</v>
      </c>
      <c r="F2793">
        <f t="shared" si="218"/>
        <v>4.6301440166493268</v>
      </c>
      <c r="G2793">
        <f t="shared" si="219"/>
        <v>21.43823361491356</v>
      </c>
    </row>
    <row r="2794" spans="1:7" x14ac:dyDescent="0.35">
      <c r="A2794">
        <v>1300</v>
      </c>
      <c r="B2794">
        <f t="shared" si="215"/>
        <v>-38.352063822407217</v>
      </c>
      <c r="C2794">
        <f t="shared" si="216"/>
        <v>1470.8807994379965</v>
      </c>
      <c r="D2794">
        <v>70954</v>
      </c>
      <c r="E2794">
        <f t="shared" si="217"/>
        <v>7.0953999999999997</v>
      </c>
      <c r="F2794">
        <f t="shared" si="218"/>
        <v>3.7155440166493272</v>
      </c>
      <c r="G2794">
        <f t="shared" si="219"/>
        <v>13.805267339658617</v>
      </c>
    </row>
    <row r="2795" spans="1:7" x14ac:dyDescent="0.35">
      <c r="A2795">
        <v>1300</v>
      </c>
      <c r="B2795">
        <f t="shared" si="215"/>
        <v>-38.352063822407217</v>
      </c>
      <c r="C2795">
        <f t="shared" si="216"/>
        <v>1470.8807994379965</v>
      </c>
      <c r="D2795">
        <v>83827</v>
      </c>
      <c r="E2795">
        <f t="shared" si="217"/>
        <v>8.3826999999999998</v>
      </c>
      <c r="F2795">
        <f t="shared" si="218"/>
        <v>5.0028440166493269</v>
      </c>
      <c r="G2795">
        <f t="shared" si="219"/>
        <v>25.028448254923969</v>
      </c>
    </row>
    <row r="2796" spans="1:7" x14ac:dyDescent="0.35">
      <c r="A2796">
        <v>1300</v>
      </c>
      <c r="B2796">
        <f t="shared" si="215"/>
        <v>-38.352063822407217</v>
      </c>
      <c r="C2796">
        <f t="shared" si="216"/>
        <v>1470.8807994379965</v>
      </c>
      <c r="D2796">
        <v>78513</v>
      </c>
      <c r="E2796">
        <f t="shared" si="217"/>
        <v>7.8513000000000002</v>
      </c>
      <c r="F2796">
        <f t="shared" si="218"/>
        <v>4.4714440166493272</v>
      </c>
      <c r="G2796">
        <f t="shared" si="219"/>
        <v>19.993811594029069</v>
      </c>
    </row>
    <row r="2797" spans="1:7" x14ac:dyDescent="0.35">
      <c r="A2797">
        <v>1300</v>
      </c>
      <c r="B2797">
        <f t="shared" si="215"/>
        <v>-38.352063822407217</v>
      </c>
      <c r="C2797">
        <f t="shared" si="216"/>
        <v>1470.8807994379965</v>
      </c>
      <c r="D2797">
        <v>78812</v>
      </c>
      <c r="E2797">
        <f t="shared" si="217"/>
        <v>7.8811999999999998</v>
      </c>
      <c r="F2797">
        <f t="shared" si="218"/>
        <v>4.5013440166493268</v>
      </c>
      <c r="G2797">
        <f t="shared" si="219"/>
        <v>20.262097956224697</v>
      </c>
    </row>
    <row r="2798" spans="1:7" x14ac:dyDescent="0.35">
      <c r="A2798">
        <v>1300</v>
      </c>
      <c r="B2798">
        <f t="shared" si="215"/>
        <v>-38.352063822407217</v>
      </c>
      <c r="C2798">
        <f t="shared" si="216"/>
        <v>1470.8807994379965</v>
      </c>
      <c r="D2798">
        <v>80544</v>
      </c>
      <c r="E2798">
        <f t="shared" si="217"/>
        <v>8.0543999999999993</v>
      </c>
      <c r="F2798">
        <f t="shared" si="218"/>
        <v>4.6745440166493264</v>
      </c>
      <c r="G2798">
        <f t="shared" si="219"/>
        <v>21.851361763592017</v>
      </c>
    </row>
    <row r="2799" spans="1:7" x14ac:dyDescent="0.35">
      <c r="A2799">
        <v>1300</v>
      </c>
      <c r="B2799">
        <f t="shared" si="215"/>
        <v>-38.352063822407217</v>
      </c>
      <c r="C2799">
        <f t="shared" si="216"/>
        <v>1470.8807994379965</v>
      </c>
      <c r="D2799">
        <v>80896</v>
      </c>
      <c r="E2799">
        <f t="shared" si="217"/>
        <v>8.0896000000000008</v>
      </c>
      <c r="F2799">
        <f t="shared" si="218"/>
        <v>4.7097440166493278</v>
      </c>
      <c r="G2799">
        <f t="shared" si="219"/>
        <v>22.181688702364145</v>
      </c>
    </row>
    <row r="2800" spans="1:7" x14ac:dyDescent="0.35">
      <c r="A2800">
        <v>1300</v>
      </c>
      <c r="B2800">
        <f t="shared" si="215"/>
        <v>-38.352063822407217</v>
      </c>
      <c r="C2800">
        <f t="shared" si="216"/>
        <v>1470.8807994379965</v>
      </c>
      <c r="D2800">
        <v>85690</v>
      </c>
      <c r="E2800">
        <f t="shared" si="217"/>
        <v>8.5690000000000008</v>
      </c>
      <c r="F2800">
        <f t="shared" si="218"/>
        <v>5.1891440166493279</v>
      </c>
      <c r="G2800">
        <f t="shared" si="219"/>
        <v>26.92721562552752</v>
      </c>
    </row>
    <row r="2801" spans="1:7" x14ac:dyDescent="0.35">
      <c r="A2801">
        <v>206</v>
      </c>
      <c r="B2801">
        <f t="shared" si="215"/>
        <v>-1132.3520638224072</v>
      </c>
      <c r="C2801">
        <f t="shared" si="216"/>
        <v>1282221.1964428651</v>
      </c>
      <c r="D2801">
        <v>32029</v>
      </c>
      <c r="E2801">
        <f t="shared" si="217"/>
        <v>3.2029000000000001</v>
      </c>
      <c r="F2801">
        <f t="shared" si="218"/>
        <v>-0.17695598335067242</v>
      </c>
      <c r="G2801">
        <f t="shared" si="219"/>
        <v>3.1313420043603456E-2</v>
      </c>
    </row>
    <row r="2802" spans="1:7" x14ac:dyDescent="0.35">
      <c r="A2802">
        <v>206</v>
      </c>
      <c r="B2802">
        <f t="shared" si="215"/>
        <v>-1132.3520638224072</v>
      </c>
      <c r="C2802">
        <f t="shared" si="216"/>
        <v>1282221.1964428651</v>
      </c>
      <c r="D2802">
        <v>32191</v>
      </c>
      <c r="E2802">
        <f t="shared" si="217"/>
        <v>3.2191000000000001</v>
      </c>
      <c r="F2802">
        <f t="shared" si="218"/>
        <v>-0.16075598335067243</v>
      </c>
      <c r="G2802">
        <f t="shared" si="219"/>
        <v>2.584248618304167E-2</v>
      </c>
    </row>
    <row r="2803" spans="1:7" x14ac:dyDescent="0.35">
      <c r="A2803">
        <v>206</v>
      </c>
      <c r="B2803">
        <f t="shared" si="215"/>
        <v>-1132.3520638224072</v>
      </c>
      <c r="C2803">
        <f t="shared" si="216"/>
        <v>1282221.1964428651</v>
      </c>
      <c r="D2803">
        <v>31622</v>
      </c>
      <c r="E2803">
        <f t="shared" si="217"/>
        <v>3.1621999999999999</v>
      </c>
      <c r="F2803">
        <f t="shared" si="218"/>
        <v>-0.2176559833506726</v>
      </c>
      <c r="G2803">
        <f t="shared" si="219"/>
        <v>4.7374127088348268E-2</v>
      </c>
    </row>
    <row r="2804" spans="1:7" x14ac:dyDescent="0.35">
      <c r="A2804">
        <v>206</v>
      </c>
      <c r="B2804">
        <f t="shared" si="215"/>
        <v>-1132.3520638224072</v>
      </c>
      <c r="C2804">
        <f t="shared" si="216"/>
        <v>1282221.1964428651</v>
      </c>
      <c r="D2804">
        <v>19747</v>
      </c>
      <c r="E2804">
        <f t="shared" si="217"/>
        <v>1.9746999999999999</v>
      </c>
      <c r="F2804">
        <f t="shared" si="218"/>
        <v>-1.4051559833506726</v>
      </c>
      <c r="G2804">
        <f t="shared" si="219"/>
        <v>1.9744633375461957</v>
      </c>
    </row>
    <row r="2805" spans="1:7" x14ac:dyDescent="0.35">
      <c r="A2805">
        <v>206</v>
      </c>
      <c r="B2805">
        <f t="shared" si="215"/>
        <v>-1132.3520638224072</v>
      </c>
      <c r="C2805">
        <f t="shared" si="216"/>
        <v>1282221.1964428651</v>
      </c>
      <c r="D2805">
        <v>19249</v>
      </c>
      <c r="E2805">
        <f t="shared" si="217"/>
        <v>1.9249000000000001</v>
      </c>
      <c r="F2805">
        <f t="shared" si="218"/>
        <v>-1.4549559833506724</v>
      </c>
      <c r="G2805">
        <f t="shared" si="219"/>
        <v>2.1168969134879223</v>
      </c>
    </row>
    <row r="2806" spans="1:7" x14ac:dyDescent="0.35">
      <c r="A2806">
        <v>206</v>
      </c>
      <c r="B2806">
        <f t="shared" si="215"/>
        <v>-1132.3520638224072</v>
      </c>
      <c r="C2806">
        <f t="shared" si="216"/>
        <v>1282221.1964428651</v>
      </c>
      <c r="D2806">
        <v>21347</v>
      </c>
      <c r="E2806">
        <f t="shared" si="217"/>
        <v>2.1347</v>
      </c>
      <c r="F2806">
        <f t="shared" si="218"/>
        <v>-1.2451559833506725</v>
      </c>
      <c r="G2806">
        <f t="shared" si="219"/>
        <v>1.5504134228739801</v>
      </c>
    </row>
    <row r="2807" spans="1:7" x14ac:dyDescent="0.35">
      <c r="A2807">
        <v>206</v>
      </c>
      <c r="B2807">
        <f t="shared" si="215"/>
        <v>-1132.3520638224072</v>
      </c>
      <c r="C2807">
        <f t="shared" si="216"/>
        <v>1282221.1964428651</v>
      </c>
      <c r="D2807">
        <v>25121</v>
      </c>
      <c r="E2807">
        <f t="shared" si="217"/>
        <v>2.5121000000000002</v>
      </c>
      <c r="F2807">
        <f t="shared" si="218"/>
        <v>-0.86775598335067228</v>
      </c>
      <c r="G2807">
        <f t="shared" si="219"/>
        <v>0.75300044664089227</v>
      </c>
    </row>
    <row r="2808" spans="1:7" x14ac:dyDescent="0.35">
      <c r="A2808">
        <v>206</v>
      </c>
      <c r="B2808">
        <f t="shared" si="215"/>
        <v>-1132.3520638224072</v>
      </c>
      <c r="C2808">
        <f t="shared" si="216"/>
        <v>1282221.1964428651</v>
      </c>
      <c r="D2808">
        <v>26973</v>
      </c>
      <c r="E2808">
        <f t="shared" si="217"/>
        <v>2.6972999999999998</v>
      </c>
      <c r="F2808">
        <f t="shared" si="218"/>
        <v>-0.68255598335067269</v>
      </c>
      <c r="G2808">
        <f t="shared" si="219"/>
        <v>0.46588267040780379</v>
      </c>
    </row>
    <row r="2809" spans="1:7" x14ac:dyDescent="0.35">
      <c r="A2809">
        <v>206</v>
      </c>
      <c r="B2809">
        <f t="shared" si="215"/>
        <v>-1132.3520638224072</v>
      </c>
      <c r="C2809">
        <f t="shared" si="216"/>
        <v>1282221.1964428651</v>
      </c>
      <c r="D2809">
        <v>35224</v>
      </c>
      <c r="E2809">
        <f t="shared" si="217"/>
        <v>3.5224000000000002</v>
      </c>
      <c r="F2809">
        <f t="shared" si="218"/>
        <v>0.1425440166493277</v>
      </c>
      <c r="G2809">
        <f t="shared" si="219"/>
        <v>2.0318796682523812E-2</v>
      </c>
    </row>
    <row r="2810" spans="1:7" x14ac:dyDescent="0.35">
      <c r="A2810">
        <v>206</v>
      </c>
      <c r="B2810">
        <f t="shared" si="215"/>
        <v>-1132.3520638224072</v>
      </c>
      <c r="C2810">
        <f t="shared" si="216"/>
        <v>1282221.1964428651</v>
      </c>
      <c r="D2810">
        <v>23256</v>
      </c>
      <c r="E2810">
        <f t="shared" si="217"/>
        <v>2.3256000000000001</v>
      </c>
      <c r="F2810">
        <f t="shared" si="218"/>
        <v>-1.0542559833506724</v>
      </c>
      <c r="G2810">
        <f t="shared" si="219"/>
        <v>1.1114556784306933</v>
      </c>
    </row>
    <row r="2811" spans="1:7" x14ac:dyDescent="0.35">
      <c r="A2811">
        <v>206</v>
      </c>
      <c r="B2811">
        <f t="shared" si="215"/>
        <v>-1132.3520638224072</v>
      </c>
      <c r="C2811">
        <f t="shared" si="216"/>
        <v>1282221.1964428651</v>
      </c>
      <c r="D2811">
        <v>52877</v>
      </c>
      <c r="E2811">
        <f t="shared" si="217"/>
        <v>5.2877000000000001</v>
      </c>
      <c r="F2811">
        <f t="shared" si="218"/>
        <v>1.9078440166493276</v>
      </c>
      <c r="G2811">
        <f t="shared" si="219"/>
        <v>3.6398687918646395</v>
      </c>
    </row>
    <row r="2812" spans="1:7" x14ac:dyDescent="0.35">
      <c r="A2812">
        <v>206</v>
      </c>
      <c r="B2812">
        <f t="shared" si="215"/>
        <v>-1132.3520638224072</v>
      </c>
      <c r="C2812">
        <f t="shared" si="216"/>
        <v>1282221.1964428651</v>
      </c>
      <c r="D2812">
        <v>28453</v>
      </c>
      <c r="E2812">
        <f t="shared" si="217"/>
        <v>2.8452999999999999</v>
      </c>
      <c r="F2812">
        <f t="shared" si="218"/>
        <v>-0.53455598335067256</v>
      </c>
      <c r="G2812">
        <f t="shared" si="219"/>
        <v>0.28575009933600454</v>
      </c>
    </row>
    <row r="2813" spans="1:7" x14ac:dyDescent="0.35">
      <c r="A2813">
        <v>206</v>
      </c>
      <c r="B2813">
        <f t="shared" si="215"/>
        <v>-1132.3520638224072</v>
      </c>
      <c r="C2813">
        <f t="shared" si="216"/>
        <v>1282221.1964428651</v>
      </c>
      <c r="D2813">
        <v>32717</v>
      </c>
      <c r="E2813">
        <f t="shared" si="217"/>
        <v>3.2717000000000001</v>
      </c>
      <c r="F2813">
        <f t="shared" si="218"/>
        <v>-0.10815598335067245</v>
      </c>
      <c r="G2813">
        <f t="shared" si="219"/>
        <v>1.1697716734550936E-2</v>
      </c>
    </row>
    <row r="2814" spans="1:7" x14ac:dyDescent="0.35">
      <c r="A2814">
        <v>206</v>
      </c>
      <c r="B2814">
        <f t="shared" si="215"/>
        <v>-1132.3520638224072</v>
      </c>
      <c r="C2814">
        <f t="shared" si="216"/>
        <v>1282221.1964428651</v>
      </c>
      <c r="D2814">
        <v>36927</v>
      </c>
      <c r="E2814">
        <f t="shared" si="217"/>
        <v>3.6926999999999999</v>
      </c>
      <c r="F2814">
        <f t="shared" si="218"/>
        <v>0.31284401664932737</v>
      </c>
      <c r="G2814">
        <f t="shared" si="219"/>
        <v>9.7871378753284624E-2</v>
      </c>
    </row>
    <row r="2815" spans="1:7" x14ac:dyDescent="0.35">
      <c r="A2815">
        <v>206</v>
      </c>
      <c r="B2815">
        <f t="shared" si="215"/>
        <v>-1132.3520638224072</v>
      </c>
      <c r="C2815">
        <f t="shared" si="216"/>
        <v>1282221.1964428651</v>
      </c>
      <c r="D2815">
        <v>41208</v>
      </c>
      <c r="E2815">
        <f t="shared" si="217"/>
        <v>4.1208</v>
      </c>
      <c r="F2815">
        <f t="shared" si="218"/>
        <v>0.74094401664932752</v>
      </c>
      <c r="G2815">
        <f t="shared" si="219"/>
        <v>0.54899803580843898</v>
      </c>
    </row>
    <row r="2816" spans="1:7" x14ac:dyDescent="0.35">
      <c r="A2816">
        <v>206</v>
      </c>
      <c r="B2816">
        <f t="shared" si="215"/>
        <v>-1132.3520638224072</v>
      </c>
      <c r="C2816">
        <f t="shared" si="216"/>
        <v>1282221.1964428651</v>
      </c>
      <c r="D2816">
        <v>33639</v>
      </c>
      <c r="E2816">
        <f t="shared" si="217"/>
        <v>3.3639000000000001</v>
      </c>
      <c r="F2816">
        <f t="shared" si="218"/>
        <v>-1.5955983350672387E-2</v>
      </c>
      <c r="G2816">
        <f t="shared" si="219"/>
        <v>2.5459340468693441E-4</v>
      </c>
    </row>
    <row r="2817" spans="1:7" x14ac:dyDescent="0.35">
      <c r="A2817">
        <v>206</v>
      </c>
      <c r="B2817">
        <f t="shared" si="215"/>
        <v>-1132.3520638224072</v>
      </c>
      <c r="C2817">
        <f t="shared" si="216"/>
        <v>1282221.1964428651</v>
      </c>
      <c r="D2817">
        <v>44656</v>
      </c>
      <c r="E2817">
        <f t="shared" si="217"/>
        <v>4.4656000000000002</v>
      </c>
      <c r="F2817">
        <f t="shared" si="218"/>
        <v>1.0857440166493277</v>
      </c>
      <c r="G2817">
        <f t="shared" si="219"/>
        <v>1.1788400696898156</v>
      </c>
    </row>
    <row r="2818" spans="1:7" x14ac:dyDescent="0.35">
      <c r="A2818">
        <v>206</v>
      </c>
      <c r="B2818">
        <f t="shared" si="215"/>
        <v>-1132.3520638224072</v>
      </c>
      <c r="C2818">
        <f t="shared" si="216"/>
        <v>1282221.1964428651</v>
      </c>
      <c r="D2818">
        <v>36098</v>
      </c>
      <c r="E2818">
        <f t="shared" si="217"/>
        <v>3.6097999999999999</v>
      </c>
      <c r="F2818">
        <f t="shared" si="218"/>
        <v>0.2299440166493274</v>
      </c>
      <c r="G2818">
        <f t="shared" si="219"/>
        <v>5.2874250792826157E-2</v>
      </c>
    </row>
    <row r="2819" spans="1:7" x14ac:dyDescent="0.35">
      <c r="A2819">
        <v>206</v>
      </c>
      <c r="B2819">
        <f t="shared" ref="B2819:B2882" si="220">A2819-$J$1</f>
        <v>-1132.3520638224072</v>
      </c>
      <c r="C2819">
        <f t="shared" ref="C2819:C2882" si="221">B2819^2</f>
        <v>1282221.1964428651</v>
      </c>
      <c r="D2819">
        <v>51843</v>
      </c>
      <c r="E2819">
        <f t="shared" ref="E2819:E2882" si="222">D2819/10000</f>
        <v>5.1843000000000004</v>
      </c>
      <c r="F2819">
        <f t="shared" ref="F2819:F2882" si="223">E2819-$J$2</f>
        <v>1.8044440166493279</v>
      </c>
      <c r="G2819">
        <f t="shared" ref="G2819:G2882" si="224">F2819^2</f>
        <v>3.2560182092215597</v>
      </c>
    </row>
    <row r="2820" spans="1:7" x14ac:dyDescent="0.35">
      <c r="A2820">
        <v>206</v>
      </c>
      <c r="B2820">
        <f t="shared" si="220"/>
        <v>-1132.3520638224072</v>
      </c>
      <c r="C2820">
        <f t="shared" si="221"/>
        <v>1282221.1964428651</v>
      </c>
      <c r="D2820">
        <v>42689</v>
      </c>
      <c r="E2820">
        <f t="shared" si="222"/>
        <v>4.2689000000000004</v>
      </c>
      <c r="F2820">
        <f t="shared" si="223"/>
        <v>0.88904401664932786</v>
      </c>
      <c r="G2820">
        <f t="shared" si="224"/>
        <v>0.79039926353997036</v>
      </c>
    </row>
    <row r="2821" spans="1:7" x14ac:dyDescent="0.35">
      <c r="A2821">
        <v>206</v>
      </c>
      <c r="B2821">
        <f t="shared" si="220"/>
        <v>-1132.3520638224072</v>
      </c>
      <c r="C2821">
        <f t="shared" si="221"/>
        <v>1282221.1964428651</v>
      </c>
      <c r="D2821">
        <v>75773</v>
      </c>
      <c r="E2821">
        <f t="shared" si="222"/>
        <v>7.5773000000000001</v>
      </c>
      <c r="F2821">
        <f t="shared" si="223"/>
        <v>4.1974440166493281</v>
      </c>
      <c r="G2821">
        <f t="shared" si="224"/>
        <v>17.618536272905246</v>
      </c>
    </row>
    <row r="2822" spans="1:7" x14ac:dyDescent="0.35">
      <c r="A2822">
        <v>206</v>
      </c>
      <c r="B2822">
        <f t="shared" si="220"/>
        <v>-1132.3520638224072</v>
      </c>
      <c r="C2822">
        <f t="shared" si="221"/>
        <v>1282221.1964428651</v>
      </c>
      <c r="D2822">
        <v>72971</v>
      </c>
      <c r="E2822">
        <f t="shared" si="222"/>
        <v>7.2971000000000004</v>
      </c>
      <c r="F2822">
        <f t="shared" si="223"/>
        <v>3.9172440166493279</v>
      </c>
      <c r="G2822">
        <f t="shared" si="224"/>
        <v>15.34480068597496</v>
      </c>
    </row>
    <row r="2823" spans="1:7" x14ac:dyDescent="0.35">
      <c r="A2823">
        <v>206</v>
      </c>
      <c r="B2823">
        <f t="shared" si="220"/>
        <v>-1132.3520638224072</v>
      </c>
      <c r="C2823">
        <f t="shared" si="221"/>
        <v>1282221.1964428651</v>
      </c>
      <c r="D2823">
        <v>60389</v>
      </c>
      <c r="E2823">
        <f t="shared" si="222"/>
        <v>6.0388999999999999</v>
      </c>
      <c r="F2823">
        <f t="shared" si="223"/>
        <v>2.6590440166493274</v>
      </c>
      <c r="G2823">
        <f t="shared" si="224"/>
        <v>7.0705150824785887</v>
      </c>
    </row>
    <row r="2824" spans="1:7" x14ac:dyDescent="0.35">
      <c r="A2824">
        <v>206</v>
      </c>
      <c r="B2824">
        <f t="shared" si="220"/>
        <v>-1132.3520638224072</v>
      </c>
      <c r="C2824">
        <f t="shared" si="221"/>
        <v>1282221.1964428651</v>
      </c>
      <c r="D2824">
        <v>29322</v>
      </c>
      <c r="E2824">
        <f t="shared" si="222"/>
        <v>2.9321999999999999</v>
      </c>
      <c r="F2824">
        <f t="shared" si="223"/>
        <v>-0.44765598335067258</v>
      </c>
      <c r="G2824">
        <f t="shared" si="224"/>
        <v>0.20039587942965764</v>
      </c>
    </row>
    <row r="2825" spans="1:7" x14ac:dyDescent="0.35">
      <c r="A2825">
        <v>1020</v>
      </c>
      <c r="B2825">
        <f t="shared" si="220"/>
        <v>-318.35206382240722</v>
      </c>
      <c r="C2825">
        <f t="shared" si="221"/>
        <v>101348.03653998603</v>
      </c>
      <c r="D2825">
        <v>10497</v>
      </c>
      <c r="E2825">
        <f t="shared" si="222"/>
        <v>1.0497000000000001</v>
      </c>
      <c r="F2825">
        <f t="shared" si="223"/>
        <v>-2.3301559833506724</v>
      </c>
      <c r="G2825">
        <f t="shared" si="224"/>
        <v>5.4296269067449394</v>
      </c>
    </row>
    <row r="2826" spans="1:7" x14ac:dyDescent="0.35">
      <c r="A2826">
        <v>1020</v>
      </c>
      <c r="B2826">
        <f t="shared" si="220"/>
        <v>-318.35206382240722</v>
      </c>
      <c r="C2826">
        <f t="shared" si="221"/>
        <v>101348.03653998603</v>
      </c>
      <c r="D2826">
        <v>10772</v>
      </c>
      <c r="E2826">
        <f t="shared" si="222"/>
        <v>1.0771999999999999</v>
      </c>
      <c r="F2826">
        <f t="shared" si="223"/>
        <v>-2.3026559833506726</v>
      </c>
      <c r="G2826">
        <f t="shared" si="224"/>
        <v>5.3022245776606525</v>
      </c>
    </row>
    <row r="2827" spans="1:7" x14ac:dyDescent="0.35">
      <c r="A2827">
        <v>1020</v>
      </c>
      <c r="B2827">
        <f t="shared" si="220"/>
        <v>-318.35206382240722</v>
      </c>
      <c r="C2827">
        <f t="shared" si="221"/>
        <v>101348.03653998603</v>
      </c>
      <c r="D2827">
        <v>9486</v>
      </c>
      <c r="E2827">
        <f t="shared" si="222"/>
        <v>0.9486</v>
      </c>
      <c r="F2827">
        <f t="shared" si="223"/>
        <v>-2.4312559833506726</v>
      </c>
      <c r="G2827">
        <f t="shared" si="224"/>
        <v>5.9110056565784461</v>
      </c>
    </row>
    <row r="2828" spans="1:7" x14ac:dyDescent="0.35">
      <c r="A2828">
        <v>1020</v>
      </c>
      <c r="B2828">
        <f t="shared" si="220"/>
        <v>-318.35206382240722</v>
      </c>
      <c r="C2828">
        <f t="shared" si="221"/>
        <v>101348.03653998603</v>
      </c>
      <c r="D2828">
        <v>9159</v>
      </c>
      <c r="E2828">
        <f t="shared" si="222"/>
        <v>0.91590000000000005</v>
      </c>
      <c r="F2828">
        <f t="shared" si="223"/>
        <v>-2.4639559833506723</v>
      </c>
      <c r="G2828">
        <f t="shared" si="224"/>
        <v>6.0710790878895784</v>
      </c>
    </row>
    <row r="2829" spans="1:7" x14ac:dyDescent="0.35">
      <c r="A2829">
        <v>1020</v>
      </c>
      <c r="B2829">
        <f t="shared" si="220"/>
        <v>-318.35206382240722</v>
      </c>
      <c r="C2829">
        <f t="shared" si="221"/>
        <v>101348.03653998603</v>
      </c>
      <c r="D2829">
        <v>9664</v>
      </c>
      <c r="E2829">
        <f t="shared" si="222"/>
        <v>0.96640000000000004</v>
      </c>
      <c r="F2829">
        <f t="shared" si="223"/>
        <v>-2.4134559833506724</v>
      </c>
      <c r="G2829">
        <f t="shared" si="224"/>
        <v>5.8247697835711607</v>
      </c>
    </row>
    <row r="2830" spans="1:7" x14ac:dyDescent="0.35">
      <c r="A2830">
        <v>1020</v>
      </c>
      <c r="B2830">
        <f t="shared" si="220"/>
        <v>-318.35206382240722</v>
      </c>
      <c r="C2830">
        <f t="shared" si="221"/>
        <v>101348.03653998603</v>
      </c>
      <c r="D2830">
        <v>10857</v>
      </c>
      <c r="E2830">
        <f t="shared" si="222"/>
        <v>1.0857000000000001</v>
      </c>
      <c r="F2830">
        <f t="shared" si="223"/>
        <v>-2.2941559833506724</v>
      </c>
      <c r="G2830">
        <f t="shared" si="224"/>
        <v>5.2631516759436909</v>
      </c>
    </row>
    <row r="2831" spans="1:7" x14ac:dyDescent="0.35">
      <c r="A2831">
        <v>1020</v>
      </c>
      <c r="B2831">
        <f t="shared" si="220"/>
        <v>-318.35206382240722</v>
      </c>
      <c r="C2831">
        <f t="shared" si="221"/>
        <v>101348.03653998603</v>
      </c>
      <c r="D2831">
        <v>5764</v>
      </c>
      <c r="E2831">
        <f t="shared" si="222"/>
        <v>0.57640000000000002</v>
      </c>
      <c r="F2831">
        <f t="shared" si="223"/>
        <v>-2.8034559833506725</v>
      </c>
      <c r="G2831">
        <f t="shared" si="224"/>
        <v>7.8593654505846864</v>
      </c>
    </row>
    <row r="2832" spans="1:7" x14ac:dyDescent="0.35">
      <c r="A2832">
        <v>1020</v>
      </c>
      <c r="B2832">
        <f t="shared" si="220"/>
        <v>-318.35206382240722</v>
      </c>
      <c r="C2832">
        <f t="shared" si="221"/>
        <v>101348.03653998603</v>
      </c>
      <c r="D2832">
        <v>10138</v>
      </c>
      <c r="E2832">
        <f t="shared" si="222"/>
        <v>1.0138</v>
      </c>
      <c r="F2832">
        <f t="shared" si="223"/>
        <v>-2.3660559833506722</v>
      </c>
      <c r="G2832">
        <f t="shared" si="224"/>
        <v>5.5982209163495167</v>
      </c>
    </row>
    <row r="2833" spans="1:7" x14ac:dyDescent="0.35">
      <c r="A2833">
        <v>1020</v>
      </c>
      <c r="B2833">
        <f t="shared" si="220"/>
        <v>-318.35206382240722</v>
      </c>
      <c r="C2833">
        <f t="shared" si="221"/>
        <v>101348.03653998603</v>
      </c>
      <c r="D2833">
        <v>8859</v>
      </c>
      <c r="E2833">
        <f t="shared" si="222"/>
        <v>0.88590000000000002</v>
      </c>
      <c r="F2833">
        <f t="shared" si="223"/>
        <v>-2.4939559833506726</v>
      </c>
      <c r="G2833">
        <f t="shared" si="224"/>
        <v>6.2198164468906203</v>
      </c>
    </row>
    <row r="2834" spans="1:7" x14ac:dyDescent="0.35">
      <c r="A2834">
        <v>1020</v>
      </c>
      <c r="B2834">
        <f t="shared" si="220"/>
        <v>-318.35206382240722</v>
      </c>
      <c r="C2834">
        <f t="shared" si="221"/>
        <v>101348.03653998603</v>
      </c>
      <c r="D2834">
        <v>12426</v>
      </c>
      <c r="E2834">
        <f t="shared" si="222"/>
        <v>1.2425999999999999</v>
      </c>
      <c r="F2834">
        <f t="shared" si="223"/>
        <v>-2.1372559833506726</v>
      </c>
      <c r="G2834">
        <f t="shared" si="224"/>
        <v>4.5678631383682502</v>
      </c>
    </row>
    <row r="2835" spans="1:7" x14ac:dyDescent="0.35">
      <c r="A2835">
        <v>1020</v>
      </c>
      <c r="B2835">
        <f t="shared" si="220"/>
        <v>-318.35206382240722</v>
      </c>
      <c r="C2835">
        <f t="shared" si="221"/>
        <v>101348.03653998603</v>
      </c>
      <c r="D2835">
        <v>13447</v>
      </c>
      <c r="E2835">
        <f t="shared" si="222"/>
        <v>1.3447</v>
      </c>
      <c r="F2835">
        <f t="shared" si="223"/>
        <v>-2.0351559833506725</v>
      </c>
      <c r="G2835">
        <f t="shared" si="224"/>
        <v>4.1418598765680423</v>
      </c>
    </row>
    <row r="2836" spans="1:7" x14ac:dyDescent="0.35">
      <c r="A2836">
        <v>1020</v>
      </c>
      <c r="B2836">
        <f t="shared" si="220"/>
        <v>-318.35206382240722</v>
      </c>
      <c r="C2836">
        <f t="shared" si="221"/>
        <v>101348.03653998603</v>
      </c>
      <c r="D2836">
        <v>10049</v>
      </c>
      <c r="E2836">
        <f t="shared" si="222"/>
        <v>1.0048999999999999</v>
      </c>
      <c r="F2836">
        <f t="shared" si="223"/>
        <v>-2.3749559833506728</v>
      </c>
      <c r="G2836">
        <f t="shared" si="224"/>
        <v>5.640415922853161</v>
      </c>
    </row>
    <row r="2837" spans="1:7" x14ac:dyDescent="0.35">
      <c r="A2837">
        <v>1020</v>
      </c>
      <c r="B2837">
        <f t="shared" si="220"/>
        <v>-318.35206382240722</v>
      </c>
      <c r="C2837">
        <f t="shared" si="221"/>
        <v>101348.03653998603</v>
      </c>
      <c r="D2837">
        <v>7059</v>
      </c>
      <c r="E2837">
        <f t="shared" si="222"/>
        <v>0.70589999999999997</v>
      </c>
      <c r="F2837">
        <f t="shared" si="223"/>
        <v>-2.6739559833506723</v>
      </c>
      <c r="G2837">
        <f t="shared" si="224"/>
        <v>7.1500406008968609</v>
      </c>
    </row>
    <row r="2838" spans="1:7" x14ac:dyDescent="0.35">
      <c r="A2838">
        <v>1020</v>
      </c>
      <c r="B2838">
        <f t="shared" si="220"/>
        <v>-318.35206382240722</v>
      </c>
      <c r="C2838">
        <f t="shared" si="221"/>
        <v>101348.03653998603</v>
      </c>
      <c r="D2838">
        <v>9119</v>
      </c>
      <c r="E2838">
        <f t="shared" si="222"/>
        <v>0.91190000000000004</v>
      </c>
      <c r="F2838">
        <f t="shared" si="223"/>
        <v>-2.4679559833506723</v>
      </c>
      <c r="G2838">
        <f t="shared" si="224"/>
        <v>6.0908067357563844</v>
      </c>
    </row>
    <row r="2839" spans="1:7" x14ac:dyDescent="0.35">
      <c r="A2839">
        <v>1020</v>
      </c>
      <c r="B2839">
        <f t="shared" si="220"/>
        <v>-318.35206382240722</v>
      </c>
      <c r="C2839">
        <f t="shared" si="221"/>
        <v>101348.03653998603</v>
      </c>
      <c r="D2839">
        <v>11333</v>
      </c>
      <c r="E2839">
        <f t="shared" si="222"/>
        <v>1.1333</v>
      </c>
      <c r="F2839">
        <f t="shared" si="223"/>
        <v>-2.2465559833506727</v>
      </c>
      <c r="G2839">
        <f t="shared" si="224"/>
        <v>5.0470137863287086</v>
      </c>
    </row>
    <row r="2840" spans="1:7" x14ac:dyDescent="0.35">
      <c r="A2840">
        <v>1020</v>
      </c>
      <c r="B2840">
        <f t="shared" si="220"/>
        <v>-318.35206382240722</v>
      </c>
      <c r="C2840">
        <f t="shared" si="221"/>
        <v>101348.03653998603</v>
      </c>
      <c r="D2840">
        <v>12562</v>
      </c>
      <c r="E2840">
        <f t="shared" si="222"/>
        <v>1.2562</v>
      </c>
      <c r="F2840">
        <f t="shared" si="223"/>
        <v>-2.1236559833506723</v>
      </c>
      <c r="G2840">
        <f t="shared" si="224"/>
        <v>4.5099147356211109</v>
      </c>
    </row>
    <row r="2841" spans="1:7" x14ac:dyDescent="0.35">
      <c r="A2841">
        <v>1020</v>
      </c>
      <c r="B2841">
        <f t="shared" si="220"/>
        <v>-318.35206382240722</v>
      </c>
      <c r="C2841">
        <f t="shared" si="221"/>
        <v>101348.03653998603</v>
      </c>
      <c r="D2841">
        <v>12857</v>
      </c>
      <c r="E2841">
        <f t="shared" si="222"/>
        <v>1.2857000000000001</v>
      </c>
      <c r="F2841">
        <f t="shared" si="223"/>
        <v>-2.0941559833506727</v>
      </c>
      <c r="G2841">
        <f t="shared" si="224"/>
        <v>4.3854892826034231</v>
      </c>
    </row>
    <row r="2842" spans="1:7" x14ac:dyDescent="0.35">
      <c r="A2842">
        <v>1020</v>
      </c>
      <c r="B2842">
        <f t="shared" si="220"/>
        <v>-318.35206382240722</v>
      </c>
      <c r="C2842">
        <f t="shared" si="221"/>
        <v>101348.03653998603</v>
      </c>
      <c r="D2842">
        <v>13751</v>
      </c>
      <c r="E2842">
        <f t="shared" si="222"/>
        <v>1.3751</v>
      </c>
      <c r="F2842">
        <f t="shared" si="223"/>
        <v>-2.0047559833506723</v>
      </c>
      <c r="G2842">
        <f t="shared" si="224"/>
        <v>4.0190465527803214</v>
      </c>
    </row>
    <row r="2843" spans="1:7" x14ac:dyDescent="0.35">
      <c r="A2843">
        <v>1020</v>
      </c>
      <c r="B2843">
        <f t="shared" si="220"/>
        <v>-318.35206382240722</v>
      </c>
      <c r="C2843">
        <f t="shared" si="221"/>
        <v>101348.03653998603</v>
      </c>
      <c r="D2843">
        <v>12864</v>
      </c>
      <c r="E2843">
        <f t="shared" si="222"/>
        <v>1.2864</v>
      </c>
      <c r="F2843">
        <f t="shared" si="223"/>
        <v>-2.0934559833506725</v>
      </c>
      <c r="G2843">
        <f t="shared" si="224"/>
        <v>4.3825579542267317</v>
      </c>
    </row>
    <row r="2844" spans="1:7" x14ac:dyDescent="0.35">
      <c r="A2844">
        <v>1020</v>
      </c>
      <c r="B2844">
        <f t="shared" si="220"/>
        <v>-318.35206382240722</v>
      </c>
      <c r="C2844">
        <f t="shared" si="221"/>
        <v>101348.03653998603</v>
      </c>
      <c r="D2844">
        <v>9726</v>
      </c>
      <c r="E2844">
        <f t="shared" si="222"/>
        <v>0.97260000000000002</v>
      </c>
      <c r="F2844">
        <f t="shared" si="223"/>
        <v>-2.4072559833506726</v>
      </c>
      <c r="G2844">
        <f t="shared" si="224"/>
        <v>5.794881369377614</v>
      </c>
    </row>
    <row r="2845" spans="1:7" x14ac:dyDescent="0.35">
      <c r="A2845">
        <v>1020</v>
      </c>
      <c r="B2845">
        <f t="shared" si="220"/>
        <v>-318.35206382240722</v>
      </c>
      <c r="C2845">
        <f t="shared" si="221"/>
        <v>101348.03653998603</v>
      </c>
      <c r="D2845">
        <v>15126</v>
      </c>
      <c r="E2845">
        <f t="shared" si="222"/>
        <v>1.5125999999999999</v>
      </c>
      <c r="F2845">
        <f t="shared" si="223"/>
        <v>-1.8672559833506726</v>
      </c>
      <c r="G2845">
        <f t="shared" si="224"/>
        <v>3.4866449073588872</v>
      </c>
    </row>
    <row r="2846" spans="1:7" x14ac:dyDescent="0.35">
      <c r="A2846">
        <v>1020</v>
      </c>
      <c r="B2846">
        <f t="shared" si="220"/>
        <v>-318.35206382240722</v>
      </c>
      <c r="C2846">
        <f t="shared" si="221"/>
        <v>101348.03653998603</v>
      </c>
      <c r="D2846">
        <v>13833</v>
      </c>
      <c r="E2846">
        <f t="shared" si="222"/>
        <v>1.3833</v>
      </c>
      <c r="F2846">
        <f t="shared" si="223"/>
        <v>-1.9965559833506725</v>
      </c>
      <c r="G2846">
        <f t="shared" si="224"/>
        <v>3.9862357946533709</v>
      </c>
    </row>
    <row r="2847" spans="1:7" x14ac:dyDescent="0.35">
      <c r="A2847">
        <v>1020</v>
      </c>
      <c r="B2847">
        <f t="shared" si="220"/>
        <v>-318.35206382240722</v>
      </c>
      <c r="C2847">
        <f t="shared" si="221"/>
        <v>101348.03653998603</v>
      </c>
      <c r="D2847">
        <v>16390</v>
      </c>
      <c r="E2847">
        <f t="shared" si="222"/>
        <v>1.639</v>
      </c>
      <c r="F2847">
        <f t="shared" si="223"/>
        <v>-1.7408559833506725</v>
      </c>
      <c r="G2847">
        <f t="shared" si="224"/>
        <v>3.0305795547678369</v>
      </c>
    </row>
    <row r="2848" spans="1:7" x14ac:dyDescent="0.35">
      <c r="A2848">
        <v>1020</v>
      </c>
      <c r="B2848">
        <f t="shared" si="220"/>
        <v>-318.35206382240722</v>
      </c>
      <c r="C2848">
        <f t="shared" si="221"/>
        <v>101348.03653998603</v>
      </c>
      <c r="D2848">
        <v>16778</v>
      </c>
      <c r="E2848">
        <f t="shared" si="222"/>
        <v>1.6778</v>
      </c>
      <c r="F2848">
        <f t="shared" si="223"/>
        <v>-1.7020559833506725</v>
      </c>
      <c r="G2848">
        <f t="shared" si="224"/>
        <v>2.896994570459825</v>
      </c>
    </row>
    <row r="2849" spans="1:7" x14ac:dyDescent="0.35">
      <c r="A2849">
        <v>1020</v>
      </c>
      <c r="B2849">
        <f t="shared" si="220"/>
        <v>-318.35206382240722</v>
      </c>
      <c r="C2849">
        <f t="shared" si="221"/>
        <v>101348.03653998603</v>
      </c>
      <c r="D2849">
        <v>17974</v>
      </c>
      <c r="E2849">
        <f t="shared" si="222"/>
        <v>1.7974000000000001</v>
      </c>
      <c r="F2849">
        <f t="shared" si="223"/>
        <v>-1.5824559833506724</v>
      </c>
      <c r="G2849">
        <f t="shared" si="224"/>
        <v>2.5041669392423436</v>
      </c>
    </row>
    <row r="2850" spans="1:7" x14ac:dyDescent="0.35">
      <c r="A2850">
        <v>1020</v>
      </c>
      <c r="B2850">
        <f t="shared" si="220"/>
        <v>-318.35206382240722</v>
      </c>
      <c r="C2850">
        <f t="shared" si="221"/>
        <v>101348.03653998603</v>
      </c>
      <c r="D2850">
        <v>17255</v>
      </c>
      <c r="E2850">
        <f t="shared" si="222"/>
        <v>1.7255</v>
      </c>
      <c r="F2850">
        <f t="shared" si="223"/>
        <v>-1.6543559833506725</v>
      </c>
      <c r="G2850">
        <f t="shared" si="224"/>
        <v>2.7368937196481706</v>
      </c>
    </row>
    <row r="2851" spans="1:7" x14ac:dyDescent="0.35">
      <c r="A2851">
        <v>1020</v>
      </c>
      <c r="B2851">
        <f t="shared" si="220"/>
        <v>-318.35206382240722</v>
      </c>
      <c r="C2851">
        <f t="shared" si="221"/>
        <v>101348.03653998603</v>
      </c>
      <c r="D2851">
        <v>11617</v>
      </c>
      <c r="E2851">
        <f t="shared" si="222"/>
        <v>1.1617</v>
      </c>
      <c r="F2851">
        <f t="shared" si="223"/>
        <v>-2.2181559833506723</v>
      </c>
      <c r="G2851">
        <f t="shared" si="224"/>
        <v>4.9202159664743883</v>
      </c>
    </row>
    <row r="2852" spans="1:7" x14ac:dyDescent="0.35">
      <c r="A2852">
        <v>1020</v>
      </c>
      <c r="B2852">
        <f t="shared" si="220"/>
        <v>-318.35206382240722</v>
      </c>
      <c r="C2852">
        <f t="shared" si="221"/>
        <v>101348.03653998603</v>
      </c>
      <c r="D2852">
        <v>14949</v>
      </c>
      <c r="E2852">
        <f t="shared" si="222"/>
        <v>1.4948999999999999</v>
      </c>
      <c r="F2852">
        <f t="shared" si="223"/>
        <v>-1.8849559833506726</v>
      </c>
      <c r="G2852">
        <f t="shared" si="224"/>
        <v>3.553059059169501</v>
      </c>
    </row>
    <row r="2853" spans="1:7" x14ac:dyDescent="0.35">
      <c r="A2853">
        <v>1020</v>
      </c>
      <c r="B2853">
        <f t="shared" si="220"/>
        <v>-318.35206382240722</v>
      </c>
      <c r="C2853">
        <f t="shared" si="221"/>
        <v>101348.03653998603</v>
      </c>
      <c r="D2853">
        <v>14248</v>
      </c>
      <c r="E2853">
        <f t="shared" si="222"/>
        <v>1.4248000000000001</v>
      </c>
      <c r="F2853">
        <f t="shared" si="223"/>
        <v>-1.9550559833506724</v>
      </c>
      <c r="G2853">
        <f t="shared" si="224"/>
        <v>3.8222438980352647</v>
      </c>
    </row>
    <row r="2854" spans="1:7" x14ac:dyDescent="0.35">
      <c r="A2854">
        <v>1020</v>
      </c>
      <c r="B2854">
        <f t="shared" si="220"/>
        <v>-318.35206382240722</v>
      </c>
      <c r="C2854">
        <f t="shared" si="221"/>
        <v>101348.03653998603</v>
      </c>
      <c r="D2854">
        <v>12077</v>
      </c>
      <c r="E2854">
        <f t="shared" si="222"/>
        <v>1.2077</v>
      </c>
      <c r="F2854">
        <f t="shared" si="223"/>
        <v>-2.1721559833506725</v>
      </c>
      <c r="G2854">
        <f t="shared" si="224"/>
        <v>4.718261616006127</v>
      </c>
    </row>
    <row r="2855" spans="1:7" x14ac:dyDescent="0.35">
      <c r="A2855">
        <v>657</v>
      </c>
      <c r="B2855">
        <f t="shared" si="220"/>
        <v>-681.35206382240722</v>
      </c>
      <c r="C2855">
        <f t="shared" si="221"/>
        <v>464240.63487505366</v>
      </c>
      <c r="D2855">
        <v>14300</v>
      </c>
      <c r="E2855">
        <f t="shared" si="222"/>
        <v>1.43</v>
      </c>
      <c r="F2855">
        <f t="shared" si="223"/>
        <v>-1.9498559833506726</v>
      </c>
      <c r="G2855">
        <f t="shared" si="224"/>
        <v>3.8019383558084181</v>
      </c>
    </row>
    <row r="2856" spans="1:7" x14ac:dyDescent="0.35">
      <c r="A2856">
        <v>657</v>
      </c>
      <c r="B2856">
        <f t="shared" si="220"/>
        <v>-681.35206382240722</v>
      </c>
      <c r="C2856">
        <f t="shared" si="221"/>
        <v>464240.63487505366</v>
      </c>
      <c r="D2856">
        <v>29100</v>
      </c>
      <c r="E2856">
        <f t="shared" si="222"/>
        <v>2.91</v>
      </c>
      <c r="F2856">
        <f t="shared" si="223"/>
        <v>-0.46985598335067236</v>
      </c>
      <c r="G2856">
        <f t="shared" si="224"/>
        <v>0.22076464509042729</v>
      </c>
    </row>
    <row r="2857" spans="1:7" x14ac:dyDescent="0.35">
      <c r="A2857">
        <v>657</v>
      </c>
      <c r="B2857">
        <f t="shared" si="220"/>
        <v>-681.35206382240722</v>
      </c>
      <c r="C2857">
        <f t="shared" si="221"/>
        <v>464240.63487505366</v>
      </c>
      <c r="D2857">
        <v>28744</v>
      </c>
      <c r="E2857">
        <f t="shared" si="222"/>
        <v>2.8744000000000001</v>
      </c>
      <c r="F2857">
        <f t="shared" si="223"/>
        <v>-0.50545598335067243</v>
      </c>
      <c r="G2857">
        <f t="shared" si="224"/>
        <v>0.25548575110499527</v>
      </c>
    </row>
    <row r="2858" spans="1:7" x14ac:dyDescent="0.35">
      <c r="A2858">
        <v>657</v>
      </c>
      <c r="B2858">
        <f t="shared" si="220"/>
        <v>-681.35206382240722</v>
      </c>
      <c r="C2858">
        <f t="shared" si="221"/>
        <v>464240.63487505366</v>
      </c>
      <c r="D2858">
        <v>26847</v>
      </c>
      <c r="E2858">
        <f t="shared" si="222"/>
        <v>2.6846999999999999</v>
      </c>
      <c r="F2858">
        <f t="shared" si="223"/>
        <v>-0.69515598335067263</v>
      </c>
      <c r="G2858">
        <f t="shared" si="224"/>
        <v>0.48324184118824065</v>
      </c>
    </row>
    <row r="2859" spans="1:7" x14ac:dyDescent="0.35">
      <c r="A2859">
        <v>657</v>
      </c>
      <c r="B2859">
        <f t="shared" si="220"/>
        <v>-681.35206382240722</v>
      </c>
      <c r="C2859">
        <f t="shared" si="221"/>
        <v>464240.63487505366</v>
      </c>
      <c r="D2859">
        <v>23400</v>
      </c>
      <c r="E2859">
        <f t="shared" si="222"/>
        <v>2.34</v>
      </c>
      <c r="F2859">
        <f t="shared" si="223"/>
        <v>-1.0398559833506726</v>
      </c>
      <c r="G2859">
        <f t="shared" si="224"/>
        <v>1.0813004661101944</v>
      </c>
    </row>
    <row r="2860" spans="1:7" x14ac:dyDescent="0.35">
      <c r="A2860">
        <v>657</v>
      </c>
      <c r="B2860">
        <f t="shared" si="220"/>
        <v>-681.35206382240722</v>
      </c>
      <c r="C2860">
        <f t="shared" si="221"/>
        <v>464240.63487505366</v>
      </c>
      <c r="D2860">
        <v>22500</v>
      </c>
      <c r="E2860">
        <f t="shared" si="222"/>
        <v>2.25</v>
      </c>
      <c r="F2860">
        <f t="shared" si="223"/>
        <v>-1.1298559833506725</v>
      </c>
      <c r="G2860">
        <f t="shared" si="224"/>
        <v>1.2765745431133151</v>
      </c>
    </row>
    <row r="2861" spans="1:7" x14ac:dyDescent="0.35">
      <c r="A2861">
        <v>657</v>
      </c>
      <c r="B2861">
        <f t="shared" si="220"/>
        <v>-681.35206382240722</v>
      </c>
      <c r="C2861">
        <f t="shared" si="221"/>
        <v>464240.63487505366</v>
      </c>
      <c r="D2861">
        <v>22222</v>
      </c>
      <c r="E2861">
        <f t="shared" si="222"/>
        <v>2.2222</v>
      </c>
      <c r="F2861">
        <f t="shared" si="223"/>
        <v>-1.1576559833506725</v>
      </c>
      <c r="G2861">
        <f t="shared" si="224"/>
        <v>1.3401673757876127</v>
      </c>
    </row>
    <row r="2862" spans="1:7" x14ac:dyDescent="0.35">
      <c r="A2862">
        <v>657</v>
      </c>
      <c r="B2862">
        <f t="shared" si="220"/>
        <v>-681.35206382240722</v>
      </c>
      <c r="C2862">
        <f t="shared" si="221"/>
        <v>464240.63487505366</v>
      </c>
      <c r="D2862">
        <v>25000</v>
      </c>
      <c r="E2862">
        <f t="shared" si="222"/>
        <v>2.5</v>
      </c>
      <c r="F2862">
        <f t="shared" si="223"/>
        <v>-0.8798559833506725</v>
      </c>
      <c r="G2862">
        <f t="shared" si="224"/>
        <v>0.77414655143797884</v>
      </c>
    </row>
    <row r="2863" spans="1:7" x14ac:dyDescent="0.35">
      <c r="A2863">
        <v>657</v>
      </c>
      <c r="B2863">
        <f t="shared" si="220"/>
        <v>-681.35206382240722</v>
      </c>
      <c r="C2863">
        <f t="shared" si="221"/>
        <v>464240.63487505366</v>
      </c>
      <c r="D2863">
        <v>23871</v>
      </c>
      <c r="E2863">
        <f t="shared" si="222"/>
        <v>2.3871000000000002</v>
      </c>
      <c r="F2863">
        <f t="shared" si="223"/>
        <v>-0.99275598335067228</v>
      </c>
      <c r="G2863">
        <f t="shared" si="224"/>
        <v>0.98556444247856034</v>
      </c>
    </row>
    <row r="2864" spans="1:7" x14ac:dyDescent="0.35">
      <c r="A2864">
        <v>657</v>
      </c>
      <c r="B2864">
        <f t="shared" si="220"/>
        <v>-681.35206382240722</v>
      </c>
      <c r="C2864">
        <f t="shared" si="221"/>
        <v>464240.63487505366</v>
      </c>
      <c r="D2864">
        <v>23246</v>
      </c>
      <c r="E2864">
        <f t="shared" si="222"/>
        <v>2.3246000000000002</v>
      </c>
      <c r="F2864">
        <f t="shared" si="223"/>
        <v>-1.0552559833506723</v>
      </c>
      <c r="G2864">
        <f t="shared" si="224"/>
        <v>1.1135651903973944</v>
      </c>
    </row>
    <row r="2865" spans="1:7" x14ac:dyDescent="0.35">
      <c r="A2865">
        <v>657</v>
      </c>
      <c r="B2865">
        <f t="shared" si="220"/>
        <v>-681.35206382240722</v>
      </c>
      <c r="C2865">
        <f t="shared" si="221"/>
        <v>464240.63487505366</v>
      </c>
      <c r="D2865">
        <v>22727</v>
      </c>
      <c r="E2865">
        <f t="shared" si="222"/>
        <v>2.2726999999999999</v>
      </c>
      <c r="F2865">
        <f t="shared" si="223"/>
        <v>-1.1071559833506726</v>
      </c>
      <c r="G2865">
        <f t="shared" si="224"/>
        <v>1.2257943714691948</v>
      </c>
    </row>
    <row r="2866" spans="1:7" x14ac:dyDescent="0.35">
      <c r="A2866">
        <v>657</v>
      </c>
      <c r="B2866">
        <f t="shared" si="220"/>
        <v>-681.35206382240722</v>
      </c>
      <c r="C2866">
        <f t="shared" si="221"/>
        <v>464240.63487505366</v>
      </c>
      <c r="D2866">
        <v>22133</v>
      </c>
      <c r="E2866">
        <f t="shared" si="222"/>
        <v>2.2132999999999998</v>
      </c>
      <c r="F2866">
        <f t="shared" si="223"/>
        <v>-1.1665559833506727</v>
      </c>
      <c r="G2866">
        <f t="shared" si="224"/>
        <v>1.360852862291255</v>
      </c>
    </row>
    <row r="2867" spans="1:7" x14ac:dyDescent="0.35">
      <c r="A2867">
        <v>657</v>
      </c>
      <c r="B2867">
        <f t="shared" si="220"/>
        <v>-681.35206382240722</v>
      </c>
      <c r="C2867">
        <f t="shared" si="221"/>
        <v>464240.63487505366</v>
      </c>
      <c r="D2867">
        <v>20000</v>
      </c>
      <c r="E2867">
        <f t="shared" si="222"/>
        <v>2</v>
      </c>
      <c r="F2867">
        <f t="shared" si="223"/>
        <v>-1.3798559833506725</v>
      </c>
      <c r="G2867">
        <f t="shared" si="224"/>
        <v>1.9040025347886513</v>
      </c>
    </row>
    <row r="2868" spans="1:7" x14ac:dyDescent="0.35">
      <c r="A2868">
        <v>657</v>
      </c>
      <c r="B2868">
        <f t="shared" si="220"/>
        <v>-681.35206382240722</v>
      </c>
      <c r="C2868">
        <f t="shared" si="221"/>
        <v>464240.63487505366</v>
      </c>
      <c r="D2868">
        <v>21457</v>
      </c>
      <c r="E2868">
        <f t="shared" si="222"/>
        <v>2.1457000000000002</v>
      </c>
      <c r="F2868">
        <f t="shared" si="223"/>
        <v>-1.2341559833506723</v>
      </c>
      <c r="G2868">
        <f t="shared" si="224"/>
        <v>1.5231409912402649</v>
      </c>
    </row>
    <row r="2869" spans="1:7" x14ac:dyDescent="0.35">
      <c r="A2869">
        <v>657</v>
      </c>
      <c r="B2869">
        <f t="shared" si="220"/>
        <v>-681.35206382240722</v>
      </c>
      <c r="C2869">
        <f t="shared" si="221"/>
        <v>464240.63487505366</v>
      </c>
      <c r="D2869">
        <v>20000</v>
      </c>
      <c r="E2869">
        <f t="shared" si="222"/>
        <v>2</v>
      </c>
      <c r="F2869">
        <f t="shared" si="223"/>
        <v>-1.3798559833506725</v>
      </c>
      <c r="G2869">
        <f t="shared" si="224"/>
        <v>1.9040025347886513</v>
      </c>
    </row>
    <row r="2870" spans="1:7" x14ac:dyDescent="0.35">
      <c r="A2870">
        <v>657</v>
      </c>
      <c r="B2870">
        <f t="shared" si="220"/>
        <v>-681.35206382240722</v>
      </c>
      <c r="C2870">
        <f t="shared" si="221"/>
        <v>464240.63487505366</v>
      </c>
      <c r="D2870">
        <v>22070</v>
      </c>
      <c r="E2870">
        <f t="shared" si="222"/>
        <v>2.2069999999999999</v>
      </c>
      <c r="F2870">
        <f t="shared" si="223"/>
        <v>-1.1728559833506726</v>
      </c>
      <c r="G2870">
        <f t="shared" si="224"/>
        <v>1.3755911576814732</v>
      </c>
    </row>
    <row r="2871" spans="1:7" x14ac:dyDescent="0.35">
      <c r="A2871">
        <v>657</v>
      </c>
      <c r="B2871">
        <f t="shared" si="220"/>
        <v>-681.35206382240722</v>
      </c>
      <c r="C2871">
        <f t="shared" si="221"/>
        <v>464240.63487505366</v>
      </c>
      <c r="D2871">
        <v>22618</v>
      </c>
      <c r="E2871">
        <f t="shared" si="222"/>
        <v>2.2618</v>
      </c>
      <c r="F2871">
        <f t="shared" si="223"/>
        <v>-1.1180559833506725</v>
      </c>
      <c r="G2871">
        <f t="shared" si="224"/>
        <v>1.2500491819062391</v>
      </c>
    </row>
    <row r="2872" spans="1:7" x14ac:dyDescent="0.35">
      <c r="A2872">
        <v>657</v>
      </c>
      <c r="B2872">
        <f t="shared" si="220"/>
        <v>-681.35206382240722</v>
      </c>
      <c r="C2872">
        <f t="shared" si="221"/>
        <v>464240.63487505366</v>
      </c>
      <c r="D2872">
        <v>23149</v>
      </c>
      <c r="E2872">
        <f t="shared" si="222"/>
        <v>2.3149000000000002</v>
      </c>
      <c r="F2872">
        <f t="shared" si="223"/>
        <v>-1.0649559833506723</v>
      </c>
      <c r="G2872">
        <f t="shared" si="224"/>
        <v>1.1341312464743976</v>
      </c>
    </row>
    <row r="2873" spans="1:7" x14ac:dyDescent="0.35">
      <c r="A2873">
        <v>657</v>
      </c>
      <c r="B2873">
        <f t="shared" si="220"/>
        <v>-681.35206382240722</v>
      </c>
      <c r="C2873">
        <f t="shared" si="221"/>
        <v>464240.63487505366</v>
      </c>
      <c r="D2873">
        <v>23165</v>
      </c>
      <c r="E2873">
        <f t="shared" si="222"/>
        <v>2.3165</v>
      </c>
      <c r="F2873">
        <f t="shared" si="223"/>
        <v>-1.0633559833506725</v>
      </c>
      <c r="G2873">
        <f t="shared" si="224"/>
        <v>1.1307259473276756</v>
      </c>
    </row>
    <row r="2874" spans="1:7" x14ac:dyDescent="0.35">
      <c r="A2874">
        <v>657</v>
      </c>
      <c r="B2874">
        <f t="shared" si="220"/>
        <v>-681.35206382240722</v>
      </c>
      <c r="C2874">
        <f t="shared" si="221"/>
        <v>464240.63487505366</v>
      </c>
      <c r="D2874">
        <v>24000</v>
      </c>
      <c r="E2874">
        <f t="shared" si="222"/>
        <v>2.4</v>
      </c>
      <c r="F2874">
        <f t="shared" si="223"/>
        <v>-0.97985598335067259</v>
      </c>
      <c r="G2874">
        <f t="shared" si="224"/>
        <v>0.96011774810811357</v>
      </c>
    </row>
    <row r="2875" spans="1:7" x14ac:dyDescent="0.35">
      <c r="A2875">
        <v>657</v>
      </c>
      <c r="B2875">
        <f t="shared" si="220"/>
        <v>-681.35206382240722</v>
      </c>
      <c r="C2875">
        <f t="shared" si="221"/>
        <v>464240.63487505366</v>
      </c>
      <c r="D2875">
        <v>23058</v>
      </c>
      <c r="E2875">
        <f t="shared" si="222"/>
        <v>2.3058000000000001</v>
      </c>
      <c r="F2875">
        <f t="shared" si="223"/>
        <v>-1.0740559833506724</v>
      </c>
      <c r="G2875">
        <f t="shared" si="224"/>
        <v>1.1535962553713799</v>
      </c>
    </row>
    <row r="2876" spans="1:7" x14ac:dyDescent="0.35">
      <c r="A2876">
        <v>657</v>
      </c>
      <c r="B2876">
        <f t="shared" si="220"/>
        <v>-681.35206382240722</v>
      </c>
      <c r="C2876">
        <f t="shared" si="221"/>
        <v>464240.63487505366</v>
      </c>
      <c r="D2876">
        <v>22951</v>
      </c>
      <c r="E2876">
        <f t="shared" si="222"/>
        <v>2.2951000000000001</v>
      </c>
      <c r="F2876">
        <f t="shared" si="223"/>
        <v>-1.0847559833506724</v>
      </c>
      <c r="G2876">
        <f t="shared" si="224"/>
        <v>1.1766955434150841</v>
      </c>
    </row>
    <row r="2877" spans="1:7" x14ac:dyDescent="0.35">
      <c r="A2877">
        <v>657</v>
      </c>
      <c r="B2877">
        <f t="shared" si="220"/>
        <v>-681.35206382240722</v>
      </c>
      <c r="C2877">
        <f t="shared" si="221"/>
        <v>464240.63487505366</v>
      </c>
      <c r="D2877">
        <v>22857</v>
      </c>
      <c r="E2877">
        <f t="shared" si="222"/>
        <v>2.2856999999999998</v>
      </c>
      <c r="F2877">
        <f t="shared" si="223"/>
        <v>-1.0941559833506727</v>
      </c>
      <c r="G2877">
        <f t="shared" si="224"/>
        <v>1.1971773159020775</v>
      </c>
    </row>
    <row r="2878" spans="1:7" x14ac:dyDescent="0.35">
      <c r="A2878">
        <v>657</v>
      </c>
      <c r="B2878">
        <f t="shared" si="220"/>
        <v>-681.35206382240722</v>
      </c>
      <c r="C2878">
        <f t="shared" si="221"/>
        <v>464240.63487505366</v>
      </c>
      <c r="D2878">
        <v>22775</v>
      </c>
      <c r="E2878">
        <f t="shared" si="222"/>
        <v>2.2774999999999999</v>
      </c>
      <c r="F2878">
        <f t="shared" si="223"/>
        <v>-1.1023559833506726</v>
      </c>
      <c r="G2878">
        <f t="shared" si="224"/>
        <v>1.2151887140290285</v>
      </c>
    </row>
    <row r="2879" spans="1:7" x14ac:dyDescent="0.35">
      <c r="A2879">
        <v>657</v>
      </c>
      <c r="B2879">
        <f t="shared" si="220"/>
        <v>-681.35206382240722</v>
      </c>
      <c r="C2879">
        <f t="shared" si="221"/>
        <v>464240.63487505366</v>
      </c>
      <c r="D2879">
        <v>22704</v>
      </c>
      <c r="E2879">
        <f t="shared" si="222"/>
        <v>2.2704</v>
      </c>
      <c r="F2879">
        <f t="shared" si="223"/>
        <v>-1.1094559833506725</v>
      </c>
      <c r="G2879">
        <f t="shared" si="224"/>
        <v>1.2308925789926077</v>
      </c>
    </row>
    <row r="2880" spans="1:7" x14ac:dyDescent="0.35">
      <c r="A2880">
        <v>657</v>
      </c>
      <c r="B2880">
        <f t="shared" si="220"/>
        <v>-681.35206382240722</v>
      </c>
      <c r="C2880">
        <f t="shared" si="221"/>
        <v>464240.63487505366</v>
      </c>
      <c r="D2880">
        <v>22581</v>
      </c>
      <c r="E2880">
        <f t="shared" si="222"/>
        <v>2.2581000000000002</v>
      </c>
      <c r="F2880">
        <f t="shared" si="223"/>
        <v>-1.1217559833506723</v>
      </c>
      <c r="G2880">
        <f t="shared" si="224"/>
        <v>1.2583364861830337</v>
      </c>
    </row>
    <row r="2881" spans="1:7" x14ac:dyDescent="0.35">
      <c r="A2881">
        <v>657</v>
      </c>
      <c r="B2881">
        <f t="shared" si="220"/>
        <v>-681.35206382240722</v>
      </c>
      <c r="C2881">
        <f t="shared" si="221"/>
        <v>464240.63487505366</v>
      </c>
      <c r="D2881">
        <v>22581</v>
      </c>
      <c r="E2881">
        <f t="shared" si="222"/>
        <v>2.2581000000000002</v>
      </c>
      <c r="F2881">
        <f t="shared" si="223"/>
        <v>-1.1217559833506723</v>
      </c>
      <c r="G2881">
        <f t="shared" si="224"/>
        <v>1.2583364861830337</v>
      </c>
    </row>
    <row r="2882" spans="1:7" x14ac:dyDescent="0.35">
      <c r="A2882">
        <v>657</v>
      </c>
      <c r="B2882">
        <f t="shared" si="220"/>
        <v>-681.35206382240722</v>
      </c>
      <c r="C2882">
        <f t="shared" si="221"/>
        <v>464240.63487505366</v>
      </c>
      <c r="D2882">
        <v>22651</v>
      </c>
      <c r="E2882">
        <f t="shared" si="222"/>
        <v>2.2650999999999999</v>
      </c>
      <c r="F2882">
        <f t="shared" si="223"/>
        <v>-1.1147559833506726</v>
      </c>
      <c r="G2882">
        <f t="shared" si="224"/>
        <v>1.2426809024161252</v>
      </c>
    </row>
    <row r="2883" spans="1:7" x14ac:dyDescent="0.35">
      <c r="A2883">
        <v>657</v>
      </c>
      <c r="B2883">
        <f t="shared" ref="B2883:B2884" si="225">A2883-$J$1</f>
        <v>-681.35206382240722</v>
      </c>
      <c r="C2883">
        <f t="shared" ref="C2883:C2884" si="226">B2883^2</f>
        <v>464240.63487505366</v>
      </c>
      <c r="D2883">
        <v>22766</v>
      </c>
      <c r="E2883">
        <f t="shared" ref="E2883:E2884" si="227">D2883/10000</f>
        <v>2.2766000000000002</v>
      </c>
      <c r="F2883">
        <f t="shared" ref="F2883:F2884" si="228">E2883-$J$2</f>
        <v>-1.1032559833506723</v>
      </c>
      <c r="G2883">
        <f t="shared" ref="G2883:G2884" si="229">F2883^2</f>
        <v>1.217173764799059</v>
      </c>
    </row>
    <row r="2884" spans="1:7" x14ac:dyDescent="0.35">
      <c r="A2884">
        <v>657</v>
      </c>
      <c r="B2884">
        <f t="shared" si="225"/>
        <v>-681.35206382240722</v>
      </c>
      <c r="C2884">
        <f t="shared" si="226"/>
        <v>464240.63487505366</v>
      </c>
      <c r="D2884">
        <v>22828</v>
      </c>
      <c r="E2884">
        <f t="shared" si="227"/>
        <v>2.2827999999999999</v>
      </c>
      <c r="F2884">
        <f t="shared" si="228"/>
        <v>-1.0970559833506726</v>
      </c>
      <c r="G2884">
        <f t="shared" si="229"/>
        <v>1.2035318306055112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yield_join_rainfall</vt:lpstr>
      <vt:lpstr>cleaned_dataset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RYZEN 5</dc:creator>
  <cp:lastModifiedBy>chiloschistaannidya@gmail.com</cp:lastModifiedBy>
  <dcterms:created xsi:type="dcterms:W3CDTF">2026-05-30T06:20:41Z</dcterms:created>
  <dcterms:modified xsi:type="dcterms:W3CDTF">2026-05-30T06:20:41Z</dcterms:modified>
</cp:coreProperties>
</file>